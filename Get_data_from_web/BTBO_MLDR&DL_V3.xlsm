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codeName="{3D1A710C-6663-3D7B-7F91-EC182F24A4BC}"/>
  <workbookPr codeName="ThisWorkbook"/>
  <mc:AlternateContent xmlns:mc="http://schemas.openxmlformats.org/markup-compatibility/2006">
    <mc:Choice Requires="x15">
      <x15ac:absPath xmlns:x15ac="http://schemas.microsoft.com/office/spreadsheetml/2010/11/ac" url="C:\Users\daoan\OneDrive\Documents\Scripts\Get_data_from_web\"/>
    </mc:Choice>
  </mc:AlternateContent>
  <xr:revisionPtr revIDLastSave="13" documentId="13_ncr:1_{267094C0-8299-4BA1-BA41-371B9B74963C}" xr6:coauthVersionLast="36" xr6:coauthVersionMax="47" xr10:uidLastSave="{CB47C8EC-BD53-4F7F-8FA0-6AF34FE67712}"/>
  <bookViews>
    <workbookView xWindow="28680" yWindow="-120" windowWidth="29040" windowHeight="15840" activeTab="2" xr2:uid="{00000000-000D-0000-FFFF-FFFF00000000}"/>
  </bookViews>
  <sheets>
    <sheet name="CBML" sheetId="7" r:id="rId1"/>
    <sheet name="HSDB_CBMLDR" sheetId="2" r:id="rId2"/>
    <sheet name="MLDR" sheetId="1" r:id="rId3"/>
    <sheet name="HSDB_MLDR" sheetId="8" r:id="rId4"/>
    <sheet name="MLDL" sheetId="4" r:id="rId5"/>
    <sheet name="HSDB_MLDL" sheetId="5" r:id="rId6"/>
    <sheet name="không xóa" sheetId="3" state="hidden" r:id="rId7"/>
    <sheet name="Sheet1" sheetId="6" state="hidden" r:id="rId8"/>
  </sheets>
  <externalReferences>
    <externalReference r:id="rId9"/>
    <externalReference r:id="rId10"/>
  </externalReferences>
  <definedNames>
    <definedName name="_Hlk5038901" localSheetId="5">HSDB_MLDL!$B$15</definedName>
    <definedName name="_xlchart.v5.0" hidden="1">'[1]Vẽ huyện'!#REF!</definedName>
    <definedName name="_xlchart.v5.1" hidden="1">'[1]Vẽ huyện'!$F$2</definedName>
    <definedName name="_xlchart.v5.2" hidden="1">'[1]Vẽ huyện'!$F$3:$F$63</definedName>
    <definedName name="_xlchart.v5.3" hidden="1">'[1]Vẽ huyện'!$G$3:$G$63</definedName>
    <definedName name="ab">Sheet1!$B$8</definedName>
    <definedName name="abc">Sheet1!$B$3:$C$8</definedName>
  </definedNames>
  <calcPr calcId="191029"/>
</workbook>
</file>

<file path=xl/calcChain.xml><?xml version="1.0" encoding="utf-8"?>
<calcChain xmlns="http://schemas.openxmlformats.org/spreadsheetml/2006/main">
  <c r="K1" i="1" l="1"/>
  <c r="K4" i="1"/>
  <c r="K3" i="1"/>
  <c r="C4" i="8" l="1"/>
  <c r="B36" i="4"/>
  <c r="C4" i="5" s="1"/>
  <c r="C19" i="8"/>
  <c r="C20" i="8"/>
  <c r="A38" i="8" s="1"/>
  <c r="D16" i="8"/>
  <c r="D12" i="8"/>
  <c r="D13" i="8" s="1"/>
  <c r="A37" i="8" l="1"/>
  <c r="A50" i="5" l="1"/>
  <c r="D24" i="5"/>
  <c r="B1" i="3"/>
  <c r="B2" i="3" s="1"/>
  <c r="A51" i="5"/>
  <c r="X36" i="5"/>
  <c r="W36" i="5"/>
  <c r="V36" i="5"/>
  <c r="U36" i="5"/>
  <c r="T36" i="5"/>
  <c r="S36" i="5"/>
  <c r="R36" i="5"/>
  <c r="Q36" i="5"/>
  <c r="P36" i="5"/>
  <c r="O36" i="5"/>
  <c r="X35" i="5"/>
  <c r="W35" i="5"/>
  <c r="V35" i="5"/>
  <c r="U35" i="5"/>
  <c r="T35" i="5"/>
  <c r="S35" i="5"/>
  <c r="R35" i="5"/>
  <c r="Q35" i="5"/>
  <c r="P35" i="5"/>
  <c r="O35" i="5"/>
  <c r="X34" i="5"/>
  <c r="W34" i="5"/>
  <c r="V34" i="5"/>
  <c r="U34" i="5"/>
  <c r="T34" i="5"/>
  <c r="S34" i="5"/>
  <c r="R34" i="5"/>
  <c r="Q34" i="5"/>
  <c r="P34" i="5"/>
  <c r="O34" i="5"/>
  <c r="X33" i="5"/>
  <c r="W33" i="5"/>
  <c r="V33" i="5"/>
  <c r="U33" i="5"/>
  <c r="T33" i="5"/>
  <c r="S33" i="5"/>
  <c r="R33" i="5"/>
  <c r="Q33" i="5"/>
  <c r="P33" i="5"/>
  <c r="O33" i="5"/>
  <c r="X32" i="5"/>
  <c r="W32" i="5"/>
  <c r="V32" i="5"/>
  <c r="U32" i="5"/>
  <c r="T32" i="5"/>
  <c r="S32" i="5"/>
  <c r="R32" i="5"/>
  <c r="Q32" i="5"/>
  <c r="P32" i="5"/>
  <c r="O32" i="5"/>
  <c r="X31" i="5"/>
  <c r="W31" i="5"/>
  <c r="V31" i="5"/>
  <c r="U31" i="5"/>
  <c r="T31" i="5"/>
  <c r="S31" i="5"/>
  <c r="R31" i="5"/>
  <c r="Q31" i="5"/>
  <c r="P31" i="5"/>
  <c r="O31" i="5"/>
  <c r="X30" i="5"/>
  <c r="W30" i="5"/>
  <c r="V30" i="5"/>
  <c r="U30" i="5"/>
  <c r="T30" i="5"/>
  <c r="S30" i="5"/>
  <c r="R30" i="5"/>
  <c r="Q30" i="5"/>
  <c r="P30" i="5"/>
  <c r="O30" i="5"/>
  <c r="X29" i="5"/>
  <c r="W29" i="5"/>
  <c r="V29" i="5"/>
  <c r="U29" i="5"/>
  <c r="T29" i="5"/>
  <c r="S29" i="5"/>
  <c r="R29" i="5"/>
  <c r="Q29" i="5"/>
  <c r="P29" i="5"/>
  <c r="O29" i="5"/>
  <c r="X28" i="5"/>
  <c r="W28" i="5"/>
  <c r="V28" i="5"/>
  <c r="U28" i="5"/>
  <c r="T28" i="5"/>
  <c r="S28" i="5"/>
  <c r="R28" i="5"/>
  <c r="Q28" i="5"/>
  <c r="P28" i="5"/>
  <c r="O28" i="5"/>
  <c r="X27" i="5"/>
  <c r="W27" i="5"/>
  <c r="V27" i="5"/>
  <c r="U27" i="5"/>
  <c r="T27" i="5"/>
  <c r="S27" i="5"/>
  <c r="R27" i="5"/>
  <c r="Q27" i="5"/>
  <c r="P27" i="5"/>
  <c r="O27" i="5"/>
  <c r="X26" i="5"/>
  <c r="W26" i="5"/>
  <c r="V26" i="5"/>
  <c r="U26" i="5"/>
  <c r="T26" i="5"/>
  <c r="S26" i="5"/>
  <c r="R26" i="5"/>
  <c r="Q26" i="5"/>
  <c r="P26" i="5"/>
  <c r="O26" i="5"/>
  <c r="X25" i="5"/>
  <c r="W25" i="5"/>
  <c r="V25" i="5"/>
  <c r="U25" i="5"/>
  <c r="T25" i="5"/>
  <c r="S25" i="5"/>
  <c r="R25" i="5"/>
  <c r="Q25" i="5"/>
  <c r="P25" i="5"/>
  <c r="O25" i="5"/>
  <c r="X24" i="5"/>
  <c r="W24" i="5"/>
  <c r="V24" i="5"/>
  <c r="U24" i="5"/>
  <c r="T24" i="5"/>
  <c r="S24" i="5"/>
  <c r="R24" i="5"/>
  <c r="Q24" i="5"/>
  <c r="P24" i="5"/>
  <c r="O24" i="5"/>
  <c r="X21" i="5"/>
  <c r="W21" i="5"/>
  <c r="V21" i="5"/>
  <c r="U21" i="5"/>
  <c r="T21" i="5"/>
  <c r="S21" i="5"/>
  <c r="R21" i="5"/>
  <c r="Q21" i="5"/>
  <c r="P21" i="5"/>
  <c r="O21" i="5"/>
  <c r="X20" i="5"/>
  <c r="W20" i="5"/>
  <c r="V20" i="5"/>
  <c r="U20" i="5"/>
  <c r="T20" i="5"/>
  <c r="S20" i="5"/>
  <c r="R20" i="5"/>
  <c r="Q20" i="5"/>
  <c r="P20" i="5"/>
  <c r="O20" i="5"/>
  <c r="X19" i="5"/>
  <c r="W19" i="5"/>
  <c r="V19" i="5"/>
  <c r="U19" i="5"/>
  <c r="T19" i="5"/>
  <c r="S19" i="5"/>
  <c r="R19" i="5"/>
  <c r="Q19" i="5"/>
  <c r="P19" i="5"/>
  <c r="O19" i="5"/>
  <c r="X18" i="5"/>
  <c r="W18" i="5"/>
  <c r="V18" i="5"/>
  <c r="U18" i="5"/>
  <c r="T18" i="5"/>
  <c r="S18" i="5"/>
  <c r="R18" i="5"/>
  <c r="Q18" i="5"/>
  <c r="P18" i="5"/>
  <c r="O18" i="5"/>
  <c r="X17" i="5"/>
  <c r="W17" i="5"/>
  <c r="V17" i="5"/>
  <c r="U17" i="5"/>
  <c r="T17" i="5"/>
  <c r="S17" i="5"/>
  <c r="R17" i="5"/>
  <c r="Q17" i="5"/>
  <c r="P17" i="5"/>
  <c r="O17" i="5"/>
  <c r="X16" i="5"/>
  <c r="W16" i="5"/>
  <c r="V16" i="5"/>
  <c r="U16" i="5"/>
  <c r="T16" i="5"/>
  <c r="S16" i="5"/>
  <c r="R16" i="5"/>
  <c r="Q16" i="5"/>
  <c r="P16" i="5"/>
  <c r="O16" i="5"/>
  <c r="X15" i="5"/>
  <c r="W15" i="5"/>
  <c r="V15" i="5"/>
  <c r="U15" i="5"/>
  <c r="T15" i="5"/>
  <c r="S15" i="5"/>
  <c r="R15" i="5"/>
  <c r="Q15" i="5"/>
  <c r="P15" i="5"/>
  <c r="O15" i="5"/>
  <c r="D8" i="5"/>
  <c r="M2" i="5"/>
  <c r="B35" i="4"/>
  <c r="E2" i="5" s="1"/>
  <c r="B9" i="4"/>
  <c r="N4" i="4"/>
  <c r="J10" i="4" s="1"/>
  <c r="I3" i="4"/>
  <c r="N1" i="4"/>
  <c r="M1" i="5" s="1"/>
  <c r="G32" i="8"/>
  <c r="C32" i="8"/>
  <c r="C28" i="8"/>
  <c r="D15" i="5"/>
  <c r="D12" i="5"/>
  <c r="C36" i="1"/>
  <c r="E2" i="8" s="1"/>
  <c r="F4" i="1"/>
  <c r="G32" i="2"/>
  <c r="C32" i="2"/>
  <c r="C28" i="2"/>
  <c r="C19" i="2"/>
  <c r="A37" i="2" s="1"/>
  <c r="D16" i="2"/>
  <c r="D14" i="2"/>
  <c r="D12" i="2"/>
  <c r="C17" i="7"/>
  <c r="K1" i="7" s="1"/>
  <c r="E2" i="2" s="1"/>
  <c r="F4" i="7"/>
  <c r="F25" i="2" l="1"/>
  <c r="A28" i="2"/>
  <c r="L23" i="4"/>
  <c r="L18" i="4"/>
  <c r="L17" i="4"/>
  <c r="D30" i="5"/>
  <c r="L16" i="4"/>
  <c r="L15" i="4"/>
  <c r="D21" i="5"/>
  <c r="L20" i="4"/>
  <c r="L12" i="4"/>
  <c r="L26" i="4"/>
  <c r="L31" i="4"/>
  <c r="L28" i="4"/>
  <c r="L13" i="4"/>
  <c r="L32" i="4"/>
  <c r="F2" i="5"/>
  <c r="L27" i="4"/>
  <c r="L14" i="4"/>
  <c r="L24" i="4"/>
  <c r="L19" i="4"/>
  <c r="L22" i="4"/>
  <c r="L30" i="4"/>
  <c r="L25" i="4"/>
  <c r="L21" i="4"/>
  <c r="L29" i="4"/>
  <c r="C25" i="5"/>
  <c r="H10" i="4"/>
  <c r="D20" i="5" s="1"/>
  <c r="F10" i="4"/>
  <c r="D19" i="5" s="1"/>
  <c r="B10" i="4"/>
  <c r="D17" i="5" s="1"/>
  <c r="D10" i="4"/>
  <c r="D18" i="5" s="1"/>
  <c r="F2" i="8"/>
  <c r="A28" i="8"/>
  <c r="F25" i="8"/>
  <c r="F2" i="2"/>
</calcChain>
</file>

<file path=xl/sharedStrings.xml><?xml version="1.0" encoding="utf-8"?>
<sst xmlns="http://schemas.openxmlformats.org/spreadsheetml/2006/main" count="387" uniqueCount="176">
  <si>
    <t>TỔNG CỤC KHÍ TƯỢNG THỦY VĂN</t>
  </si>
  <si>
    <t>CỘNG HÒA XÃ HỘI CHỦ NGHĨA VIỆT NAM</t>
  </si>
  <si>
    <t>ĐÀI KHÍ TƯỢNG THỦY VĂN</t>
  </si>
  <si>
    <t>Độc lập- Tự do- Hạnh phúc</t>
  </si>
  <si>
    <t>KHU VỰC BẮC TRUNG BỘ</t>
  </si>
  <si>
    <t>Trần Ánh Hồng</t>
  </si>
  <si>
    <t>Đào Anh Công</t>
  </si>
  <si>
    <t>Phan Như Xuyến</t>
  </si>
  <si>
    <t>Phạm Trà My</t>
  </si>
  <si>
    <t>Hoàng Thu Hương</t>
  </si>
  <si>
    <t>Đơn vị dự báo: Phòng Dự  báo, Đài KTTV khu vực Bắc Trung Bộ</t>
  </si>
  <si>
    <t>Trưởng ca dự báo:</t>
  </si>
  <si>
    <t>, các dự báo viên:</t>
  </si>
  <si>
    <t>1. Thu thập, xử lý các loại thông tin dữ liệu</t>
  </si>
  <si>
    <t>Các sản phẩm mô hình</t>
  </si>
  <si>
    <t>2. Phân tích đánh giá hiện trạng</t>
  </si>
  <si>
    <t>Bản tin đính kèm hồ sơ này</t>
  </si>
  <si>
    <t xml:space="preserve">Thời gian phát tin theo quy định: </t>
  </si>
  <si>
    <t>Số liệu viễn thám, quan trắc</t>
  </si>
  <si>
    <t>3. Thực hiện các phương án dự báo</t>
  </si>
  <si>
    <t xml:space="preserve">4. Thảo luận dự báo: </t>
  </si>
  <si>
    <t>Nội dung chi tiết ghi trang sau</t>
  </si>
  <si>
    <t>7. Bổ sung, cập nhật bản tin</t>
  </si>
  <si>
    <t>HỒ SƠ DỰ BÁO MƯA LỚN DIỆN RỘNG</t>
  </si>
  <si>
    <t>ECMWF, GFS, WRF, JMA</t>
  </si>
  <si>
    <r>
      <t xml:space="preserve"> </t>
    </r>
    <r>
      <rPr>
        <i/>
        <sz val="12"/>
        <color theme="1"/>
        <rFont val="Times New Roman"/>
        <family val="1"/>
      </rPr>
      <t>(Hoàn thành trước giờ phát tin 45’)</t>
    </r>
  </si>
  <si>
    <r>
      <t xml:space="preserve">Kết luận </t>
    </r>
    <r>
      <rPr>
        <i/>
        <sz val="12"/>
        <color theme="1"/>
        <rFont val="Times New Roman"/>
        <family val="1"/>
      </rPr>
      <t>(tính đầy đủ, có bổ sung, chỉnh lý)</t>
    </r>
  </si>
  <si>
    <r>
      <t xml:space="preserve"> </t>
    </r>
    <r>
      <rPr>
        <i/>
        <sz val="12"/>
        <color theme="1"/>
        <rFont val="Times New Roman"/>
        <family val="1"/>
      </rPr>
      <t>(Hoàn thành trước giờ phát tin 30’)</t>
    </r>
  </si>
  <si>
    <r>
      <t>Diễn biến mưa đã qua (</t>
    </r>
    <r>
      <rPr>
        <i/>
        <sz val="12"/>
        <color theme="1"/>
        <rFont val="Times New Roman"/>
        <family val="1"/>
      </rPr>
      <t>thời gian, khu vực,lượng mưa</t>
    </r>
    <r>
      <rPr>
        <sz val="12"/>
        <color theme="1"/>
        <rFont val="Times New Roman"/>
        <family val="1"/>
      </rPr>
      <t>)</t>
    </r>
  </si>
  <si>
    <r>
      <t>Diễn biến mưa hiện tại (</t>
    </r>
    <r>
      <rPr>
        <i/>
        <sz val="12"/>
        <color theme="1"/>
        <rFont val="Times New Roman"/>
        <family val="1"/>
      </rPr>
      <t>khu vực, cấp mưa</t>
    </r>
    <r>
      <rPr>
        <sz val="12"/>
        <color theme="1"/>
        <rFont val="Times New Roman"/>
        <family val="1"/>
      </rPr>
      <t>)</t>
    </r>
  </si>
  <si>
    <t>Hình thế gây mưa</t>
  </si>
  <si>
    <t>(Hoàn thành trước giờ phát tin 30’)</t>
  </si>
  <si>
    <r>
      <t>Phương pháp mô hình số trị (</t>
    </r>
    <r>
      <rPr>
        <i/>
        <sz val="12"/>
        <color theme="1"/>
        <rFont val="Times New Roman"/>
        <family val="1"/>
      </rPr>
      <t>khu vực và thời gian ảnh hưởng, lượng mưa của hình thế gây mưa</t>
    </r>
    <r>
      <rPr>
        <sz val="12"/>
        <color theme="1"/>
        <rFont val="Times New Roman"/>
        <family val="1"/>
      </rPr>
      <t>)</t>
    </r>
  </si>
  <si>
    <r>
      <t xml:space="preserve">Kết luận: </t>
    </r>
    <r>
      <rPr>
        <i/>
        <sz val="12"/>
        <color theme="1"/>
        <rFont val="Times New Roman"/>
        <family val="1"/>
      </rPr>
      <t>(Khu vực mưa, tổng lượng mưa, thời gian bắt đầu và kết thúc)</t>
    </r>
  </si>
  <si>
    <t xml:space="preserve">5. Xây dựng bản tin dự báo: </t>
  </si>
  <si>
    <t xml:space="preserve">6. Cung cấp bản tin dự báo: </t>
  </si>
  <si>
    <t xml:space="preserve">Phương pháp sy nốp </t>
  </si>
  <si>
    <t>Tham khảo bản tin của TTDB Quốc gia</t>
  </si>
  <si>
    <t>Ảnh viễn thám</t>
  </si>
  <si>
    <t xml:space="preserve">HỒ SƠ DỰ BÁO MƯA LỚN DIỆN RỘNG
(Phần ghi thảo luận dự báo)
</t>
  </si>
  <si>
    <t>Số liệu tức thời ra đa JMA - 272, số liệu vệ tinh HIMAWARI - 8</t>
  </si>
  <si>
    <t>Tin phát lúc</t>
  </si>
  <si>
    <t>và cập nhật lên website của Đài</t>
  </si>
  <si>
    <t>Đầy đủ các thông tin, dữ liệu, công cụ dự báo tham khảo</t>
  </si>
  <si>
    <t>Các DBV và trưởng ca đã thảo luận và nhất trí với Phương Án dự báo:</t>
  </si>
  <si>
    <t xml:space="preserve">8. Đánh giá chất lượng bản tin </t>
  </si>
  <si>
    <t>Thời gian</t>
  </si>
  <si>
    <t>Phạm vi</t>
  </si>
  <si>
    <t>ngày:</t>
  </si>
  <si>
    <t>(k xóa)</t>
  </si>
  <si>
    <t>Tổng lượng mưa</t>
  </si>
  <si>
    <t>Không có bản tin bổ sung</t>
  </si>
  <si>
    <t>ĐÀI KTTV KHU VỰC BẮC TRUNG BỘ</t>
  </si>
  <si>
    <t>CỘNG HÒA XÃ HỘI CHỦ NGHĨA VIỆT NAM</t>
  </si>
  <si>
    <t>PHÒNG DỰ BÁO KTTV</t>
  </si>
  <si>
    <t>Độc lập - Tự do - Hạnh phúc</t>
  </si>
  <si>
    <t>Vinh</t>
  </si>
  <si>
    <t>Cửa Lò</t>
  </si>
  <si>
    <t>Hưng Nguyên</t>
  </si>
  <si>
    <t>Quỳnh Lưu</t>
  </si>
  <si>
    <t>Diễn Châu</t>
  </si>
  <si>
    <t>Hoàng Mai</t>
  </si>
  <si>
    <t>Nam Đàn</t>
  </si>
  <si>
    <t>Nghi Lộc</t>
  </si>
  <si>
    <t>Đô Lương</t>
  </si>
  <si>
    <t>Yên Thành</t>
  </si>
  <si>
    <t>Anh Sơn</t>
  </si>
  <si>
    <t>Thanh Chương</t>
  </si>
  <si>
    <t>Tân Kỳ</t>
  </si>
  <si>
    <t>Nghĩa Đàn</t>
  </si>
  <si>
    <t>Thái Hòa</t>
  </si>
  <si>
    <t>Quỳ Châu</t>
  </si>
  <si>
    <t>Quế Phong</t>
  </si>
  <si>
    <t>Quỳ Hợp</t>
  </si>
  <si>
    <t>Con Cuông</t>
  </si>
  <si>
    <t>Tương Dương</t>
  </si>
  <si>
    <t>Kỳ Sơn</t>
  </si>
  <si>
    <t>HỒ SƠ DỰ BÁO MƯA LỚN ĐỊNH LƯỢNG</t>
  </si>
  <si>
    <r>
      <t xml:space="preserve"> </t>
    </r>
    <r>
      <rPr>
        <i/>
        <sz val="13"/>
        <color rgb="FF000000"/>
        <rFont val="Times New Roman"/>
        <family val="1"/>
      </rPr>
      <t>(Hoàn thành trước giờ phát tin 75’)</t>
    </r>
  </si>
  <si>
    <t>Các loại bản tin</t>
  </si>
  <si>
    <t>Đầy đủ</t>
  </si>
  <si>
    <r>
      <t xml:space="preserve">Kết luận </t>
    </r>
    <r>
      <rPr>
        <i/>
        <sz val="13"/>
        <color rgb="FF000000"/>
        <rFont val="Times New Roman"/>
        <family val="1"/>
      </rPr>
      <t>(tính đầy đủ, có bổ sung, chỉnh lý)</t>
    </r>
  </si>
  <si>
    <t>Số liệu đầy đủ</t>
  </si>
  <si>
    <r>
      <t xml:space="preserve"> </t>
    </r>
    <r>
      <rPr>
        <i/>
        <sz val="13"/>
        <color rgb="FF000000"/>
        <rFont val="Times New Roman"/>
        <family val="1"/>
      </rPr>
      <t>(Hoàn thành trước giờ phát tin 60’)</t>
    </r>
  </si>
  <si>
    <t>Kết luận</t>
  </si>
  <si>
    <t>(Khu vực mưa, tổng lượng mưa, thời gian bắt đầu và kết thúc)</t>
  </si>
  <si>
    <t>(Hoàn thành trước giờ phát tin 15’):</t>
  </si>
  <si>
    <r>
      <t xml:space="preserve">5. Xây dựng bản tin dự báo: </t>
    </r>
    <r>
      <rPr>
        <i/>
        <sz val="13"/>
        <color rgb="FF000000"/>
        <rFont val="Times New Roman"/>
        <family val="1"/>
      </rPr>
      <t>(Hoàn thành trước giờ phát tin 5’):</t>
    </r>
  </si>
  <si>
    <r>
      <t>6. Cung cấp bản tin dự báo</t>
    </r>
    <r>
      <rPr>
        <sz val="13"/>
        <color rgb="FF000000"/>
        <rFont val="Times New Roman"/>
        <family val="1"/>
      </rPr>
      <t xml:space="preserve">: </t>
    </r>
  </si>
  <si>
    <t>(Fax, Email, cập nhật web và các trục trặc)</t>
  </si>
  <si>
    <t>(Email, web)</t>
  </si>
  <si>
    <r>
      <t>(Thời gian và các thông tin cập nhật</t>
    </r>
    <r>
      <rPr>
        <sz val="13"/>
        <color rgb="FF000000"/>
        <rFont val="Times New Roman"/>
        <family val="1"/>
      </rPr>
      <t>)</t>
    </r>
  </si>
  <si>
    <t>( Đánh giá tính kịp thời, đầy đủ, chất lượng)</t>
  </si>
  <si>
    <t>Sai số trung bình (mm)</t>
  </si>
  <si>
    <t>Độ tin cậy tổng lượng mưa 24h (%)</t>
  </si>
  <si>
    <t>HỒ SƠ DỰ BÁO ĐỊNH LƯỢNG MƯA</t>
  </si>
  <si>
    <t>(Phần ghi thảo luận dự báo)</t>
  </si>
  <si>
    <t xml:space="preserve">Tin phát lúc : </t>
  </si>
  <si>
    <t>Phan Văn Vinh</t>
  </si>
  <si>
    <t>Hoàng Thu Hương</t>
  </si>
  <si>
    <t>Đào Anh Công</t>
  </si>
  <si>
    <t>Phan Như Xuyến</t>
  </si>
  <si>
    <t>Trần Ánh Hồng</t>
  </si>
  <si>
    <t>Phạm Trà My</t>
  </si>
  <si>
    <t>Phan Thị Toàn</t>
  </si>
  <si>
    <t>Nguyễn Trần Linh Chi</t>
  </si>
  <si>
    <t>Đồng nhất với sy nốp</t>
  </si>
  <si>
    <t>Tin dự báo mưa lớn diện rộng và Cảnh báo mưa dông, lốc sét, gió giật mạnh.
Tin mưa lớn định lượng</t>
  </si>
  <si>
    <t>Nhiều mây</t>
  </si>
  <si>
    <t>Đ</t>
  </si>
  <si>
    <t>Cảnh báo cấp độ rủi ro thiên tai do mưa lớn: Cấp 1.</t>
  </si>
  <si>
    <t>Trần Thị Thu Hiền</t>
  </si>
  <si>
    <t>Nguyễn Thị Hương</t>
  </si>
  <si>
    <t>Khu vực</t>
  </si>
  <si>
    <t>Thời gian ảnh hưởng</t>
  </si>
  <si>
    <t>Tổng lượng (mm)</t>
  </si>
  <si>
    <t>TIN DỰ BÁO MƯA LỚN ĐỊNH LƯỢNG CHO TỈNH NGHỆ AN</t>
  </si>
  <si>
    <t>Điểm dự báo</t>
  </si>
  <si>
    <t>Phổ biến</t>
  </si>
  <si>
    <t>Lớn nhất</t>
  </si>
  <si>
    <t>Tổng lượng mưa 24 giờ</t>
  </si>
  <si>
    <t>Ghi chú</t>
  </si>
  <si>
    <t xml:space="preserve">       Dự báo lượng mưa chi tiết:</t>
  </si>
  <si>
    <r>
      <t>Số liệu mưa thực đo</t>
    </r>
    <r>
      <rPr>
        <sz val="11"/>
        <color rgb="FF000000"/>
        <rFont val="Times New Roman"/>
        <family val="1"/>
      </rPr>
      <t>(thời
gian, khu vực, lượng mưa, mưa
lớn cục bộ)</t>
    </r>
  </si>
  <si>
    <r>
      <t xml:space="preserve">Ra đa thời tiết </t>
    </r>
    <r>
      <rPr>
        <sz val="11"/>
        <color rgb="FF000000"/>
        <rFont val="Times New Roman"/>
        <family val="1"/>
      </rPr>
      <t>(thời gian, khu
vực, lượng mưa, mưa lớn cục
bộ)</t>
    </r>
  </si>
  <si>
    <r>
      <t xml:space="preserve">Ảnh mây vệ tinh </t>
    </r>
    <r>
      <rPr>
        <sz val="11"/>
        <color rgb="FF000000"/>
        <rFont val="Times New Roman"/>
        <family val="1"/>
      </rPr>
      <t>(thời gian, khu vực, lượng mưa, mưa lớn
cục bộ)</t>
    </r>
  </si>
  <si>
    <r>
      <rPr>
        <sz val="13"/>
        <color rgb="FF000000"/>
        <rFont val="Times New Roman"/>
        <family val="1"/>
      </rPr>
      <t>Bản đồ phân tích khách quan</t>
    </r>
    <r>
      <rPr>
        <b/>
        <sz val="13"/>
        <color rgb="FF000000"/>
        <rFont val="Times New Roman"/>
        <family val="1"/>
      </rPr>
      <t xml:space="preserve"> </t>
    </r>
    <r>
      <rPr>
        <sz val="11"/>
        <color rgb="FF000000"/>
        <rFont val="Times New Roman"/>
        <family val="1"/>
      </rPr>
      <t>(thời gian, khu vực, lượng
mưa, mưa lớn cục bộ)</t>
    </r>
  </si>
  <si>
    <t>Các mô hình số, tổ hợp mô
hình số (thời gian, khu vực,
lượng mưa, mưa lớn cục bộ)</t>
  </si>
  <si>
    <t>Smartmet (hiệu chỉnh các
tham số trong mô hình: Mô hình
đã sử dụng để hiệu chỉnh; Công
thức đã sử dụng để hiệu chỉnh;
Các sai số mô hình, sai số dự
báo của các ca trước phát hiện
được; Các lỗi trong quá trình
thực hiện )</t>
  </si>
  <si>
    <t>Không hiệu chỉnh</t>
  </si>
  <si>
    <r>
      <t xml:space="preserve">Trên cơ sở ảnh mây vệ tinh
</t>
    </r>
    <r>
      <rPr>
        <sz val="11"/>
        <color rgb="FF000000"/>
        <rFont val="Times New Roman"/>
        <family val="1"/>
      </rPr>
      <t>(khả năng phát triển hoặc suy
yếu của hệ thống mây, ước
lượng mưa tại các địa điểm, khu
vực)</t>
    </r>
  </si>
  <si>
    <r>
      <t>Trên cơ sở số liệu mưa thực
đo</t>
    </r>
    <r>
      <rPr>
        <sz val="11"/>
        <color rgb="FF000000"/>
        <rFont val="Times New Roman"/>
        <family val="1"/>
      </rPr>
      <t xml:space="preserve"> (thời gian, khu vực, lượng mưa, mưa lớn cục bộ)</t>
    </r>
  </si>
  <si>
    <r>
      <rPr>
        <b/>
        <sz val="13"/>
        <rFont val="Times New Roman"/>
        <family val="1"/>
      </rPr>
      <t>1. Cảnh báo khả năng xảy ra mưa lớn</t>
    </r>
    <r>
      <rPr>
        <sz val="13"/>
        <rFont val="Times New Roman"/>
        <family val="1"/>
      </rPr>
      <t>:</t>
    </r>
  </si>
  <si>
    <r>
      <rPr>
        <b/>
        <sz val="11"/>
        <color theme="1"/>
        <rFont val="Times New Roman"/>
        <family val="1"/>
      </rPr>
      <t>Kính gửi</t>
    </r>
    <r>
      <rPr>
        <sz val="11"/>
        <color theme="1"/>
        <rFont val="Times New Roman"/>
        <family val="1"/>
      </rPr>
      <t>: - Văn phòng Tỉnh ủy tỉnh Nghệ An
                 - Văn phòng UBND tỉnh Nghệ An</t>
    </r>
  </si>
  <si>
    <t>TUQ. GIÁM ĐỐC
TRƯỞNG PHÒNG DỰ BÁO KTTV
Tăng Văn An</t>
  </si>
  <si>
    <t xml:space="preserve">  Tin phát lúc:</t>
  </si>
  <si>
    <t xml:space="preserve"> Tin phát lúc:</t>
  </si>
  <si>
    <r>
      <rPr>
        <b/>
        <sz val="11"/>
        <color theme="1"/>
        <rFont val="Times New Roman"/>
        <family val="1"/>
      </rPr>
      <t>Kính gửi</t>
    </r>
    <r>
      <rPr>
        <sz val="11"/>
        <color theme="1"/>
        <rFont val="Times New Roman"/>
        <family val="1"/>
      </rPr>
      <t xml:space="preserve">:   - Văn phòng Tỉnh ủy tỉnh Nghệ An
                 - Văn phòng UBND tỉnh Nghệ An
</t>
    </r>
  </si>
  <si>
    <t>Dự báo viên:</t>
  </si>
  <si>
    <t>%</t>
  </si>
  <si>
    <r>
      <rPr>
        <b/>
        <i/>
        <sz val="12"/>
        <color theme="1"/>
        <rFont val="Times New Roman"/>
        <family val="1"/>
      </rPr>
      <t>Nơi nhận:</t>
    </r>
    <r>
      <rPr>
        <sz val="12"/>
        <color theme="1"/>
        <rFont val="Times New Roman"/>
        <family val="1"/>
      </rPr>
      <t xml:space="preserve">
</t>
    </r>
    <r>
      <rPr>
        <sz val="11"/>
        <color theme="1"/>
        <rFont val="Times New Roman"/>
        <family val="1"/>
      </rPr>
      <t>- Như trên;
- VP TT PCTT, TKCN &amp; PTDS tỉnh NA;
- Sở TN&amp;MT tỉnh Nghệ An;
- Đài PT&amp;TH tỉnh Nghệ An;
- Báo Nghệ An;
- Khối trạm Nghệ An;
- Lãnh đạo Đài KV;
- 02 Đài tỉnh TH&amp;HT;
- Lưu VP, DB.</t>
    </r>
  </si>
  <si>
    <t>2. Cảnh báo cấp độ rủi ro thiên tai do lốc, sét, mưa đá: Cấp 1.</t>
  </si>
  <si>
    <t>Cảnh báo cấp độ rủi ro thiên tai do lốc, sét, mưa đá: Cấp 1.</t>
  </si>
  <si>
    <t>Thanh Hóa</t>
  </si>
  <si>
    <r>
      <rPr>
        <b/>
        <i/>
        <sz val="12"/>
        <color theme="1"/>
        <rFont val="Times New Roman"/>
        <family val="1"/>
      </rPr>
      <t>Nơi nhận:</t>
    </r>
    <r>
      <rPr>
        <sz val="11"/>
        <color theme="1"/>
        <rFont val="Times New Roman"/>
        <family val="1"/>
      </rPr>
      <t xml:space="preserve">
- Như trên;
- VP TT PCTT, TKCN &amp; PTDS tỉnh NA;
- Sở TN&amp;MT tỉnh Nghệ An;
- Đài PT&amp;TH tỉnh Nghệ An;
- Báo Nghệ An;
- Khối trạm Nghệ An;
- Vụ QLDB; Phòng Dự báo Thời tiết;
- Lãnh đạo Đài KV;
- 02 Đài tỉnh TH&amp;HT;
- Lưu VP, DB.</t>
    </r>
  </si>
  <si>
    <t>TIN CẢNH BÁO MƯA LỚN Ở BẮC TRUNG BỘ</t>
  </si>
  <si>
    <t xml:space="preserve">
     </t>
  </si>
  <si>
    <r>
      <rPr>
        <b/>
        <i/>
        <sz val="10"/>
        <color theme="1"/>
        <rFont val="Times New Roman"/>
        <family val="1"/>
      </rPr>
      <t>Nơi nhận:</t>
    </r>
    <r>
      <rPr>
        <sz val="10"/>
        <color theme="1"/>
        <rFont val="Times New Roman"/>
        <family val="1"/>
      </rPr>
      <t xml:space="preserve">
- Như trên;
- VP TT PCTT, TKCN &amp; PTDS tỉnh NA;
- Sở TN&amp;MT tỉnh Nghệ An;
- Đài PT&amp;TH tỉnh Nghệ An;
- Báo Nghệ An;
- Khối trạm Nghệ An;
- Vụ QLDB, Phòng Thời tiết TTKTTVQG;
- Lãnh đạo Đài KV;
- 02 Đài tỉnh TH&amp;HT;
- Lưu VP, DB.</t>
    </r>
  </si>
  <si>
    <t>Nghệ An</t>
  </si>
  <si>
    <t>Hình 1: Lượng mưa khu vực Bắc Trung Bộ trong 24 giờ tới</t>
  </si>
  <si>
    <t>Mây thay đổi đến nhiều mây</t>
  </si>
  <si>
    <r>
      <t>3. Dự báo tác động của mưa:</t>
    </r>
    <r>
      <rPr>
        <sz val="13"/>
        <rFont val="Times New Roman"/>
        <family val="1"/>
      </rPr>
      <t xml:space="preserve"> Đề phòng nguy cơ xảy ra lũ quét, sạt lở đất tại khu vực vùng núi và ngập úng tại các khu vực trũng, thấp; đề phòng mưa với cường độ lớn trong một thời gian ngắn gây ngập úng tại các khu đô thị. Trong mưa dông có khả năng xảy ra lốc, sét, mưa đá và gió giật mạnh.</t>
    </r>
  </si>
  <si>
    <r>
      <t xml:space="preserve">     </t>
    </r>
    <r>
      <rPr>
        <i/>
        <sz val="13"/>
        <rFont val="Times New Roman"/>
        <family val="1"/>
      </rPr>
      <t>Cảnh báo</t>
    </r>
    <r>
      <rPr>
        <sz val="13"/>
        <rFont val="Times New Roman"/>
        <family val="1"/>
      </rPr>
      <t xml:space="preserve">: Do ảnh hưởng của rãnh áp thấp có trục qua Bắc bộ kết hợp với hoàn lưu cơn bão số 1 nên:
      Tỉnh Thanh Hóa: từ đêm 17 - 20/7 có mưa vừa, mưa to, có nơi mưa rất to và dông với lượng mưa dự báo phổ biến 100-200mm, có nơi trên 300mm. 
      Tỉnh Nghệ An: từ đêm 17 - 20/7 có mưa vừa, mưa to, có nơi mưa rất to và dông với lượng mưa dự báo phổ biến 60-120mm, có nơi trên 150mm. </t>
    </r>
  </si>
  <si>
    <t xml:space="preserve">      Hiện nay (17/7), rãnh thấp có trục qua Bắc bộ nối với tâm cơn bão số 1.</t>
  </si>
  <si>
    <t>Số: MLDR-02/03h30/BTBO</t>
  </si>
  <si>
    <t xml:space="preserve"> Tin phát tiếp theo lúc 09h30 ngày 17/7.</t>
  </si>
  <si>
    <t xml:space="preserve">   Có mưa rào và dông rải rác
      </t>
  </si>
  <si>
    <r>
      <t xml:space="preserve">5. Dự báo tác động của mưa lớn: </t>
    </r>
    <r>
      <rPr>
        <sz val="12"/>
        <rFont val="Times New Roman"/>
        <family val="1"/>
      </rPr>
      <t>Đề phòng nguy cơ xảy ra lũ quét, sạt lở đất tại khu vực vùng núi và ngập úng tại các khu vực trũng, thấp; đề phòng mưa với cường độ lớn trong một thời gian ngắn gây ngập úng tại các khu đô thị. Trong mưa dông có khả năng xảy ra lốc, sét, mưa đá và gió giật mạnh</t>
    </r>
  </si>
  <si>
    <t>5-10</t>
  </si>
  <si>
    <t>4. Cảnh báo cấp độ rủi ro thiên tai do mưa lớn, lốc, sét, mưa đá: Cấp 1.</t>
  </si>
  <si>
    <t>hội tụ gió trên mực 5000m hoạt động mạnh</t>
  </si>
  <si>
    <t>TIN DỰ BÁO MƯA LỚN Ở KHU VỰC BẮC TRUNG BỘ</t>
  </si>
  <si>
    <t>Hà Tĩnh</t>
  </si>
  <si>
    <t>Số: MLDL-09/07h30/BTBO</t>
  </si>
  <si>
    <r>
      <rPr>
        <b/>
        <sz val="15"/>
        <color theme="1"/>
        <rFont val="Times New Roman"/>
        <family val="1"/>
      </rPr>
      <t>Kính gửi</t>
    </r>
    <r>
      <rPr>
        <sz val="15"/>
        <color theme="1"/>
        <rFont val="Times New Roman"/>
        <family val="1"/>
      </rPr>
      <t>: - Văn phòng Tỉnh ủy tỉnh Nghệ An
                 - Văn phòng UBND tỉnh Nghệ An</t>
    </r>
  </si>
  <si>
    <t xml:space="preserve"> Thời gian ban hành bản tin tiếp theo lúc 13h30 ngày 03/08.</t>
  </si>
  <si>
    <t>0-5</t>
  </si>
  <si>
    <t>20 - 50 mm, có nơi trên 70mm</t>
  </si>
  <si>
    <t>Từ 13h/04/8-13h/05/8</t>
  </si>
  <si>
    <t>Số: MLDR-01/21h00/BTBO</t>
  </si>
  <si>
    <r>
      <rPr>
        <b/>
        <sz val="12"/>
        <rFont val="Times New Roman"/>
        <family val="1"/>
      </rPr>
      <t>1. Diễn biến mưa trong 24 giờ qua:</t>
    </r>
    <r>
      <rPr>
        <sz val="12"/>
        <rFont val="Times New Roman"/>
        <family val="1"/>
      </rPr>
      <t xml:space="preserve"> khu vực Bắc Trung Bộ có mưa, mưa rào và dông rải rác, có nơi mưa vừa đến mưa to như Tương Dương 81mm, Kỳ Sơn 60mm,…</t>
    </r>
  </si>
  <si>
    <r>
      <rPr>
        <b/>
        <sz val="12"/>
        <rFont val="Times New Roman"/>
        <family val="1"/>
      </rPr>
      <t>2.</t>
    </r>
    <r>
      <rPr>
        <sz val="12"/>
        <rFont val="Times New Roman"/>
        <family val="1"/>
      </rPr>
      <t xml:space="preserve"> </t>
    </r>
    <r>
      <rPr>
        <b/>
        <sz val="12"/>
        <rFont val="Times New Roman"/>
        <family val="1"/>
      </rPr>
      <t xml:space="preserve">Dự báo diễn biến mưa lớn trong 24 đến 48 giờ tới: 
</t>
    </r>
    <r>
      <rPr>
        <sz val="12"/>
        <rFont val="Times New Roman"/>
        <family val="1"/>
      </rPr>
      <t xml:space="preserve">      Từ đêm 06/8 đến đêm 08/8, khu vực tỉnh Thanh Hóa và Nghệ An có mưa rào và rải rác có dông, cục bộ có nơi mưa vừa đến mưa to với lượng mưa phổ biến từ 20 - 40mm/24h, có nơi trên 70mm/24h; </t>
    </r>
  </si>
  <si>
    <t xml:space="preserve">     Tỉnh Nghệ An: Có mưa, mưa vừa, có nơi mưa to và dông với lượng mưa dự báo phổ biến 20 - 40mm/24h, có nơi trên 70mm/24h như: Quỳ Châu, Quỳ Hợp, Tương Dương,…</t>
  </si>
  <si>
    <t>Từ 22h/07/8-01h/09/8</t>
  </si>
  <si>
    <r>
      <rPr>
        <b/>
        <sz val="12"/>
        <rFont val="Times New Roman"/>
        <family val="1"/>
      </rPr>
      <t>3. Cảnh báo</t>
    </r>
    <r>
      <rPr>
        <sz val="12"/>
        <rFont val="Times New Roman"/>
        <family val="1"/>
      </rPr>
      <t>: Ngày 08/8, khu vực Bác Trung Bộ có mưa, mưa rào và dông, có nơi có mưa vừa đến mưa to</t>
    </r>
  </si>
  <si>
    <t xml:space="preserve"> Thời gian ban hành bản tin tiếp theo lúc 03h30 ngày 07/08.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</si>
</sst>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0" x14ac:knownFonts="1">
    <font>
      <sz val="11"/>
      <color theme="1"/>
      <name val="Calibri"/>
      <family val="2"/>
      <scheme val="minor"/>
    </font>
    <font>
      <sz val="11"/>
      <color theme="1"/>
      <name val="Times New Roman"/>
      <family val="1"/>
    </font>
    <font>
      <b/>
      <sz val="11"/>
      <color theme="1"/>
      <name val="Times New Roman"/>
      <family val="1"/>
    </font>
    <font>
      <b/>
      <sz val="12"/>
      <color theme="1"/>
      <name val="Times New Roman"/>
      <family val="1"/>
    </font>
    <font>
      <sz val="12"/>
      <color theme="1"/>
      <name val="Times New Roman"/>
      <family val="1"/>
    </font>
    <font>
      <b/>
      <sz val="14"/>
      <color theme="1"/>
      <name val="Times New Roman"/>
      <family val="1"/>
    </font>
    <font>
      <sz val="11.5"/>
      <color rgb="FF000000"/>
      <name val="Times New Roman"/>
      <family val="1"/>
    </font>
    <font>
      <i/>
      <sz val="11.5"/>
      <color theme="1"/>
      <name val="Times New Roman"/>
      <family val="1"/>
    </font>
    <font>
      <b/>
      <sz val="11.5"/>
      <color theme="1"/>
      <name val="Times New Roman"/>
      <family val="1"/>
    </font>
    <font>
      <i/>
      <sz val="11"/>
      <color theme="1"/>
      <name val="Times New Roman"/>
      <family val="1"/>
    </font>
    <font>
      <sz val="11"/>
      <color rgb="FFFF0000"/>
      <name val="Calibri"/>
      <family val="2"/>
      <scheme val="minor"/>
    </font>
    <font>
      <i/>
      <sz val="12"/>
      <color theme="1"/>
      <name val="Times New Roman"/>
      <family val="1"/>
    </font>
    <font>
      <sz val="11"/>
      <color rgb="FF000000"/>
      <name val="Times New Roman"/>
      <family val="1"/>
    </font>
    <font>
      <sz val="12"/>
      <name val="Calibri"/>
      <family val="2"/>
      <scheme val="minor"/>
    </font>
    <font>
      <sz val="12"/>
      <color rgb="FFFF0000"/>
      <name val="Calibri"/>
      <family val="2"/>
      <scheme val="minor"/>
    </font>
    <font>
      <sz val="12"/>
      <color theme="1"/>
      <name val="Calibri"/>
      <family val="2"/>
      <scheme val="minor"/>
    </font>
    <font>
      <sz val="10"/>
      <name val="Arial"/>
      <family val="2"/>
    </font>
    <font>
      <b/>
      <sz val="14"/>
      <name val="Times New Roman"/>
      <family val="1"/>
    </font>
    <font>
      <sz val="14"/>
      <name val="Times New Roman"/>
      <family val="1"/>
    </font>
    <font>
      <b/>
      <i/>
      <sz val="14"/>
      <name val="Times New Roman"/>
      <family val="1"/>
    </font>
    <font>
      <sz val="13"/>
      <color theme="1"/>
      <name val="Times New Roman"/>
      <family val="1"/>
    </font>
    <font>
      <sz val="10"/>
      <color theme="1"/>
      <name val="Times New Roman"/>
      <family val="1"/>
    </font>
    <font>
      <b/>
      <sz val="13"/>
      <color rgb="FF000000"/>
      <name val="Times New Roman"/>
      <family val="1"/>
    </font>
    <font>
      <sz val="13"/>
      <color rgb="FF000000"/>
      <name val="Times New Roman"/>
      <family val="1"/>
    </font>
    <font>
      <i/>
      <sz val="13"/>
      <color rgb="FF000000"/>
      <name val="Times New Roman"/>
      <family val="1"/>
    </font>
    <font>
      <sz val="12"/>
      <color rgb="FF000000"/>
      <name val="Times New Roman"/>
      <family val="1"/>
    </font>
    <font>
      <b/>
      <i/>
      <sz val="13"/>
      <color rgb="FF000000"/>
      <name val="Times New Roman"/>
      <family val="1"/>
    </font>
    <font>
      <sz val="14"/>
      <color rgb="FF333333"/>
      <name val="Times New Roman"/>
      <family val="1"/>
    </font>
    <font>
      <b/>
      <sz val="10"/>
      <color theme="1"/>
      <name val="Times New Roman"/>
      <family val="1"/>
    </font>
    <font>
      <sz val="13"/>
      <name val="Times New Roman"/>
      <family val="1"/>
    </font>
    <font>
      <b/>
      <sz val="13"/>
      <name val="Times New Roman"/>
      <family val="1"/>
    </font>
    <font>
      <sz val="14"/>
      <color rgb="FF000000"/>
      <name val="Times New Roman"/>
      <family val="1"/>
    </font>
    <font>
      <sz val="8"/>
      <name val="Calibri"/>
      <family val="2"/>
      <scheme val="minor"/>
    </font>
    <font>
      <sz val="10"/>
      <name val="Arial"/>
      <family val="2"/>
    </font>
    <font>
      <b/>
      <i/>
      <sz val="13"/>
      <name val="Times New Roman"/>
      <family val="1"/>
    </font>
    <font>
      <sz val="10"/>
      <name val="Arial"/>
      <family val="2"/>
    </font>
    <font>
      <i/>
      <sz val="13"/>
      <name val="Times New Roman"/>
      <family val="1"/>
    </font>
    <font>
      <sz val="13"/>
      <color rgb="FF0A0A0A"/>
      <name val="Times New Roman"/>
      <family val="1"/>
    </font>
    <font>
      <i/>
      <sz val="14"/>
      <name val="Times New Roman"/>
      <family val="1"/>
    </font>
    <font>
      <sz val="14"/>
      <color theme="1"/>
      <name val="Times New Roman"/>
      <family val="1"/>
    </font>
    <font>
      <sz val="11"/>
      <name val="Calibri"/>
      <family val="2"/>
      <scheme val="minor"/>
    </font>
    <font>
      <sz val="12"/>
      <name val="Times New Roman"/>
      <family val="1"/>
    </font>
    <font>
      <b/>
      <sz val="13"/>
      <color theme="1"/>
      <name val="Times New Roman"/>
      <family val="1"/>
    </font>
    <font>
      <b/>
      <i/>
      <sz val="12"/>
      <color theme="1"/>
      <name val="Times New Roman"/>
      <family val="1"/>
    </font>
    <font>
      <b/>
      <i/>
      <sz val="10"/>
      <color theme="1"/>
      <name val="Times New Roman"/>
      <family val="1"/>
    </font>
    <font>
      <b/>
      <sz val="12"/>
      <name val="Times New Roman"/>
      <family val="1"/>
    </font>
    <font>
      <b/>
      <i/>
      <sz val="12"/>
      <name val="Times New Roman"/>
      <family val="1"/>
    </font>
    <font>
      <sz val="12"/>
      <color rgb="FF0A0A0A"/>
      <name val="Times New Roman"/>
      <family val="1"/>
    </font>
    <font>
      <sz val="15"/>
      <color theme="1"/>
      <name val="Times New Roman"/>
      <family val="1"/>
    </font>
    <font>
      <b/>
      <sz val="15"/>
      <color theme="1"/>
      <name val="Times New Roman"/>
      <family val="1"/>
    </font>
  </fonts>
  <fills count="3">
    <fill>
      <patternFill patternType="none"/>
    </fill>
    <fill>
      <patternFill patternType="gray125"/>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16" fillId="0" borderId="0"/>
    <xf numFmtId="0" fontId="33" fillId="0" borderId="0" applyNumberFormat="0" applyFill="0" applyBorder="0" applyAlignment="0" applyProtection="0"/>
    <xf numFmtId="0" fontId="35" fillId="0" borderId="0" applyNumberFormat="0" applyFill="0" applyBorder="0" applyAlignment="0" applyProtection="0"/>
  </cellStyleXfs>
  <cellXfs count="183">
    <xf numFmtId="0" fontId="0" fillId="0" borderId="0" xfId="0"/>
    <xf numFmtId="0" fontId="1" fillId="0" borderId="0" xfId="0" applyFont="1"/>
    <xf numFmtId="0" fontId="4" fillId="0" borderId="0" xfId="0" applyFont="1"/>
    <xf numFmtId="0" fontId="4" fillId="0" borderId="0" xfId="0" applyFont="1" applyAlignment="1">
      <alignment wrapText="1"/>
    </xf>
    <xf numFmtId="0" fontId="4" fillId="0" borderId="0" xfId="0" applyFont="1" applyAlignment="1">
      <alignment horizontal="left"/>
    </xf>
    <xf numFmtId="0" fontId="2" fillId="0" borderId="0" xfId="0" applyFont="1" applyAlignment="1">
      <alignment horizontal="center"/>
    </xf>
    <xf numFmtId="0" fontId="9" fillId="0" borderId="0" xfId="0" applyFont="1"/>
    <xf numFmtId="0" fontId="1" fillId="0" borderId="0" xfId="0" applyFont="1" applyAlignment="1">
      <alignment vertical="top" wrapText="1"/>
    </xf>
    <xf numFmtId="0" fontId="2" fillId="0" borderId="0" xfId="0" applyFont="1" applyAlignment="1">
      <alignment vertical="top"/>
    </xf>
    <xf numFmtId="0" fontId="1" fillId="0" borderId="0" xfId="0" applyFont="1" applyAlignment="1">
      <alignment vertical="top"/>
    </xf>
    <xf numFmtId="0" fontId="2" fillId="0" borderId="0" xfId="0" applyFont="1"/>
    <xf numFmtId="0" fontId="6" fillId="0" borderId="0" xfId="0" applyFont="1" applyAlignment="1">
      <alignment vertical="center" wrapText="1"/>
    </xf>
    <xf numFmtId="0" fontId="8" fillId="0" borderId="0" xfId="0" applyFont="1" applyAlignment="1">
      <alignment vertical="center" wrapText="1"/>
    </xf>
    <xf numFmtId="0" fontId="7" fillId="0" borderId="0" xfId="0" applyFont="1" applyAlignment="1">
      <alignment vertical="center" wrapText="1"/>
    </xf>
    <xf numFmtId="0" fontId="1" fillId="0" borderId="0" xfId="0" applyFont="1" applyAlignment="1">
      <alignment vertical="center" wrapText="1"/>
    </xf>
    <xf numFmtId="0" fontId="3" fillId="0" borderId="0" xfId="0" applyFont="1" applyAlignment="1">
      <alignment horizontal="center"/>
    </xf>
    <xf numFmtId="0" fontId="4" fillId="0" borderId="3" xfId="0" applyFont="1" applyBorder="1" applyAlignment="1">
      <alignment horizontal="center" vertical="center"/>
    </xf>
    <xf numFmtId="0" fontId="2" fillId="0" borderId="12" xfId="0" applyFont="1" applyBorder="1" applyAlignment="1">
      <alignment vertical="top"/>
    </xf>
    <xf numFmtId="0" fontId="2" fillId="0" borderId="11" xfId="0" applyFont="1" applyBorder="1" applyAlignment="1">
      <alignment vertical="top"/>
    </xf>
    <xf numFmtId="14" fontId="2" fillId="0" borderId="9" xfId="0" applyNumberFormat="1" applyFont="1" applyBorder="1" applyAlignment="1">
      <alignment vertical="top"/>
    </xf>
    <xf numFmtId="14" fontId="2" fillId="0" borderId="0" xfId="0" applyNumberFormat="1" applyFont="1" applyAlignment="1">
      <alignment vertical="top"/>
    </xf>
    <xf numFmtId="0" fontId="12" fillId="0" borderId="0" xfId="0" applyFont="1" applyAlignment="1">
      <alignment horizontal="center" vertical="top" wrapText="1"/>
    </xf>
    <xf numFmtId="14" fontId="13" fillId="0" borderId="0" xfId="0" applyNumberFormat="1" applyFont="1"/>
    <xf numFmtId="0" fontId="14" fillId="0" borderId="0" xfId="0" applyFont="1"/>
    <xf numFmtId="14" fontId="0" fillId="0" borderId="0" xfId="0" applyNumberFormat="1"/>
    <xf numFmtId="14" fontId="15" fillId="0" borderId="0" xfId="0" applyNumberFormat="1" applyFont="1"/>
    <xf numFmtId="0" fontId="17" fillId="0" borderId="1" xfId="1" applyFont="1" applyBorder="1" applyProtection="1">
      <protection locked="0"/>
    </xf>
    <xf numFmtId="0" fontId="18" fillId="0" borderId="0" xfId="1" applyFont="1" applyAlignment="1" applyProtection="1">
      <alignment vertical="center"/>
      <protection locked="0"/>
    </xf>
    <xf numFmtId="0" fontId="18" fillId="0" borderId="0" xfId="1" applyFont="1" applyProtection="1">
      <protection locked="0"/>
    </xf>
    <xf numFmtId="0" fontId="18" fillId="0" borderId="0" xfId="1" applyFont="1" applyAlignment="1" applyProtection="1">
      <alignment horizontal="center" vertical="center"/>
      <protection locked="0"/>
    </xf>
    <xf numFmtId="0" fontId="18" fillId="0" borderId="0" xfId="1" applyFont="1" applyAlignment="1" applyProtection="1">
      <alignment wrapText="1"/>
      <protection locked="0"/>
    </xf>
    <xf numFmtId="0" fontId="18" fillId="0" borderId="0" xfId="1" applyFont="1" applyAlignment="1">
      <alignment wrapText="1"/>
    </xf>
    <xf numFmtId="0" fontId="17" fillId="0" borderId="0" xfId="1" applyFont="1" applyAlignment="1" applyProtection="1">
      <alignment vertical="center"/>
      <protection locked="0"/>
    </xf>
    <xf numFmtId="164" fontId="17" fillId="0" borderId="0" xfId="1" applyNumberFormat="1" applyFont="1" applyProtection="1">
      <protection hidden="1"/>
    </xf>
    <xf numFmtId="0" fontId="17" fillId="0" borderId="11" xfId="1" applyFont="1" applyBorder="1" applyProtection="1">
      <protection hidden="1"/>
    </xf>
    <xf numFmtId="0" fontId="17" fillId="0" borderId="0" xfId="1" applyFont="1" applyProtection="1">
      <protection hidden="1"/>
    </xf>
    <xf numFmtId="0" fontId="20" fillId="0" borderId="0" xfId="0" applyFont="1" applyAlignment="1">
      <alignment horizontal="center" vertical="center"/>
    </xf>
    <xf numFmtId="0" fontId="21" fillId="0" borderId="0" xfId="0" applyFont="1" applyAlignment="1">
      <alignment vertical="center" wrapText="1"/>
    </xf>
    <xf numFmtId="0" fontId="22" fillId="0" borderId="0" xfId="0" applyFont="1" applyAlignment="1">
      <alignment horizontal="center" vertical="center"/>
    </xf>
    <xf numFmtId="0" fontId="26" fillId="0" borderId="0" xfId="0" applyFont="1" applyAlignment="1">
      <alignment vertical="center"/>
    </xf>
    <xf numFmtId="0" fontId="5" fillId="0" borderId="0" xfId="0" applyFont="1" applyAlignment="1">
      <alignment vertical="center"/>
    </xf>
    <xf numFmtId="49" fontId="18" fillId="0" borderId="0" xfId="1" applyNumberFormat="1" applyFont="1" applyProtection="1">
      <protection locked="0"/>
    </xf>
    <xf numFmtId="22" fontId="18" fillId="0" borderId="0" xfId="0" applyNumberFormat="1" applyFont="1" applyAlignment="1">
      <alignment horizontal="left"/>
    </xf>
    <xf numFmtId="0" fontId="0" fillId="0" borderId="0" xfId="0" applyAlignment="1">
      <alignment horizontal="left"/>
    </xf>
    <xf numFmtId="0" fontId="18" fillId="2" borderId="1" xfId="1" applyFont="1" applyFill="1" applyBorder="1" applyAlignment="1" applyProtection="1">
      <alignment horizontal="center"/>
      <protection hidden="1"/>
    </xf>
    <xf numFmtId="2" fontId="0" fillId="0" borderId="0" xfId="0" applyNumberFormat="1"/>
    <xf numFmtId="4" fontId="0" fillId="0" borderId="0" xfId="0" applyNumberFormat="1"/>
    <xf numFmtId="0" fontId="18" fillId="0" borderId="0" xfId="1" applyFont="1" applyAlignment="1" applyProtection="1">
      <alignment horizontal="center" wrapText="1"/>
      <protection locked="0"/>
    </xf>
    <xf numFmtId="0" fontId="0" fillId="0" borderId="0" xfId="0" applyAlignment="1">
      <alignment vertical="top"/>
    </xf>
    <xf numFmtId="0" fontId="0" fillId="0" borderId="0" xfId="0" applyAlignment="1">
      <alignment horizontal="fill"/>
    </xf>
    <xf numFmtId="0" fontId="20" fillId="0" borderId="0" xfId="0" applyFont="1"/>
    <xf numFmtId="49" fontId="18" fillId="2" borderId="13" xfId="1" applyNumberFormat="1" applyFont="1" applyFill="1" applyBorder="1" applyAlignment="1" applyProtection="1">
      <alignment horizontal="center"/>
      <protection hidden="1"/>
    </xf>
    <xf numFmtId="0" fontId="39" fillId="0" borderId="1" xfId="0" applyFont="1" applyBorder="1" applyAlignment="1">
      <alignment horizontal="center" vertical="center"/>
    </xf>
    <xf numFmtId="0" fontId="39" fillId="0" borderId="1" xfId="0" applyFont="1" applyBorder="1" applyAlignment="1">
      <alignment horizontal="center" vertical="center" wrapText="1"/>
    </xf>
    <xf numFmtId="0" fontId="18" fillId="0" borderId="1" xfId="1" applyFont="1" applyBorder="1" applyProtection="1">
      <protection locked="0"/>
    </xf>
    <xf numFmtId="0" fontId="17" fillId="0" borderId="0" xfId="1" applyFont="1" applyAlignment="1">
      <alignment vertical="center"/>
    </xf>
    <xf numFmtId="0" fontId="40" fillId="0" borderId="0" xfId="0" applyFont="1"/>
    <xf numFmtId="49" fontId="18" fillId="0" borderId="1" xfId="1" applyNumberFormat="1" applyFont="1" applyBorder="1" applyAlignment="1">
      <alignment horizontal="center"/>
    </xf>
    <xf numFmtId="0" fontId="3" fillId="0" borderId="0" xfId="0" applyFont="1" applyAlignment="1">
      <alignment vertical="top" wrapText="1"/>
    </xf>
    <xf numFmtId="0" fontId="20" fillId="0" borderId="0" xfId="0" applyFont="1" applyAlignment="1">
      <alignment horizontal="left"/>
    </xf>
    <xf numFmtId="0" fontId="37" fillId="0" borderId="0" xfId="0" applyFont="1" applyAlignment="1">
      <alignment vertical="center"/>
    </xf>
    <xf numFmtId="0" fontId="19" fillId="0" borderId="0" xfId="1" applyFont="1" applyProtection="1">
      <protection locked="0"/>
    </xf>
    <xf numFmtId="0" fontId="3" fillId="0" borderId="0" xfId="0" applyFont="1"/>
    <xf numFmtId="0" fontId="5" fillId="0" borderId="0" xfId="0" applyFont="1"/>
    <xf numFmtId="0" fontId="29" fillId="0" borderId="0" xfId="1" applyFont="1" applyAlignment="1" applyProtection="1">
      <alignment vertical="center"/>
      <protection locked="0"/>
    </xf>
    <xf numFmtId="0" fontId="29" fillId="0" borderId="0" xfId="1" applyFont="1" applyAlignment="1">
      <alignment horizontal="center" vertical="center"/>
    </xf>
    <xf numFmtId="0" fontId="38" fillId="0" borderId="0" xfId="1" applyFont="1" applyAlignment="1">
      <alignment vertical="center"/>
    </xf>
    <xf numFmtId="0" fontId="0" fillId="0" borderId="0" xfId="0" applyAlignment="1">
      <alignment wrapText="1"/>
    </xf>
    <xf numFmtId="0" fontId="47" fillId="0" borderId="0" xfId="0" applyFont="1" applyAlignment="1">
      <alignment vertical="center"/>
    </xf>
    <xf numFmtId="0" fontId="1" fillId="0" borderId="0" xfId="0" applyFont="1" applyAlignment="1">
      <alignment horizontal="center" vertical="center"/>
    </xf>
    <xf numFmtId="0" fontId="28" fillId="0" borderId="0" xfId="0" applyFont="1" applyAlignment="1">
      <alignment horizontal="center" wrapText="1"/>
    </xf>
    <xf numFmtId="0" fontId="2" fillId="0" borderId="0" xfId="0" applyFont="1" applyAlignment="1">
      <alignment horizontal="center" vertical="center"/>
    </xf>
    <xf numFmtId="0" fontId="1" fillId="0" borderId="0" xfId="0" applyFont="1" applyAlignment="1">
      <alignment horizontal="center"/>
    </xf>
    <xf numFmtId="0" fontId="1" fillId="0" borderId="0" xfId="0" applyFont="1" applyAlignment="1">
      <alignment horizontal="center" vertical="top" wrapText="1"/>
    </xf>
    <xf numFmtId="0" fontId="42" fillId="0" borderId="0" xfId="0" applyFont="1" applyAlignment="1">
      <alignment horizontal="center" vertical="top" wrapText="1"/>
    </xf>
    <xf numFmtId="0" fontId="30" fillId="0" borderId="0" xfId="0" applyFont="1" applyAlignment="1">
      <alignment horizontal="left" vertical="justify" wrapText="1"/>
    </xf>
    <xf numFmtId="0" fontId="30" fillId="0" borderId="0" xfId="0" applyFont="1" applyAlignment="1">
      <alignment horizontal="left" vertical="top" wrapText="1"/>
    </xf>
    <xf numFmtId="0" fontId="34" fillId="0" borderId="0" xfId="0" applyFont="1" applyAlignment="1">
      <alignment horizontal="left" vertical="top" wrapText="1"/>
    </xf>
    <xf numFmtId="0" fontId="1" fillId="0" borderId="0" xfId="0" applyFont="1" applyAlignment="1">
      <alignment horizontal="left" vertical="top" wrapText="1"/>
    </xf>
    <xf numFmtId="0" fontId="29" fillId="0" borderId="0" xfId="0" applyFont="1" applyAlignment="1">
      <alignment horizontal="left" vertical="top" wrapText="1"/>
    </xf>
    <xf numFmtId="0" fontId="20" fillId="0" borderId="0" xfId="0" applyFont="1" applyAlignment="1">
      <alignment horizontal="left"/>
    </xf>
    <xf numFmtId="0" fontId="42" fillId="0" borderId="0" xfId="0" applyFont="1" applyAlignment="1">
      <alignment horizontal="center" vertical="center" wrapText="1"/>
    </xf>
    <xf numFmtId="0" fontId="29" fillId="0" borderId="0" xfId="0" applyFont="1" applyAlignment="1">
      <alignment horizontal="left" vertical="center" wrapText="1"/>
    </xf>
    <xf numFmtId="0" fontId="4" fillId="0" borderId="7" xfId="0" applyFont="1" applyBorder="1" applyAlignment="1">
      <alignment horizontal="left" vertical="top" wrapText="1"/>
    </xf>
    <xf numFmtId="0" fontId="4" fillId="0" borderId="0" xfId="0" applyFont="1" applyAlignment="1">
      <alignment horizontal="left" vertical="top" wrapText="1"/>
    </xf>
    <xf numFmtId="0" fontId="4" fillId="0" borderId="8" xfId="0" applyFont="1" applyBorder="1" applyAlignment="1">
      <alignment horizontal="left" vertical="top" wrapText="1"/>
    </xf>
    <xf numFmtId="0" fontId="10" fillId="0" borderId="0" xfId="0" applyFont="1" applyAlignment="1">
      <alignment horizontal="center" vertical="center"/>
    </xf>
    <xf numFmtId="0" fontId="0" fillId="0" borderId="0" xfId="0" applyAlignment="1">
      <alignment horizontal="center" vertical="center"/>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4" xfId="0" applyFont="1" applyBorder="1" applyAlignment="1">
      <alignment horizontal="left" vertical="center" wrapText="1"/>
    </xf>
    <xf numFmtId="0" fontId="11"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1" xfId="0" applyFont="1" applyBorder="1" applyAlignment="1">
      <alignment horizontal="left" vertical="top" wrapText="1"/>
    </xf>
    <xf numFmtId="0" fontId="10" fillId="0" borderId="7" xfId="0" applyFont="1" applyBorder="1" applyAlignment="1">
      <alignment horizontal="center" vertical="center"/>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3" fillId="0" borderId="1" xfId="0" applyFont="1" applyBorder="1" applyAlignment="1">
      <alignment horizontal="left" vertical="center" wrapText="1"/>
    </xf>
    <xf numFmtId="0" fontId="41" fillId="0" borderId="1" xfId="0" applyFont="1" applyBorder="1" applyAlignment="1">
      <alignment horizontal="left" vertical="center" wrapText="1"/>
    </xf>
    <xf numFmtId="0" fontId="3" fillId="0" borderId="0" xfId="0" applyFont="1" applyAlignment="1">
      <alignment horizontal="left" vertical="center"/>
    </xf>
    <xf numFmtId="0" fontId="11" fillId="0" borderId="7" xfId="0" applyFont="1" applyBorder="1" applyAlignment="1">
      <alignment horizontal="left" vertical="top" wrapText="1"/>
    </xf>
    <xf numFmtId="0" fontId="11" fillId="0" borderId="0" xfId="0" applyFont="1" applyAlignment="1">
      <alignment horizontal="left" vertical="top" wrapText="1"/>
    </xf>
    <xf numFmtId="0" fontId="11" fillId="0" borderId="8" xfId="0" applyFont="1" applyBorder="1" applyAlignment="1">
      <alignment horizontal="left" vertical="top" wrapText="1"/>
    </xf>
    <xf numFmtId="0" fontId="5" fillId="0" borderId="0" xfId="0" applyFont="1" applyAlignment="1">
      <alignment horizontal="center" vertical="center"/>
    </xf>
    <xf numFmtId="0" fontId="4" fillId="0" borderId="0" xfId="0" applyFont="1" applyAlignment="1">
      <alignment horizontal="left"/>
    </xf>
    <xf numFmtId="0" fontId="3" fillId="0" borderId="0" xfId="0" applyFont="1" applyAlignment="1">
      <alignment horizontal="center"/>
    </xf>
    <xf numFmtId="0" fontId="3" fillId="0" borderId="0" xfId="0" applyFont="1" applyAlignment="1">
      <alignment horizontal="left" vertical="top"/>
    </xf>
    <xf numFmtId="0" fontId="4" fillId="0" borderId="2" xfId="0" applyFont="1" applyBorder="1" applyAlignment="1">
      <alignment horizontal="center" vertical="center" wrapText="1"/>
    </xf>
    <xf numFmtId="0" fontId="4" fillId="0" borderId="5" xfId="0" applyFont="1" applyBorder="1" applyAlignment="1">
      <alignment horizontal="left" vertical="top" wrapText="1"/>
    </xf>
    <xf numFmtId="0" fontId="4" fillId="0" borderId="10" xfId="0" applyFont="1" applyBorder="1" applyAlignment="1">
      <alignment horizontal="left" vertical="top" wrapText="1"/>
    </xf>
    <xf numFmtId="0" fontId="4" fillId="0" borderId="6" xfId="0" applyFont="1" applyBorder="1" applyAlignment="1">
      <alignment horizontal="left" vertical="top"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2" fillId="0" borderId="0" xfId="0" applyFont="1" applyAlignment="1">
      <alignment horizontal="left" vertical="center" wrapText="1"/>
    </xf>
    <xf numFmtId="0" fontId="4" fillId="0" borderId="2" xfId="0" applyFont="1" applyBorder="1" applyAlignment="1">
      <alignment horizontal="right" vertical="center"/>
    </xf>
    <xf numFmtId="0" fontId="4" fillId="0" borderId="3" xfId="0" applyFont="1" applyBorder="1" applyAlignment="1">
      <alignment horizontal="right" vertical="center"/>
    </xf>
    <xf numFmtId="0" fontId="4" fillId="0" borderId="3" xfId="0" applyFont="1" applyBorder="1" applyAlignment="1">
      <alignment horizontal="left" vertical="center" wrapText="1"/>
    </xf>
    <xf numFmtId="0" fontId="4" fillId="0" borderId="4" xfId="0" applyFont="1" applyBorder="1" applyAlignment="1">
      <alignment horizontal="left" vertical="center" wrapText="1"/>
    </xf>
    <xf numFmtId="0" fontId="12" fillId="0" borderId="2" xfId="0" applyFont="1" applyBorder="1" applyAlignment="1">
      <alignment horizontal="center" vertical="top" wrapText="1"/>
    </xf>
    <xf numFmtId="0" fontId="12" fillId="0" borderId="4" xfId="0" applyFont="1" applyBorder="1" applyAlignment="1">
      <alignment horizontal="center" vertical="top" wrapText="1"/>
    </xf>
    <xf numFmtId="0" fontId="12" fillId="0" borderId="3" xfId="0" applyFont="1" applyBorder="1" applyAlignment="1">
      <alignment horizontal="center" vertical="top" wrapText="1"/>
    </xf>
    <xf numFmtId="9" fontId="12" fillId="0" borderId="2" xfId="0" applyNumberFormat="1" applyFont="1" applyBorder="1" applyAlignment="1">
      <alignment horizontal="center" vertical="top" wrapText="1"/>
    </xf>
    <xf numFmtId="0" fontId="8" fillId="0" borderId="0" xfId="0" applyFont="1" applyAlignment="1">
      <alignment horizontal="center" vertical="top" wrapText="1"/>
    </xf>
    <xf numFmtId="0" fontId="41" fillId="0" borderId="0" xfId="0" applyFont="1" applyAlignment="1">
      <alignment horizontal="left" vertical="center" wrapText="1"/>
    </xf>
    <xf numFmtId="0" fontId="45" fillId="0" borderId="0" xfId="0" applyFont="1" applyAlignment="1">
      <alignment horizontal="left" vertical="center" wrapText="1"/>
    </xf>
    <xf numFmtId="0" fontId="41" fillId="0" borderId="0" xfId="0" applyFont="1" applyAlignment="1">
      <alignment horizontal="left" vertical="top" wrapText="1"/>
    </xf>
    <xf numFmtId="0" fontId="29" fillId="0" borderId="1" xfId="0" applyFont="1" applyBorder="1" applyAlignment="1">
      <alignment horizontal="center" vertical="top" wrapText="1"/>
    </xf>
    <xf numFmtId="0" fontId="29" fillId="0" borderId="1" xfId="0" applyFont="1" applyBorder="1" applyAlignment="1">
      <alignment horizontal="center" vertical="center" wrapText="1"/>
    </xf>
    <xf numFmtId="0" fontId="21" fillId="0" borderId="0" xfId="0" applyFont="1" applyAlignment="1">
      <alignment horizontal="left" vertical="top" wrapText="1"/>
    </xf>
    <xf numFmtId="0" fontId="36" fillId="0" borderId="0" xfId="0" applyFont="1" applyAlignment="1">
      <alignment horizontal="center" vertical="center" wrapText="1"/>
    </xf>
    <xf numFmtId="0" fontId="1" fillId="0" borderId="0" xfId="0" applyFont="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top" wrapText="1"/>
    </xf>
    <xf numFmtId="0" fontId="46" fillId="0" borderId="0" xfId="0" applyFont="1" applyAlignment="1">
      <alignment horizontal="left" vertical="center" wrapText="1"/>
    </xf>
    <xf numFmtId="0" fontId="29" fillId="0" borderId="10" xfId="0" applyFont="1" applyBorder="1" applyAlignment="1">
      <alignment horizontal="center" vertical="center" wrapText="1"/>
    </xf>
    <xf numFmtId="0" fontId="29" fillId="0" borderId="0" xfId="0" applyFont="1" applyAlignment="1">
      <alignment horizontal="center" vertical="center" wrapText="1"/>
    </xf>
    <xf numFmtId="0" fontId="17" fillId="0" borderId="0" xfId="0" applyFont="1" applyAlignment="1">
      <alignment horizontal="center" vertical="center" wrapText="1"/>
    </xf>
    <xf numFmtId="0" fontId="18" fillId="0" borderId="0" xfId="1" applyFont="1" applyAlignment="1" applyProtection="1">
      <alignment horizontal="center" vertical="center"/>
      <protection locked="0"/>
    </xf>
    <xf numFmtId="0" fontId="17" fillId="0" borderId="12" xfId="1" applyFont="1" applyBorder="1" applyAlignment="1" applyProtection="1">
      <alignment horizontal="center" vertical="center" wrapText="1"/>
      <protection hidden="1"/>
    </xf>
    <xf numFmtId="0" fontId="17" fillId="0" borderId="14" xfId="1" applyFont="1" applyBorder="1" applyAlignment="1" applyProtection="1">
      <alignment horizontal="center" vertical="center" wrapText="1"/>
      <protection hidden="1"/>
    </xf>
    <xf numFmtId="0" fontId="17" fillId="0" borderId="13" xfId="1" applyFont="1" applyBorder="1" applyAlignment="1" applyProtection="1">
      <alignment horizontal="center" vertical="center" wrapText="1"/>
      <protection hidden="1"/>
    </xf>
    <xf numFmtId="0" fontId="18" fillId="0" borderId="1" xfId="1" applyFont="1" applyBorder="1" applyAlignment="1" applyProtection="1">
      <alignment horizontal="center" vertical="center" wrapText="1"/>
      <protection locked="0"/>
    </xf>
    <xf numFmtId="0" fontId="18" fillId="0" borderId="1" xfId="1" applyFont="1" applyBorder="1" applyAlignment="1" applyProtection="1">
      <alignment horizontal="center" vertical="center"/>
      <protection locked="0"/>
    </xf>
    <xf numFmtId="0" fontId="17" fillId="0" borderId="1" xfId="0" applyFont="1" applyBorder="1" applyAlignment="1">
      <alignment horizontal="center" vertical="center" wrapText="1"/>
    </xf>
    <xf numFmtId="0" fontId="18" fillId="0" borderId="1" xfId="0" applyFont="1" applyBorder="1" applyAlignment="1">
      <alignment horizontal="center" vertical="center"/>
    </xf>
    <xf numFmtId="0" fontId="29" fillId="0" borderId="0" xfId="1" applyFont="1" applyAlignment="1">
      <alignment horizontal="left" vertical="center"/>
    </xf>
    <xf numFmtId="0" fontId="18" fillId="0" borderId="0" xfId="1" applyFont="1" applyAlignment="1" applyProtection="1">
      <alignment horizontal="center" vertical="center" wrapText="1"/>
      <protection locked="0"/>
    </xf>
    <xf numFmtId="0" fontId="17" fillId="0" borderId="0" xfId="1" applyFont="1" applyAlignment="1" applyProtection="1">
      <alignment horizontal="center" vertical="center"/>
      <protection locked="0"/>
    </xf>
    <xf numFmtId="0" fontId="38" fillId="0" borderId="0" xfId="1" applyFont="1" applyAlignment="1">
      <alignment horizontal="center" vertical="center"/>
    </xf>
    <xf numFmtId="0" fontId="48" fillId="0" borderId="0" xfId="0" applyFont="1" applyAlignment="1">
      <alignment horizontal="center" vertical="center" wrapText="1"/>
    </xf>
    <xf numFmtId="0" fontId="23" fillId="0" borderId="1" xfId="0" applyFont="1" applyBorder="1" applyAlignment="1">
      <alignment horizontal="justify" vertical="center" wrapText="1"/>
    </xf>
    <xf numFmtId="0" fontId="22" fillId="0" borderId="2" xfId="0" applyFont="1" applyBorder="1" applyAlignment="1">
      <alignment horizontal="left" vertical="center" wrapText="1"/>
    </xf>
    <xf numFmtId="0" fontId="22" fillId="0" borderId="4" xfId="0" applyFont="1" applyBorder="1" applyAlignment="1">
      <alignment horizontal="left" vertical="center" wrapText="1"/>
    </xf>
    <xf numFmtId="0" fontId="22" fillId="0" borderId="1" xfId="0" applyFont="1" applyBorder="1" applyAlignment="1">
      <alignment horizontal="left" vertical="center" wrapText="1"/>
    </xf>
    <xf numFmtId="0" fontId="25" fillId="0" borderId="1" xfId="0" applyFont="1" applyBorder="1" applyAlignment="1">
      <alignment horizontal="left" vertical="center" wrapText="1"/>
    </xf>
    <xf numFmtId="0" fontId="25" fillId="0" borderId="1" xfId="0" applyFont="1" applyBorder="1" applyAlignment="1">
      <alignment horizontal="center" vertical="center" wrapText="1"/>
    </xf>
    <xf numFmtId="0" fontId="24" fillId="0" borderId="1" xfId="0" applyFont="1" applyBorder="1" applyAlignment="1">
      <alignment vertical="center" wrapText="1"/>
    </xf>
    <xf numFmtId="0" fontId="23" fillId="0" borderId="1" xfId="0" applyFont="1" applyBorder="1" applyAlignment="1">
      <alignment horizontal="center" vertical="center" wrapText="1"/>
    </xf>
    <xf numFmtId="22" fontId="23" fillId="0" borderId="1" xfId="0" applyNumberFormat="1" applyFont="1" applyBorder="1" applyAlignment="1">
      <alignment horizontal="center" vertical="center" wrapText="1"/>
    </xf>
    <xf numFmtId="0" fontId="22" fillId="0" borderId="1" xfId="0" applyFont="1" applyBorder="1" applyAlignment="1">
      <alignment vertical="center" wrapText="1"/>
    </xf>
    <xf numFmtId="0" fontId="24" fillId="0" borderId="1" xfId="0" applyFont="1" applyBorder="1" applyAlignment="1">
      <alignment horizontal="center" vertical="center" wrapText="1"/>
    </xf>
    <xf numFmtId="0" fontId="24" fillId="0" borderId="1" xfId="0" applyFont="1" applyBorder="1" applyAlignment="1">
      <alignment horizontal="justify" vertical="center" wrapText="1"/>
    </xf>
    <xf numFmtId="0" fontId="5" fillId="0" borderId="0" xfId="0" applyFont="1" applyAlignment="1">
      <alignment horizontal="center"/>
    </xf>
    <xf numFmtId="0" fontId="0" fillId="0" borderId="0" xfId="0" applyAlignment="1">
      <alignment horizontal="center"/>
    </xf>
    <xf numFmtId="0" fontId="27" fillId="0" borderId="0" xfId="0" applyFont="1" applyAlignment="1">
      <alignment horizontal="left" vertical="center" wrapText="1"/>
    </xf>
    <xf numFmtId="0" fontId="4" fillId="0" borderId="1" xfId="0" applyFont="1" applyBorder="1" applyAlignment="1">
      <alignment horizontal="center" vertical="center" wrapText="1"/>
    </xf>
    <xf numFmtId="9" fontId="15" fillId="0" borderId="2" xfId="0" applyNumberFormat="1" applyFont="1" applyBorder="1" applyAlignment="1">
      <alignment horizontal="center" vertical="center"/>
    </xf>
    <xf numFmtId="9" fontId="15" fillId="0" borderId="3" xfId="0" applyNumberFormat="1" applyFont="1" applyBorder="1" applyAlignment="1">
      <alignment horizontal="center" vertical="center"/>
    </xf>
    <xf numFmtId="9" fontId="15" fillId="0" borderId="4" xfId="0" applyNumberFormat="1" applyFont="1" applyBorder="1" applyAlignment="1">
      <alignment horizontal="center" vertical="center"/>
    </xf>
    <xf numFmtId="0" fontId="22" fillId="0" borderId="0" xfId="0" applyFont="1" applyAlignment="1">
      <alignment horizontal="center" vertical="center"/>
    </xf>
    <xf numFmtId="0" fontId="24" fillId="0" borderId="0" xfId="0" applyFont="1" applyAlignment="1">
      <alignment horizontal="center" vertical="center"/>
    </xf>
    <xf numFmtId="0" fontId="3" fillId="0" borderId="1" xfId="0" applyFont="1" applyBorder="1" applyAlignment="1">
      <alignment vertical="center" wrapText="1"/>
    </xf>
    <xf numFmtId="0" fontId="31" fillId="0" borderId="0" xfId="0" applyFont="1" applyAlignment="1">
      <alignment horizontal="left" vertical="top" wrapText="1"/>
    </xf>
    <xf numFmtId="0" fontId="25" fillId="0" borderId="2" xfId="0" applyFont="1" applyBorder="1" applyAlignment="1">
      <alignment horizontal="left" vertical="center" wrapText="1"/>
    </xf>
    <xf numFmtId="0" fontId="25" fillId="0" borderId="3" xfId="0" applyFont="1" applyBorder="1" applyAlignment="1">
      <alignment horizontal="left" vertical="center" wrapText="1"/>
    </xf>
    <xf numFmtId="0" fontId="25" fillId="0" borderId="4" xfId="0" applyFont="1" applyBorder="1" applyAlignment="1">
      <alignment horizontal="left" vertical="center" wrapText="1"/>
    </xf>
    <xf numFmtId="0" fontId="25" fillId="0" borderId="2" xfId="0" applyFont="1" applyBorder="1" applyAlignment="1">
      <alignment horizontal="center" vertical="center" wrapText="1"/>
    </xf>
    <xf numFmtId="0" fontId="25" fillId="0" borderId="3" xfId="0" applyFont="1" applyBorder="1" applyAlignment="1">
      <alignment horizontal="center" vertical="center" wrapText="1"/>
    </xf>
    <xf numFmtId="0" fontId="25" fillId="0" borderId="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cellXfs>
  <cellStyles count="4">
    <cellStyle name="Normal" xfId="0" builtinId="0"/>
    <cellStyle name="Normal 2" xfId="1" xr:uid="{00000000-0005-0000-0000-000001000000}"/>
    <cellStyle name="Normal 3" xfId="2" xr:uid="{00000000-0005-0000-0000-000002000000}"/>
    <cellStyle name="Normal 4"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_xlchart.v5.2</cx:f>
        <cx:nf>_xlchart.v5.1</cx:nf>
      </cx:strDim>
      <cx:numDim type="colorVal">
        <cx:f>_xlchart.v5.3</cx:f>
        <cx:nf>_xlchart.v5.0</cx:nf>
      </cx:numDim>
    </cx:data>
  </cx:chartData>
  <cx:chart>
    <cx:plotArea>
      <cx:plotAreaRegion>
        <cx:plotSurface>
          <cx:spPr>
            <a:ln w="9525">
              <a:solidFill>
                <a:schemeClr val="accent1"/>
              </a:solidFill>
            </a:ln>
          </cx:spPr>
        </cx:plotSurface>
        <cx:series layoutId="regionMap" uniqueId="{3872FCF4-92E4-457F-8754-D75A9CFE047C}">
          <cx:tx>
            <cx:txData>
              <cx:f/>
              <cx:v>mm</cx:v>
            </cx:txData>
          </cx:tx>
          <cx:dataId val="0"/>
          <cx:layoutPr>
            <cx:regionLabelLayout val="bestFitOnly"/>
            <cx:geography projectionType="mercator" viewedRegionType="dataOnly" cultureLanguage="en-US" cultureRegion="US" attribution="Powered by Bing">
              <cx:geoCache provider="{E9337A44-BEBE-4D9F-B70C-5C5E7DAFC167}">
                <cx:binary>3H1Zj9xYlt5fSejZzLqXl3drdDUwJGPPPVPrCxFKpbjvO98NwzAaGMNPhmGge/ph0AMM0J4ZwEDV
gx/U7v+hf+LDTKUUwYiUQuioQYcTKqkymYdxyO/es59zf33b/Oo2uFtmR00YRPmvbpsfnzlFkfzq
hx/yW+cuXObHoXubxXn8vji+jcMf4vfv3du7H95ly9qN7B9UhLUfbp1lVtw1z37za7ibfRefxLfL
wo2jy/Iua6/u8jIo8q9c23rpaPkudCPTzYvMvS3UH59dlh9//tcjw/nwD+Wzo7uocIv2pk3ufny2
/ovPjn4Y3m/js48CYK8o3wExlsdUQ6pUOZGCCcy0Z0dBHNmPlxE9RgILjhFROdYEXH747LNlCOS7
MnXP0vLdu+wuz+HJ7v8dUK89xo/Pzmzn7ujvomdffw+3cRkV/Tu24XX/+OyFe1dEy/DZkZvHxsMl
I+4f88XZ/Xv5YR2f3/x68AN4U4OfrEA4fK3furTB+Qs3ch5f3z6gE8dMcsBMUzlCWFKyAR0TjCJE
NUkAWPz42Q/QfZOb7Zg9kO0K1sNvHxRKsPD+/Mfl0Z///sPvYPXtc6NpGPYXVRGTSGKxAZamEkZg
GyJMGFcfP/oBrJ2Z2g7aOvmu4K1THRSIxsef/3l5dPLhXx5f4372Gxe9hMREcEmkRjcg5CqlklDG
BFyF7bgqKndjaTt+K7S7grdCclDI3fzlT3/5fWQfmQ//Pr7DfeAnjwkiCKtC4xIhIkEgrqk67Zgy
jjBjCFOmArqr8H0PX9tB3LjDrlBuEB4UoIvebLkGTB/f536g1IiqguqTGtbQPVgDKFUMF1QhCWIb
qm83lrajuEK7K34rJAeF3DT++NP/gq04/fCvy/2CJyjsM04xR0IKbdPkFFQizkGEMkxU0JSrG3GV
q6NH+/jxV7aure1APnGfAag3zjJyjqYxvIC1K2CQP3GDg4L4xvnwexce78PvvvoGv9ungI3HCRGC
cfAdNvWkpoGk7Z0KSfqrq/B+4ujDv3x9yW3HdJV4Da6v+BOrNAeFHfheP/2fowsHvLXHV7h1+X83
eBzB9qTs0a3Y0JIgVEG0IikZ4DfYnbsytR2/NepdAVwjOjQEQTdOP/78h2S/CIJuxBRsVaJxRtmm
Xwj2Dabg1z/swcfPXnXpv83Ukwh+eaTvQPAL0UEh2EtO0JCnS/fxJe5nC6oAG8VMfvoabEF6DPtT
EKJpqP8CO3ZVgu7I03b8Vol3hW+V5qDQA8nx87+Cej/5y5/Kx3e4J/yQ0CQiHCwcDSNw5tesU3rM
kEaYqgnOpSr542evbMBduNqO4PpD7YrhOtVBoWjE0ZFRfvi3fatBBPEYriGMVYI0JgcYascQFhVE
JZJroAcHcdEdedqO4Crxrvit0hwUejcf/iE66j2kx02wnw2Iwf2DaA2iVMNSbm5AFWJx4Bs+XB0E
23ZjaTt2K7S7QrdCclDITT9Favbt24tjQA7gEQScQ6nSzUgp+PSQjQAAhaqpA/BWufqr3MOVp1u5
zwDU6fLo5j6qv/bz3jncTn5YAH/43dFNVu5VrqroGBHRGy0IMheYqpvGqVBpn8zAwwjcdCd2tm/L
Fdo1pH589jUH/8sHHhRufwfGw/43paSQY4KAGxcIkoWbMRtwGgVoQiYJoUN1uBNH25H7QjoADrIT
2xOEXygOCjXT/fjzfwRLZv8JXths4AwKFWugFcnmhqOcUg7xGFXt3Y5HPfxgjO7M1Xb01sl3RXCd
6qBQvBc0f/7jvhO9BHK4QiUcLE3BtkAIvoYK3iAWYO/0puqaP9iLsW+ytB2/lccZgPe05vvycQeF
3OsP/xQdQTDwd/vFTh4jSFQggbgmKcZ9YnfgC2oaOPoM0k5gp+IBdrsytR29NeoBfk+KzzWig0IQ
Uvb/1vvyff7wcQvsw5sQxxDNhoSFygjERLfpPojEYLBUkQZSVgzCMTtztR3DdfJdQVynOigUjWV0
dPLx5/9+u18Ie4QgGKpxVcOQG9zYhZCuwAjSUb2KHKacdmNpO34rtAPwnpSgKyQHhdyZvdy33dm7
C4CHCnkiCMRAMmnTGZSC90oRMhEQ7B5YLztxtB23L6QD2L7iMHyhOSjcHp7IcH4JyQn1TJwLiiET
yPgWV16FWhq2zdv7Dqa2Azi8wQDGJ/XfkO7AoPz40+9vnf3bMbARQWpCSJRA8EXAVoOg9cCOYRBT
45Jyzjbr126cVb5W4ikPhupWLf0UrE/caYDvA4xbE/dPMnNQUMMCdn8JRQlRGRWsHKjLYL2/vwkz
guQv41LTekf/UUl/LlPchaftyK4+0ADMJzfrKs1hobcM919iCgXBgBvrQ2t9JaIAbTjYo7TPCxNw
96EKrq9/W/UTAcIdWHoCuy+0O0P3heSgkIPILmR8z+yyBYfx8Q1uFWDfWXgB6DEGgRgiemcfadsk
rAoSFqraiIrIAL3d2dqO4IB+VxQHZAeF5E0GIbf/VO7bZoWWCoFADwJEfQh7uAM5pC1Ai0JmUe2j
qKs7cGeGtkO4Tj5A8Gv6cO09HBSE1x9/+sfwFwAQag/BmOFQzC37CtMNFMFo5eBLMojqbMRsduRp
O4arxLsjuEp1UPh9WpX7LzBFTCMaI58qoDbwg8InAcFuyERBqelwFz6UfH6Lp+34rT7Q7vitUh0U
fi/+7x+PLsvlvuNtEMyGDC/TNICIbIuYQmOTEJJBP9qwAHE3jraDt0I7wO7JWM0KyUEBd+b85U9H
r0oovnhUQfswYeRxH8cGYISKwAglmwYolERBsyEUZ6iQLhyYMDvytB27VeIBeF9RfatUB4Wf/vHn
/7x3xddH2wSFpkIM1gmHbOAmflBSo0GSCWQruBqDwrUdedqO3yrx7vitUh0UfveO676T9PK4ryrs
SwrBAdw0PTnhEipqoO5w0/TcjZ/t0K3Q7o7cCtFBAad/+D1E1/7yp48//499Zihg64FbzuDPpw60
za2nEiwhwURVCj2icHnVc1jl6q+Jrj1xn91hfeIGBwXx/dLcu24E9x5afyGwBt2H2917SE/1CUb8
5P685+mvgffLk63cZQDuk6bOVuK/Ftj1hvyVwQSqgG5NVfTRKtBDm3UrWDuGUiSNarRvIdtoI3rt
3jrl122b7cLskXDwVuYuGLmNu9kF9vj7gxdhOG603JxDYJz9DcwhMD7+9McQhNjHn/+xfRQje7D+
QIRBqa0GNX1PdrgzMP4Y9J1QbaPqfWemtsO2Tj4A7ysG4DrdAMS/7XESfY4fIpH7NyJAPkGZGEEI
LPQtESxoaei73FX2KR+7qod25Wk7iGvUu2O4RnZQEE4//vTP5f6TOPK4H0IA3bMw/gOCjL2LPIhC
Qjkg/AKUUd83iD0KgYckzq5MbcdwjXp3DNfIDgrDF31p3d4x7F0xDax4mBUCBUdba/4YFAKqUPUn
OPSnDFyxXZnajuEa9e4YrpEdFIYnoNz7ytvf77X2r1eIMNQFQ6F7X7sJ3SYb+xCD5QJxEgyNKBDQ
Wt+HuzK1HcM16t0xXCM7KAxPe5/sfwKOJx9+Xzy+yf2YNRRaFjSwyyHUD/UqwwJqDQx7yJRzqCzb
0hC9O1vbcRzQ747kgPCgsOxt0/9y1Hz4w31nGIwBc/YIKBbQgiKhf5186q8dqkd2TCC6BbtyIzHQ
c/VqV6624/nwaOs3GYD6pAe2jfagcD2zP/7821tQlj/97z0HTxA0tPfFt5xQAo3TG4IW4s4wbQIK
PLnYCJ6scrXiFz/YtVslyHZon7jPAN2vOCNP3OCgIL4vH//z38NO2eum7e0h+KIQlQb3o3f5NyBm
COQ0lBNC6va+zH7VL9mZq+3IrpPvDug63UHheJ8ZuV+r+xS9MG0SqlsIkfTz9JCBZwKuJSQeIEx9
31b9+Nmfysv6pNW3edqO4eoD7Y7gKtVh4XcfHIApcP91v8nZPsUHHZqcqtCZCzGCofKE2QZQho3g
8jZr6GxXrp7AcI38O1BcozsoHG+chyKlX2AIFwhRKHGB7aj21YCb8pRDpwTkI2Dc4cY8yp252o7j
OvnuOK7THRSOfZXEviepgVKECgmKaT8xdMugLQiR93lamFmJwUVBg2Ld3TjaDuAK7e7orRAdFHS9
2f3bX6JYAjQdbDBo2OR94+3Qr6THWj9iBJo6oagXTNt1XbgrU9vxW6PeHcE1soPC8H7t7TlUDtsP
snWI9hMoBUOQqBrIUJgRo32uA101R3fjZjt0K7S7A7dCdGCwffzpDxDTebX/3iQwZKCCBTJR4FMg
6I3fNGRAcHLSN3QOJ1H0E+dWuPprfManb/U94D7FzkFh/VBV0Ufw9p57h4psCeEeBFL2AdHBRqXH
UFDfi+HPvuXqbv0exrbv2Y077A7uBulBYTotWyixfxjw9AuE8aBCVPa+4sPXAFR2jGH+E7T9frq+
rj+/i7PtqG7eYgDrk4G8TcqDQvW+PRuM2b0OjYWxT0zAaQUYMiWq3DY0TzDo3obWFyiS2hjpvBtL
23Fcod0VwBWSg0IOxnr+tz5F8s1xIN/du0QJgoGj8OfBXxzsxX5iJQReodz+PtU18ER25mo7fuvk
u0K4TnVQKD4Urbz6BTrQoMIQNtjjbOahScQgBgv9vVBzdT8kf1CDuDNX21FcJ98VxXWqg0KxD5L/
8fa+Duu3j7ppa7bhu/ciTJqBQLj20LvUl4oOYqxgCCEOInbLMQc7M7UdxHXyXUFcpzooEKef5vwt
nA//tF8QYT6+pH0E4IlWXvBeqMpVse1Ypp252o7iOvmuKK5T/U2j+BRzqym/td/53lO1yDEUfsAR
MX2f7n1oYLAHxTEEfpgKxSEwCh+61B6XzkOe43Pd4dP8bAfuM+Ea83/r52JBVOl+aMXeDUqYzgsN
EdD2APIOujUHGNDjvhMe+uRhsFM/gWQdg12Z2g7EGvWuG2iN6N8XwadPPft8eJy5LJaj+2PnVg4+
+/rV+3cD5+ENSD91LmzXdQ9Lfvbux2e8P7yMwDBQSCX16X2I1Kxsw/6eay0QqxOQv3GTu2VewNF3
/dl2fVkPFOWD2wFL4NlRffdwBY4CgupzCqvm8ei0KM4K5/68PIjzQawAzF2gZWAi5XF5f0Uc90eW
SCjYg8UEYQby+TzAizho7Tj6/LI+fX8UleFF7EZF/uMzEAfPjpKH3/v88L0KpyAgYIkCs3D9dnkF
hw7Cr+P/4HDOM0fa6qyjdmxmrfUSpVamSw/zWUijUmchZoaa5YkBbMV6VlXu3GblgjTKS9Fltqlm
KJtQrevmJZKn0mbZwq25p/tKJMzAyoorTJy3MvJuMHPQOBdBamBhOTNmR7XRCDc1/BTlz6HQ9LLW
SGaW2HH0si3Tq7oOzp1KEj32NG6Gahsbkre1keU1NiJUNzOHBKUprSYcNYp609T4LgiQOtJYeq26
3U3S2q1h2XTZ8fDGIdoyV9prhdalnrtppLcJXsRK7OhCw4WB3aQZVUVamNRBt51jIaNj8FIS1ryK
XX7HM/SCWjExbM1Xl77fZEaO88IsA7uZdIGL9KQOIz0gdqJ3QnENWuah3kZS1UWk+GZR8tDoEoF1
YTXWTQ6lQ/PQTUsj8YNGLxX1KsKJZyZx501tEdamzHLHSNqqmOSIXdhxmOoibXy9a/BMUUJqlIw/
D/MsGlMnQYaVe6luZULVlaThupfa7sjSlFznoVrOq7K09KKsXjWy9HXW0dqIZH0qLe00E9TVI9u7
jNJ0gkMqTVV4vqHlxSVLowzQD8tFFJTVWGX2TFQ50qGjvZ0W3AVAUqIYuKiQ4RTtJPacwmAJK01C
/cpwZVyPPVHeNAlqMr20olCPWRHookZXZe6VZoDSDHAQZx5u33mpxUdWG70MWiF0rnaa0fI2NRrV
eu6l9XXnKNiMO9bpBc2acVcgR+88OxjZmpuc+qmK9bZwWkN6xNVr5oYLLF05Su0k1Imt1bqaqici
8K7csk4ndejSsUqCRE8cu9AFhf9T3NaflB0hC0xQMlWb8EZxeWwIktxmbVbrqC2uAUJsFk4yCqz2
tmUdsOM6r7wyUy5k2AZ6gcWlE5fUYHFVmrih74ICFkvoawswmBXdDdq7moXhHLa/Z2g+sc8TpKmG
60XNJCiIbSadWhhJyIMRLyLViFJcn1lxd15zabQivWiaPJg7OR4VXB2HOK3nWRFjvct82Lpue+vY
bXuTIpyNQ7cJDahlunIksQ21aQEnO+NGo+TIYLLu9NBxCj3gxNNrT7aTqOikXrthNnWx4ixCWngG
E5074q0H6zpKA71L2fs6TtE4zTxmBgpauCh44eRVYzjCFbqScqZLv0r1WGte5zxrTVggd1aNbKOI
eGBEGTUSlemK3VVGQCyhV64Nu7BVO9234A1qEJkx2zp57XXylRslxaIro2CMeSGNMGbLXKbwPquw
1VcbYdYE5G2ctBnc9dOZqZ+//c1NHMKf+xM6v/xw/dsvB3j2+uHzaZ4DBfRwJOsT2umrF79HdUEh
GpzPARY8HHTVS+/P57JuqK6NA94G+mt4p0f9BfldsB37k0Aep4l80V/QNAVTfhAESGEsF2ipL/oL
fg7LF0gwaJa+fuOLAuv70hA0iD4Wuj6+ojV8QKFvU2AS7jRUYEPGVxVYDho9SYISJKKndYavgvTQ
muKlR5T6rHJz1Yj7bVTYvDD8fmu1adlMikSqhkYc5xyKTzzDLqpw3kp0h7hjGwHs00TDmeEk4p3b
oNIslBaEbb+rExzoClGVi6TyXrUF6XTa4dscZIFMODZzUl3nvZiQIC+6TIkNAhIkyUUyrXqhknnU
nyA7SXSce4UeFllzyhqSTvw4uMIgnLwG1XrSy6skTOSo5lm4SFzm6q0VtIbXSziFgKxDvdSrUuLo
Tdk24zq0Or2qfNVUyva6BXHJApIarJegfi9LSyt5qTS+GPkgZkEHnTWyyPSql8A+Uq+SXiaXThbq
0grbTCducxOGYTlrHLhAvaw0IlrLmXS4Oo1jFE5opSlmFCjdiKddZiScdKaCPc3syu51llvd61LG
zmUca1dYCU59Gr3trOzU5rUyd2M/NJqCVEbWuN2oE4Vvum4MClNruUEq4Rq5i9vXWQcGB87sUE+z
Ct5I7VkTxfKDERhzi1yCGuKeV5htFV/6lYKMjPvYcKi97GpP0cOsepVIWY7TtEx0ipVJpqbuOLZY
ojuldQVzcqMxDztv3CaMG52iJoYI3MCASZDU8CK/BSJ/mXhRYbRINmO3LeNplFBF93n13CobZkQx
PERSOrlZ5nYFYDeNXttpN/dULdJdP4yMsKVvcFrd2IXl6pUI4BVXljuKWmSZjVIteBMLs5LNe9FV
vmF3/J2rpUynTgBysuocU8mbbFwl9J0jQKIGjqPqrk2EKZilmKJhjW4hPrOrLNIbajsjmNv1Joy9
2qSNvBM4UkfCaVvDVZJylBfFi8C1pqD/7nylQmM7qaxRAjaY3hTZeyWrpmnq5DMnxOeekG9VS43n
vuObAWHdzGusi7rppolQrRHKXMVUhNONnDDGYDFYt6iOPLNVBJ/6dt2Z8NpjUzpqohd2aBk8RKGZ
VpYCGgprs7wFMwms0EXJUKUnCWnMoLaXImWFqTFL6kGVnvBAESYJ4/exbJGJXAVOs5bvyibrZthp
4S2mziSOQqFHQKJnvqYZCnPLs65Taj0SdmZ6lVfBcq7BivEoM1DdVjM3IlOoeHktnCzRZWmrk8yr
lVlbYv+lkxEyShPQ6Q53scFjXoxUKU5TTBZa14aw5HBj8Aqf4ZrE46IU1us8F4WudqWj+7AI4si9
opXr6U2jKDosrTlLwhsCGwCXychG9SKt0xkO5CwVdWiktAvvGC/om0hRAjMTiaeruRfOIzd945fC
RBazR1VWB2etD9u5LsmVA3JoEmiWP6pgxt6IZko7SklU6FZA5nkcLatUMB2VajpNfE3Rm06048wJ
qCEagk0cKmTBki4ymBdf+5Z6E7VeaJZwmrfJCk2Dv/znkap5elBEb6HEMjSSPLB1UZBYLylayFoN
RooTXzoYV/+/q2Ct9+vhv34WiYShv19Vwc5j+8ha8vmTK7Z5p0cVDEU6EA5fbYf8ooJhlrAKGSto
6sb3szI+qeC+LQhYUmGCIpRnPczhe1TBEvIkMEgaxrnfj3gDj/c7VDAUogxV8IBx8HBXVbCFPEVi
uxYzSdnCL+sp9jwDrJUXsYLGXVCN80oDr66+LES0EBWZdKSedwm64mprpKk3U0k9RsyJjFReB+5b
j6p6yJtL33beBEoVjyLmTXGFkBHDjtGJVhsqtm8CJXN0UntTWhbvu46NsGNfJZozrYvwjJLqxPU6
kybuvMRVrAsSTOpWPdFa77lX1udd6885wbYuI03VOzXKdDfk5woWN6nSwSdRUw34JSgxI63kSeMg
PdU6X6+jWxy7F0Gq1nocsxOlSXUtf5tW0dSi4etOJLMw0O4sC/zaBNVGKZFeeOeN772qFX8qSn5W
uIle8/IUMdB5nHe3nk1h9xVT201OaNqcBJ13UZXaicLTU0wd3av4eWGrb+1SXoYOBnO6jlKDggfI
uXUbdvakRuIyyX3XaFJ0ikLXUCPf03GFsU7Rre/lc1EF8Fa98ISE1ShIrVFbp6ZSjHmbnTeczrW4
moaOO2dRaypVvXAKb5EUctJ0yjwgidlEgcHFDchCIyTZmdfQCU7TC+lnd4mvTpu4myDfWmTMMlu3
0Asfn6RgDjRWOcsUfqZE4A0QOmpyeu2qqp4goavWHW5tXdXohHeRWYOi7+rCVCBAEKj2VFq8BkOA
mZ3H70Tm+obvyCnK8uep34HLnp0pBBzEJL6gtleZKIM3hb3WdH08xp02SkWsS7uGp9acUVlFC+i/
GtWW3epKg06EmrxKmtyMc3Id1JWqW5F/Vke1PUksOoJJANxwE/lcRkmkO21egHahMQQ7+LwU9TnF
hcmLcpzY6K1mqbfQlXdmOaDhQzU7dXB6oShYmqIq9MqHlQVTpmasyi+KVp41WLkNwu652snczFXk
jRxh3/ikmRZdfAI69NaKfXiBSrDMHe2MlNk0tcUlRLB0DxahrfhLkiGdJp0yCltsGWktpkXJJnYj
pkERXLha9aLywHzRQnC3iYenGa8bvYjsGzfQTgMbzUov9AxZkhFKrHBCNDoP4tAGPV2+7vzkeepy
MHM1UZ8iwSKdKTzTfZUsoQ5tplAKZlvRGE0WmkSzTqUL2q/JLDPJwJXHYGLJuqJ6nCnndUP1IoxP
27p6LUVoWH6Z6SzPLmSFLltZgDYkJmnLuzyKx4RHUxBoC8UNpoEnXqcsXHZlOmq9chGqDdOJSPTG
ShwDe8Flg+xZxfMzm3dj6rFxxsLzBF6p0fqpyWxu2hKPRYPh44QB0XOdF4FRETnCQfeu4PFLP7en
mYeu2rgw4FCMcYbB/FPpteXkr2xbg2vshZM54yqPdS/OTVTfgrM9c7LyjLLULHILXHWhE4uNSZFP
uhqiHQk4rQk69URQGxZEsoht6w1rx8R5z0pt4hP3nLJsGdTsRuPOpGLuhDvVqaY5lxZm52FXMT3I
mhmq5ZloCnBJ6lOqOOALVAaHeBQ4zHTMCjzjuXwV5WKiFdall1cTq32Lola3WT3WUDMildSR20xQ
iEdO442C2L7Ia34XUogYlN5J70skqHrtx6DQHS8/b4Q15djmECUBl0KVgcnA3tISe+yx6LRMXdMO
sjep06qGiN1RU9Npl+ewQ8GW9rVXmWsZoALA1uXTIgzeNDEdB6o7c6E23MCULCqQqGGpzSIRvoO4
HGxaYJS15y3Ymm50pjXlizSiihlzao9dnpw6nvvaScJFrKKXDole26FjxjKdEpmaKE711Kkm3L/L
4u6aRfjaieh5w2J4YGfKC3+ZR3ycM4hBNtWk8OmrpHR9PZMu2Nb5JGMYXimhRqEkS+JpE+QWsZ6k
1bXt1qNAhWVWecg3YHaBSTX3LWrZSETwNFAyAsKqMsvIt/UcPKHCvs6K+kJqaCK8fOqkOUTWbG2R
BvkV2NSXjR2OIDI2U+w41mv5touC08yCuI8bX0YSXDkrPMGaf+ardqTbcXsp7Py907izMA8vUq8A
SRLMWmaNLB8iiVatGTYrzi3bG2d5usg7COSpDI3DAAKajBRjhQXztoaoiKziwMj9zvTAYeQMHk8r
pcFrdRKHiWOWpHrjRdGElhTMVLeZxrJ5zrLOQFo7CmpHMyDsNIOA1kXkJoEB5x30gZ+x1iBDVEsI
7mII0yRnOBMnra28zULtlVLQs6Kgp3XevXCrrgRPnM4tv/B0apNxnRUT1UoWjUjNoNDOo04b55Ev
dZZUI48pYGnS8r2ilZWulOrLqonHTVc5xuFHd9YSMI+5od4eBHn+NUvycw7uSxDnnuLRYoQhXRCa
kTAT/3F46KPFqEK7OAzOgwHOULEPKY/PQRuVHMNZ2hDwwHCqKOlnOnwO2kDVFGLfZyZuJhpgKkvf
QMBh9Ft/1MK6kVhWxLFKlsqZn1DXqL3wOqXelUWD56Eq4wcn4mGMz7awUJ+2WE9r9DNgOIQJ+yG4
0DC9/mkEFYqDUohYgFS7VstwFNqepZcBm5GsPbHU9qaro5OMBM9jDb9ositStguIq087uxuLbBrR
fA7q3PS0aCzb6LzUgpEvHYhajCMVNkqSVXLs+BoM5/kckNvCd8/WBtv98CawziHtjtE622GaStjp
wDZJqts6Ty7UPH/RqGTGCmdkR+pFw3OIiyrZN97X/Y0HHyyhCQDWBeScYHCbuv7BRFHKOI89PkNF
PU5tfqNUeWPWTbusrXKegWWoM8cvplJCgOTrz9wfPjR4aJi8BOc3aNCE0E/8Gzx0GnNH61KtnItA
sWacBthIWFJPwqh7lzoSIvZN3MwrKynAgHDeZE1jXycQt5izNHhnpTJeILWAqHpmizmqmPo8IYmi
t/ayDYl/8nVm1W3MwoLSIN9OYbpQP5xw1ddR2jYqWNdW86jCcl6hoLgKguK91G4xC72xk4Z0Ljuk
zWH96W2l8HNfhcgTK2szcTx+rUEeRgGpDbpWlSi8ycL4ltEuGHtJobtaYS/8qABbsU6usCshLuia
SqdZizjvQOOpYXhqF/QmwxG6+saT9RtwfQlAvSMUogMYsAygpmDwZB5NO6/lxTyuE2UcqrZ9marJ
jbQ1XbapdqX4lT2OfVWnIggmqddVNx5P/AnxFNcsMmxAVqs+UbF1gcKGzyTPZpFvpTeRpRRG09nt
aQaJtwsf4ksQjmzJ/Ov8480tDwIPqiAgMQPdEDCxZJ1/Kw5UnjK1mJMwMUoIjV77te+DfxnSqVYT
SHmV/pndRNUkLGVwmpR1bYReBtki12K6pWTy5P6vyvoU0nhSGuF+9wxebX/wD6xymI0Ig/NBsq8u
mqwKtDaM1Wou3DKZxPFIiig0YrUBS6F0jTAnoZnYotQbhBdNB+oaTLDyzIqKTwmOJ1npz0IZsAKt
Bv3ZmOCLQ78dGrwlR0t9aJ21wR8M4nwm4nAmFMs2naAqFiFY/GPIj7eTUIbVBSnzRGeZHkFY7X1G
4jeeF8cnLYEkTe2kyjgtSnWSFjh9I8+d1PbfKH36U6kA38gCN7csbDxKY7pMGtFN7Vpb1LwlVyir
bN1Noos4jKK5oznViWK7E5mVQndjnoyJZ3HTrYLipGj8xkiCJtZb1MRTGcnspuFxNHIptc4KauGx
Q1FuIF8hepBG4WmaOM1I7SxPLxwN5ZCu9q402wfnCLntIi67mRPn2kvPq+sxQzGaYWlDvpdUTvgN
kapuKry+cRXmI0HfB4Fwy0CkCu4S6atlPk9DiP8BD81UYNsaR3V450RVdirL1NdBE3TvIB+gVZCK
U1vbH9EyaOdWo6TjKFL9EaxoI6FxNC2dNHjepEQYkVufwiSC6Lp4TzUnecGk9TIIo+Aki8LYjEWa
vvj63uqDWMNVA9NjYBQXBLo0SAX1q2qlSkDxeMx8hvI5nFeQ6xBmglgKsv2bUkmzuZvlRM9zCt/W
CruCVGhEmugSyTyaVOAvLTQMwRFiKyVEvbuXNbHQGQQf3Cm27ffSqfLTJq7MJvP45BtsbwprQTSo
QIRj0EGpQZn+OttaCdOpQG1k86Ji2Uhgy5uWAoFec63ipOw6CEGUUIPgVSQ89+qsXkhY0yOI8Nuv
PcYg3hMXL8rAMnLI0ZgtcqMXEawcCJpzqlsVpDutsi4nIDfpqyq1QHxwYjo2U6YYJ2zmFzGkcyPI
c9KGJBcYajfMrz+g7GXyumCB4iKQeFC8AuUbcmjmlI1X0UqKdM5ok08slzZjpYnZ2OfNW16Ql6DB
nLlsimKJOsh/5ZlzTlNP6CgOghmFtJJWgxRsYAr9VMaVc8ZOCdJF6Cr/j7IzW5IU15r1E2EmBjHc
MsUckXMNN1hmDUICIUAgEE9/PGrfdFX/1mXnpm1X9e7MCBDSWu6fLzJTDXRn/SkqOR34bm4WJ5vj
qNrFoal3ItZlR3y9k1qzgpMpvKqexxeln6Ypeh9Es96gT5zdSstSmQR62jiFRTT3XYn91eQuLmZR
3e99MrVrPrHA3Djgh27y44+B6jFzNwN/gDTNCR2NC7NO6AeIN6cGRM1JNeIlXKW3W2E97tH+vDha
8hRAgNoLufkH1fYd3BnWHwJ0dymvSfwZZkGTuk2Tw93iL5aqoFSqjnOHPSsGuW+dhiYPe3qZ3EZD
pLcq9zdfXQfSsMK9C448inbO6otSOopCYfDjM2TyU4Dm59nCgav9vsksVtcDiZsfoGOGY1NFNbrV
qvnLcf2rKvrz1oPtw14Oggju6x8beW/Jon0nUcd5bQ0UVQg6sHCSEvUdPXmm0rnUBupfJHGME16a
bfXKFVP30iWox1Ngq2Jsjf3qKrVlczcGR39EGSI1Y9kMI79d4ucmZMPLsPGz7L9Ooy9YjrPik+Mk
zj6xLaSfuiuoWD8TV4cvgy+GTIA+OC+k5uXmt+25wh6QDmyUn5J4gTgUzT+oibx01I6fJ25Iz6PU
/c4k/BnyFH3xlFlSFsGVrHQPqbKZ6lRZcbJ0W14qNkKKGRPnDe7OYQLMlE1jw0uPTn22Vf5ygEwU
HFsNF+i/n7Pg/3jO8HxhFAFGpCHl/OdGwuYVXo3ppmMkBlQ8w9heBynD1M5Qsodq8PJQQ/Myli55
5w9DsdYJ3aslXg7wysrBBBrdMRCHeqp27ghv0OIchsDs12c14TkUnIvbIsxjEza3aInUq7YQnnyI
cSZqwyODArfEfpUOhoQHh09D6S562YeDHXOANu2PpUnMozf7XoqPd7BEgIDBRylkrKrTf1+OOzj6
x7aD4c9oF5B1cxF7+gWV/eM4aFq+YMOR/dFnaqtxw3iT30/QDtDau58o6Om8LdDM0MzvFy/TUsIE
1Im68i06OErNf9kIfxWnvz0NWLh4lTsSlkD5KM6p33f6ZOMT+LWEHuTC8oHKwhu7Br5Xd/ZAvChc
683fjsEanDym0NE15Yp6u7bO0a+D3bbtaBIdnbDXqZrjwqvaHQ9Z+d+X7c/TCEUpai6ki/C2ul+8
9e+fUWyaOxTS2UEHfn8GE5B529jnTuCtaQ+VKlNB+43N/Kq3qPpLNeLe+5J/XqD7L0dnF4DiAOaH
wai///JY90rGzKMHy0IepGTs67Mfd9Gejs2zlF2dL7V9Dpa1yZskZLsBc8huG/tR1/6hC6LlS9c1
bXqX39Q8yyczBc1fPuL/cXnw0m/cwehOK8PP+v0TSjZtWjkVPqFjrtrnZUuSXRI638OW7QyeIt7R
DObmXzq6+0s5/7gyAZYwvTd1AV6z8uvK/WMxExyBK5+wdGqvlcc6ns+eN0Xg9tpdJJL25JB62g+S
AYAMy4WO5qGHrPL/++XdezAUr87GFIxfb6D8/csHbbyEleLbIeDbTtngB2tEm6klis+Uu6Tw2FUH
UfdcV+bxv1flvxYGFoMLMjXA69gg8fzZmwSb9kk7mPUAE6opg0mfGfWXoqZjlA6UVTmGPnh/2U+9
++H022qE8oSXhGF+C/jW+/tuf/+6lbdEG6m1PmwN2Y1OB2FBzAPWoumKNYRKH9P6iTLu7NCS/Bzk
as9t1L4MYdwUcPTPS0u/1tvsXHwXmiSeFxeGwGSfq5h+NJMXpX1j6zec9TYbsVkdtRcuf/kO/1sY
//wSGDB83wLv7w2F8Ysy8/cvoZYh3pakGvetdB5tH735kONTG65zYWMowUO9cAceXHyItehu0D4k
ahy+4kDsomIKuvdeLqT0+HSthH9w/cS5tlN9mGtWnSoSD1fm4h99/QFEor04sRhOnmMua8TDh6FV
c0qVfhHW685JnZgdOGOaagPVPG6TBz3T5IVFJHeibxoMBiFtfdH9Gh5d2n1a+qQ5ehZATsXci/ZQ
AyxhvL7FcXXiTvtMggqXTmiYmpX0i1FF6+vAnueI8WfNSMaG1YfA7JKnVrZjOZlRg0QK66wiTrBz
p4GW8yweBuItZYLuJcc5z85qnB3c5PWMQ7/JAzN5RdOAmA3ap7gPZO4krN57PJwyLMZ2184BPZkY
Ivoy2wPKBTyCXOlyrVFCbL2990SAlVpCVEq0S24C/VXKLSdnBn8IjGOkdz2qw8yr4/PsCHKVbfXJ
zhSfoufjhRPW5WtDq0xsj8Jfqwtthurac+5ePArQcSLufsJ/l45dlMlhNg/crz9t3vhuQ13vk3YQ
R1eDSax5gC5G3NxlGa8tdQWMQE5RHTp/2Sj+7CrB+eGdQmC/PSAH92F0vy+6cA6TzqpR7WOywe/h
a9Z24c3IuoJm8Nce9s/n9P7b4F5gdQf3SN79TWL/7Puo289uOPbdXqDOwDf9vA5q+6JSxbh3qLqQ
580c4IZE0i2tDHLiBpeq97MmYvZT1/VyB3JhzFr4PEU3DTyrwFn7YLVy2YO2FWCH05b7I1jj6KEO
FP3L1fpT7YihuCRw8aG+IMIU/9mDQ2uzCuSK2TeGNiiMZn6kwpFFP7QJ1Dl/SokYvdT1Iv8vvee/
rxx+MwALQPr3GWP/EjUZnksmWrNXjjyuoKCDevhLPXGfN/jbLopvh3kg9+8YovpBQfb73QGp7Zmw
8uZ9KOJyitZ2P3Lawe4eRKY2s5W+c9iUHx901XYZUtFyL7sgeaBWjOna9fPjWG0LdhEG33z5/N/n
yv9x6aGSIlCBV7zgXSDRH7ujmXpZJw2d9/1Wf4mcSZ0qJ06HzpSd8eGhSmtyvQId/O9f+6/aFJcD
lx3LFlON/TsW8/tF6d2tDkfXNftwCy+h8d09vmOUd9VUJHSBC7jaE/WkuhqbMdvpFDBKspciBmYt
2N9EyX8tA7wJ847HAtG5Tyr7Jaz8o7ig6+xWUQSrlAkA93rSxQpB4QFnuZeyGhbcrQW1VsixzYGd
Lpnjg7NyXJdCzlrrZ1zB8C+PxL9K5RgfCecumqt7P4Poye8XaITvmqi4nfeM8Rqww8xLVs9PbTDt
p5DJHBpQtxvjEsLDGUJpSUE2PsIFsKBbK52FVz65XRFsjguNrRhMWQXxnHFw/H+5lX8WhHhc0d4S
jNTAPSXAm37/oELVsgeXNuydNrq54c++xyHXuoPOJppGeihMkLB8Cd//ewUhAPnvuwbvJcLrMWGf
YeP4UyT1oslSx4b9nrVgPlQSgR+dx+YU3f8RjAIlS+we61myaxuF7IpenF2ByBV4TruMTCIpbM0g
Pmv3cUo4hInF2fajdfqHauPuOZb0JC1yE2IcnT3yEfQa1yuqTEBQWd31e9sNftGKCXa6bXXpoE3h
xDtX8ISLUM9RSZ2Els4U/+CudE+ABwCE+NWAPEzAr16TZALYg2xV8NMGzm4RgVMKSC7n2KZkm8X3
aZlVNmz+uVPK2/1PLSeeAnjxtKySZC6Ml0/cOGuO7NCXbuWQyUFc0rSZDACBEDxM2LTNg12XLvMT
zr7PtEQRsOOrFV+nIAGMsJrxWQtgrMG9F7MyxP5Eev1ZQ/LWg08PFD8Q2QZaP1IZNABKqnn364/M
bfjjUHOaJ4FQxTToILuPdNhDR/ePy1K7YH2dy8bn7aaC0TtxYJNpZ2m9r6ZW5Xjszc1J5sfQSvPa
T3X4IAw5znUwnSYokoA1JXlypRVphXERR7Y686PtHpxE0kuHsuE4Sb5b4Kpzr9suMhrUzbRM3SYr
9hzaMQIvAzuihu0ff6VZ4ulD1b79zBruphUDagKDSmdD1UWPjXWdEz7VTym9n66anVNCnPW5HwnK
qtZeuDAmlVuV5P2hn6Lqq8WOgltOzL6bgrHUHmVZ0lbLg59sO8enwbVZQpsCb0IGIgjsZ8riOBPo
84+91AhqaL5kCnE08MDztmM1ZK+lMfiogtti7rbu0ico8cPeSYrZpQ+rYN2h44KenLktUK2rneYr
WmZEo16RfooOEy5YGsQG/AVutQ9Jut4G8V757ZKG4VDEZGJP1f0fYy8y3dvq6Ln6BCqRIrlB2mJp
2xDMF/EgrrUm3dy4pAPxzxO4+Ig9COhPSC2RXRMmoU6Zf8HwDuhmNKkvkzKPyDKRfb2spc8i/xUK
W+pOAfnEo4YcO1hrFDspuOPPVdz2z1WziazivimIHm0BcSpBzRw3h81W6iBqOWHTsGNpw9ZFs8NL
YRV5rO2S3Ly6zd1IuR/LPOS/2o7eugDywwqUuLO2t3kU7rGbHPCENYg3ZQJYHE0ndjPZul1vmPuF
2K/N9OHJbfsajmTJh0rri2h1RkeEjnD5w5umIs6cQPkPrVo/GjPBe9Yy2YXr0qZ1IOfv0OJT1SgL
smeIy3BEmGgOArK3rBW5QB6q9FWli7YGZ905rxCe5hvRbX2ksveLmvQk133t5FXk2NPK++1U+40G
N+PjpImRihihfVxWD/CUS4f96MVfIW27j9jcINPFw1waYC/P3fBOmF0PXRI2u3pXGS98nj2dHPUm
jsZzr6scp+duE+SGI8ciBxX2x63rxs9wBjLFwO6h4TniTe8pFOQFLFe8nkY9V5fGAh1rpkGlyCBM
e+LM7oPfP85J3+3kCPWlVhjTGB6WdlHnunEencQGu25dXn+dk0o06JVPcTizUvuRhaOThKk0yVDq
sZ/2s2ea8s5YJ5unn6DLZ4yKuVzH1T0SW90GNh0T6QQHFUF4IYN1UhM04cmfWgdqtKuPxm0MQLJg
wzV3H7fNDNfEn6HUOU1cBiK2Oz7XwLUg3Bzi7i2suT73C4jUaTX6afFYPs6N931IxI8uGhekuYLl
RghQ/liQN09CaSKDObT+VIMySl4ckJG7xU5hHspxTNm20eMS1/ToqcJNhL64JmC3YCMQQWuDYETj
iSE3shtP7SartOtX/9pV0uDnzn3u+bq5QjXFF2+wtfiO7+44cm7HZYSujkNBPLWGbWjv+iRbqnCP
aEf3ZpBdyQQBPGk9j50IOYqefXfahJ9xfMQHMiYJ3Cj52pO+fnWj5rByWKur0PqEozLMDeWPuCTR
xVb+cOw79xsxHABkZRcsgXCLdiOiKC+whJtMIFqW8qlpM9pFblqj+EgtcM6SNCjH43HoL6wdkEyo
7uYNd0w2KWGuo0CPWiNJqtSingVVt1r17PrrT8TWUTnUl8EOa1n7sn3YQDhpLOgT39yfE2qbpzhA
jMIHB79D6sW91Lqas22huSSoTeUQkIwAGi24Z/wTk8ktBtF265FUyLpgkQft9EERNcPRM8txJobm
boNMpq3RCkaaviijUU4bu+6FL0nuag9Y8zo62MdDfb3jpCdjBkjC5hT4anqJYjqeuWOPtT8/+Eh9
7HBtkE8dWPvodvp1HJzh0gGYS3tdsQwSt/+JmpkUwcKjnYX/sHe8QRa86p+qTZEnxV2Tm2X4MrVM
3ioD0Nh6Q6FrgJPOuH6FiZJPnVjOfZecdYi1UgXrgQX4axIRWS7djLxHJKtrVc0fwxS/1S5adjTY
73Sp46dV49Tepj4deG8eXNJgWZuntvGuOMigawIHf3R7hqiK4DLjM3fLCiJBqolddpx7T3YT7i1R
5C3B+j5yMjbXuNU9jObZ9W/KdZ7WpY8uCIi8b8Q110A9zIHHjw3ghN1qcMoO/YOJx/7mIOawbzaT
otsKnuCDrWkIk6bkzbbcweVvMU6ofUJBr0ggLpdkcZ2LIHWJ4tg+s7VpDqDdywalyqXDyYwtP+B4
Vk5ede1q5Z/jvn6JZROhJLf2ZOcxhNk1sozXdMi4BhRoSeuWKumDHaXrDxUOwcOkVFXOrndpO4Q9
J9jPGa39Owo8LF/QrsKLwe9KUZfOXwYPJmTkZXC6sR50kPeVUKXjJ2LHqAOxlf3E+R2dG9+fdioL
WtO+VhPq0WWDSedMkET7eDpQuKenmHZeWktzhqDXFJZvtoQpa4tgqoddyBEUYrxasogxrLFxCh6R
HXircYylxP0ZbTlz+frWSOCqELOyNuLbGfpNU3ixfal63t6IBKOuNhjmoh/foL8NP4JN7AzFz5/t
0n04kgyZIxE0xQ9o5CZPhiCWKiSY1MGr6MVYQi/Q1d7cpMvx2avKQbI48fNujPkp+Rk7Y3UZYhef
kqh3nQC0TQbVFLD6+XGaxGXuKSt61x1OyyAh0qqfYWOh9FSL3K39bNHgsjWLkZ/rlJj3g4dgoBCy
3XXN14CD+bQWJc7EkpfFc+ZzpcOfE6keNxcFxHBhGwcQPFlz3syKzV9hkXuxeea6Mc9z/ySrNUFE
S4qCUme5VFX44mlvzGMVw+YK8dzVUpYGibE97PS2cOViIaVxcZrCuDryhNosjtc1r8jqp9DpZZ6I
RJ4DgZATeVlxMB/XWcp0IgM5utundqZnbS2cDDTNSLy3RV/pMqkELXUClEQ261eGkrdQMXbAeQob
7P4RAKSVnmksAcmn9Uam69wN03VD9CiYt6EMW2Vvc2d+hrqBT7cFKSyzjy3qYI2i+SCzgTwZOkOB
7vOBVm2VhhV+mEj6dheEAilLmLBf2VLt28ipsP3gDnluZx9Ee9qidSxc3KqrLqokVC/d2AMv6fhH
4vXkthDEJVztHEiPTBdmAox4so7olSBDkG25zE5S70aDqPoczC/KrbwiwYMMiTAWx85Z+jRGVwL3
MWjKyqr3ROr4Now1wklbKw9BbNfnyUwQMAfjZo3S9MiR/TzXQ4xEmXZkHgOuLjWpzEnM+gVwEIIT
fUNB8g/9AYLrDwddwvtslnx2NI6rGKhyzaewdCBypKHtb5XHMmfw7Ccn8h5iDaSDR95Q9tqL8N9U
9hSiTa468R0id/XRtvMl6FGv035ijx2M4dRRzNnBZEY521iLeB70zmAYHgPsUz03JO970Rxn4xZa
Bjp1HePkIVl+9AlD1xm7r8qFZBNDkT5A77EP8SLJ0asU8pB9Mp0RMIBNva3DZQx9uVOBVdexaW2J
UQ4Y8TB5+hF8GVDiemcRlH+yMySHaPYOgrfIR3Kxl2jtXlYjS2s6/TFNVZB2w9bnPrqux8VVJg0m
m0cIkFSjCUq7TdB2l7A5DVN1cGoDptzlp5lX/AQznJ+6gO15MhoUGhZZ70ib4wBRPZu90fu0LTXM
h228bUtcpa0TQvRP8BnbOPpKMETgSzQtrKi0FTuF9RpV0n1a7djDWWUPK2zWOcFO11bk6DjRZ8gS
8VlYN589JzytvUasvCXXxLhB4WxkPYSbq0o5Wf+K8k+gE8HOMqOADJCrTGxFdzoabiZAw0uWtc61
0vU5jD7NUVOhkW3UgxfWtgyaZr5IGyAz0yAbaydsP14cvMVc7OKW1u+DQqYHAwa2gqvha++J9nVp
sBfSvnOyQGxIXQarKF2P6yKyUCP72Do3lJqIC0bhk5XcAncAEsbHVRw6Wm2lMIOHejhKEVEEQq2D
rlgS2RVbba94NA0mGOipEM3SfyITkqeD9HHkULYPNKcwKeI51zK6cIab39G4z00TfsRLzHAAeWEm
EcD6qOd05ost0ftU+1+7ou+jXybcu22K87xeESUFook20dFfR9eefXZy5dA9SGWGrEoSvWOLvo7j
4D66qzOljej8y7wCJYss+qQFtskOh3ELBoD/QM3T5czpxe6uahc9V9g5qZsn3Oi0RXSsIGv/9ks9
lNAA7LR84P7lHq9+Bo5+Ih2O68nVKMZ6tMfg0fLOVmMGsPYo9MR2bTTJfR+Bnaee3c0OMkTwmNbS
Jj7OeYFIkxt25iYlphbAtn9gswIZ4iTjKWT85KLh3KReU8TO3LRbCGwqvS2Z2awoQYt89BJAirfc
MFaCQVhY3YLGmPEhhxVx18FeR+ogtRkByDd28/KZQSKqKsjnlUYdotThf6eE7z8BKIF1BIyt1IsT
FU7U43D0fJpSyTxkCOqTVcaFE6unE0LBKZ74fFnE/DTA59Ah73arTrxPEs6Z3q5QeuTe79fTfV+3
cIQz3rkxSLrhhNEt075CHqHQHgPKECAyDSEq8tfkBNDlpUX/+LmJSIGKAksWXfiZBwn27LGzBxqo
uylYt2UdafckKxU/CWRUlnhFVdbV4a5nYHOnHnc3AoAgcFKnGHuBNMyYUAg0Xv044F10eTxsiDOM
2aIwQUTV1R7n6Ts3CbuFgs6ncfRWTL5YzWexBQAUSfjNeqcmaaOr8Ma3ytn6Mx5tyCYr/8IFyG7U
7gcqW5CEIi4GkCGON5dIOwuTke6DRMP4DBYqADi7vflhmy0t0jNwhli6jd7Z9Zwawzoc5+APErTJ
hG3GjGlkIueorBrKsdkeIrK8WNQuqHe4KZyFxWVDXZkaaZ56HVSv8M3WKzHVV29onVc16+3UERxk
He/SYKXR20goqKtg7XNBZfy2dNgdwEXp3a9/WyVIA4ZYnqcW4HkSI/vlLU79wOtDAlhkVwGuTw31
Y9zw2M/CsEeF7gjvKBLzEoBwO4uWIo+IspA65oj4ND2utEdo6J6DjOH8ldVkw107die1mJPfavs0
bOHPkLnLUSxoBMTUjmk9gLdkmF/yZUOoyP/Wr7X5WLrqx2yg7SyR9vPY50GuxnEniMBzLPFUmbrK
UZIDZzBMZk5r531tIgUizPUOQ4QTZHWDbJyc+dBQyk9hLKb9mCAgRUKG1d04zkl2HkOOZa6fNVX3
QTFxpobee2J1Muf/+180epZLdWlDNGF0TILUDcJPcVgXI+db2fgIm65hsu1DGeaWsg1XDwX+Fi5z
ifwRCn/eqUvM9sgV0XKpRfw8wZaFZzi53/HhMqezbTmPvdlrQqAdxWQ44sF3nmKn/h7R0Xk3ehyg
gqoY4I7CSq3Etamxsfudar70S8Nyuc4CEWlNPiXVl7AOVzQZrZ/xNdkejYPGITYOsjdxOoJAPGMp
BIWvENVmELLcfoxf1iBZb3qYfigF+LquRPXEhi5HoUp+JJY+T+gE7+fFegnlEBaMuWupufBfBSjT
YnSj+7YVYPLMvcsBvfezmSABOAzUorck9mCDpCtQLHZg1RC4nTDqIphG1JUWxObqIodVExgzsF+T
PaJM00VwIHoeO88zNsZk06/4cqfFrfojRQt7S1rAcGP72e0cfsKXSmeGRKq10VtrRg95TNOdQzyS
87LzVPhF+hAEOBqPp8G7tyd4HR5EivEgo14gUgUWVql3hpDtq3ExCmKdJ3jLjdPuHV7DIalCJ2Oa
vVTIxkvqBzsePAqPbGWLShN7aPNWtc3HIAwMZF7bPe7mJ/xNcJggVZOo26BbSDyVDcEwqbjehRH3
0nWp1qJn3uMK0QpRLL++D/dxH0eo1tc24NN+pVgnepwwNaftKGLESj3pRbwnXYsFNg5+yYC97sH+
ZPOkWMYgLJRC0+isp8+kajGnoqmjAp+vPnmk9EOLT4ML+0ZwIIaVP2fWH50CD858Cj2ASDFGeSBi
Mq6nIGyHczK0ddnYjr/0M/pcoUX0TcxA0ASGIYQrC3feHCOsP22vequaUjdVh5PZZ1fjaZN7Xi8e
vDr6Evc48GmzRS+NjHDimg9gWuIp2trmiaEsKrY+0LmXvMmoW94Jp1+jdePPJDLhcRqSuvj19260
pWIh/otxgRDFmLJBbeAfLF+6J5kgFRgsbf1tHMdbr1f9xkK0Dp7jxHtk0ObnPop//vo/WNq9AZcv
WdJHzxzXLWfBHN860N/7ueuTw8Ka7dICFC0abJwvzJkwKSvq2DcyzoVcBv/7hF1xoaRAptdnANMb
CL7U/4Y3JuB2ecsAWBDfB5+cPdgtdne+6t3vZSOY2lG+sHPQ1UshwCgc1KY/oObXXxYUI0UbjZBb
FSyOrR2hIM4ZdDvvvU5qgpEp3D05k/YeUdS3mGJRRZ9415RsxgaGfFv1LJVKdo7jmL23+ey5Q+0H
AcSl3xaewK4Nvc8sjuYiCYw9yXpLrjJa3UzIz37f2zfbY9xJ2M7zezD5zySpne8UwL2DwRV1WmFz
iTAjBalyiulsSl8MqYIiFvWlSgb9EtZIIC4IhedYC+1XEuuPDTL90s/isYdbfBQqNIXXTPQdHYLs
2QfCjUPRLNKH2rd5l0rqx3p2n7kI2k+K9/oYUQQ/2f2PS+xghRiid15/5hgY9aA2Qh5J9OC7A/nf
HyLRIYAdI8ndtav7EjSTW2C6XAp+stuJxh1f5y14tgJqhSLxfHL8772eAkhFc3LEhVJZTYRbtMTt
ThpjXm79iPkzHD7zN2pKNNc6NX3IzyrB9k2n4YGbEVnwsG1LYxynTJj08mrWl6CaUIaZBkNbqjZl
CWSKIIzUvbr66CLFdhHFxItxC+VOaG8qvUnA2BjC6qHvu2FfuQsHB+voTCiWHGW91scV5ttB1djg
e2lrcMADyui6T3267AT65ldgO/m89KjW4WTtejr5X1bEomt4Wwc9J9D3UVWGeVw1TUlqak8tBhNc
ECkXhev1F91iNk/cTjaTUWheoWLLLOYjeYPog3lZqvPf0KHTusOPmGSwG+7bPlvrMHe54++SjbkP
ZpS8mGvoSOvmzV9AdIeiX96jGA0liRQGh7XV8LzW8p3Mar1Ec+PcFWVSzhPASQw3si+Co7B1NdzC
7v9xdB7LcSNLFP0iRMCbLUz7ZtOL1AZBkRJcAaiCB75+Ts9GEU8z80R1A1WZee89adsbWbmc+Z1t
jcc5pU41TF/bDSRwbjRlzk160jv4k7yXtsYeRsmQtLgIbVq3oPP1A1WwlugrhYlVZXriNdObVSj7
0Jb3qjtNg1dPw/m0aF9rF8x825b+Ppf7ove3eFmn8WgL2d/Q7ZYQf0/BfeKfDSctrxo/1skzllNt
ONtBEP4lU7POz135tYjMPVJm8/5BXWBs9JBVg7zWXV6EurCxFhsTuCaqgMNqKByfg+nEKwPLxChm
IwlWM2nunh4CuX3odCN1+aK2Qy3kHwYW4uyMtoxQXfS4a7SbWofgnMLDOv0fw6gRJbKmDnar7qc7
ePMO+Rp/2mPnfhabiYvLV7f/TegidV5QYAO03lTcmG+2BFWgCYGiO+T2AlLBwEgPnSDGo/OcpfV8
8ebcocEGijgW5kxayAI3peq6vOK02/vZ/RRZy5MYCr1I+snflT/wH4unjvDf24rsIRXvWidQ9TAA
WFG66V5oE13Yl4sy9qXjlb8WqR0GRyFKWc2JPNoP+J0r/KvY8Qsv6pexvzWSOWMbjI+uywCxWqz1
0lvKJWM8u3Fl1p99VdFe7BRV2FnVoBJGMf8eBkt+9Nvw3SzTTW/J7XsoVCe3W2famnJEVzWth77c
buCKnKfFCMTR25xXLFtP+lR1B0hlV1da7stEnCSSuvoc045QO3HXk03DGHYDVKRUU4okWvWG4lf+
c/w5KoQ7vmMMvG1cN/fxvHq122ZM3MlzryIXkCR5IA5QudIHDS9t5E5FEigEBEI6LniKgMQfpCyk
qKFJpPNdW3n15pZVGZsklXad6GPEgpxhZ9ZX585uuQYN9y1AEWSAo8V1bdWXGvkk7kpnitzfhrWp
Py1CYFiLpn60zKWL+YsTayAr4lpbefbq7mHyUXpa4fa7POsDintSav//MiGWbkufXizB64vBCBcT
I6yjaJVzlWQONmiP63trVR7+f2aYtqjCPM/GfacytNz7K9WnakLpD6zEWgUERl0WIUwBsy5fKzn4
kb8hhgybsyRd7pCkk+iqfW+tryLXo5nQzC+p1vGqxu6lWPPHQbn9IyNgiSEd4Ap6jvnmp0klAu64
eeCBrZBRhWXIpEU02oLhhQW6w+vgkHH0CzdZGQy9ai4sDj+rfpn9LN4Uka1QavN8VBbNhLa86V1j
vTlmb5+1yb/MPOo6FIkn2VTU7GrojzV/L9yKlaWy2M4XB1aazM+p2/pJx/F1Z5sVrzWYlYelJ4Tm
BsWtzvzluVvfA9k5iS5ASRmBWqN+BdPJ8PjFr+ruuKUbyoJtfvZkKMTqGC+6k2G4dOsqLJeyODu5
50SVH9iREKtxmkTN4+VXb/XEe2EzKygIiKzRQqYYU2/XXlr8o3tfjm8OVIJglSlGLTO4VEZfJZgf
1l3QJ9XWqntVuz5rU1X+1tKB4TqJq/PKsTYwbWzDZQqqczbX4tzUKjuCCKjC+rntPee11h58TFYn
p9BmniO5wE6tlLHzXHUOaq+4mhzdyFpeD3KRAI2ub0TlNARltzXespkhX2d06FDLS6pnVqinV19l
4+e6ddQe/uocSqrWSz6PmB2awIs5TBZCIuN45SZeQl9eyABUi13uG1S8naHhNHDJPhBrA4Mw++25
9V+mmYHCeC7NZT1lKQjLwjACoqYE/dpclKFkvnKD8rbA1zLVOwMFKgSvODor722Z/Vk9evxUy9e4
s7YP0uTyeAcmnoMlh4Gzruk9XNjd/Ks1G380zZ7jAhPMqcKP8IDPYGfqVrjCfwPicRf2wV1E1mwO
SWU5TxNn5C537d/9VJ//P92LUbciu26jSQ8IQTayO2Y6kZtKtQ9jtkAKKvxnr3MknfFYIJClTWx3
3Kx1VwdPhKbqs53qMDvavzAv0kfKLShAaX3IoWj0DmZ3KSEZGiINdkOa8vG1wEO7yv8oLaeGKYFL
t+6Kpy3NY+WOScHHYUwu71pTkDRrXI5kAdfiOx2F8WxrC4xA39teLNN7x3K7p1dZH8daWx5N23cj
DtL1NAqT5gIEbOwWsx9KW9URlc6Dokj745X534EELbSwRk9cow1u//+iluBoBkHiEgScFwsqB8CQ
vbGk081oau+uC3VPbXYFBqg9BTAJTvXS/V2wpCVtCeAtX0Erbp5k9CjFccyGr4xSKrb4XFFO0sep
hPbZC8QIUTE8GgJ1olSy6+kAeOJVE5UVQpqswn6rjq52D5ZlybjSDqzwg7PBeKvK+rXRUDOXBSHE
S+VVAX4My4qaPUvXB4zWghLUPqXO8lOmT93g8x9q8nfQp0lZqAd1Lz6H4NdUr/ShbrdA3K0/h+Fx
myHmKVqITjIPrKYCp1zThAhQ+CaWNsqa7idLDWThqTdCu2fC7xq0mU06SfTM9uZuMsF10HFpdacV
wS7MRD5CmgtmJDwmS97yUjIxOde9sG+MM41x+ClHOhx99KYo07VPRsLl3sg4aYUzv6RW/8t2l5+U
AVqSEuPgWilfSZwk9dTOTJG3KXHqhnTV+Dr3bpOI/n7K2LwzHeJV6Y1HBj9dxENAlL7YOF+GNwos
QK5jjbuINBdcnxmpnlm1XS9lZMCRsjSUlwLQisezp/EA7hw8B1hervYw4oJwrVNWjGg2LSpnU+XH
tfd+mmpLzLm9KfVarwN4obV1Tu5y1hfjYvIEgZRKgNBGVaFk0rRCx35iP2xDCTTyjg9EDsvqjYSZ
PxjhdJyW7ZmacYqD9btvmBQVQOtGvxEEzApqhLKQe4+RN1J3AGuSrHeuqa96ovYk4kPkvk7uH+Ac
8P1QgWFTuPN3wU4VLaDhZcR7tx2FPeaXpR2deN5+6bl5dM1RxJtR5hGAwqVmOOn1ZCuNl8GnHGnw
lQ7Cj/Bye6e8rXPaM5ycTQ6IyCmHPpoNezyYQ4PFRPuro3+FgVH2zAkUCN1ghG9s5AdPF+/G2L7o
XQ5422xH4DQ2PS4M8B28pniwRyNxca64/FHthnVNaPSf1uzDMHVhalLtA0tqrkPWPM22XONxkX+X
etrgGtJJGg2TCeLEgVZGksFXZPXFUzbrT5t08qNmmhgYl3qXk9emtPFfAj+7lMHnnJl6hObGRMrN
n/ps3eOB3bgts++pwkjTrZOdBHtz5ghUSpxss7HCOjWuuh38vocEsyw7MRTqItLGflimxvNYIRsI
+W+ksz711lk0Vp2MaiAkP1l9mC75TTT9QrU4/qmJVYSV6+cHTOeZR8sxuPaTVOkzFCOC/L5LKea4
+r7eVhUyc0r1huCdC1F4m9sqLJYK05NVRcbSfOiL+dAwNEEvs49amv9efPHPbqzi0JABawS2f0bK
XdzSO+pBSTDbXU6y22kVQJDVv1uYVxUT+sfga2Bob5blwRNlIkVeJPk0gXcuxL/cT6GJDeOPV4EP
cgQFfz3pM0pYDss8Q5UWMEWgQLzYVUeCAW4xHFV0ieLfPA04rybKOzKkDNOz4XvbMOn2I7jxbuS/
N1Q0uTLpdeuTMpgR5qznkZnp/4DRV9iIR3p/51Gu45QE03YT7qbCZvI/7CwgN2ioH8dkrFa2M6Kl
qveZScJ7JvIf13Nbhu7k/stXSKFBox76+ps3zUmmxsU9qmtR4Q1/UbFR2/1sObhN/wl0O9upQH4s
PBvYZa/5hCidL7ab2JrAHYUUmvAm3r8HQAz5T24s867J8+Mk77dRKn8G64spwLWt0o35hH/Ncu9N
pWDYLAhJSq096vyuG/Uci8SC50wzkmIBi1SN701NHVLy+Qi4Mn2x/XUk+pAOz0gnQOl3Dx64Ts3x
L3oFwK0o+HpT17r0WVGFDdbDhNSvhcbmMpsN9EgiVg9BpxIz8WHvYxulwKfR/qdsqU4eTxtHyAoj
oSkvq80dkZeuBfFveTfm/KeWxbNwsiUZ7XSO/cL6rCkykkyMvxp7c2N9LSgMzH+mV4DXy7ws8dKz
4+Es/HCd9pN8gdqJYvkTqPIAzwnT7OQiYmtbGfcBXVIvufi9Kqyoj/iKlyZB5eXnaPdVAcVjA3yO
/ZYgNblTI3+Gx49VF4HhAq6QhLvNROiQOcFHnzu4jiemw66BG8WSn60q5309eRxDpbZbly0EF4Kk
oKOJBAN/IaBZQzFDZF2w4i46aRloVrJVD4ZOajpYOG4pKQNLLjRksxetvbnXS/9pKP23tR9wCNjF
czbz0LM3E9uU9iNle2BmixRbwqot0ab1iWFpt5232viaSpQVu6p31j22WTVtEAe1PLinlig6Cqpf
o4kp5f8lRHVlwLm370EI28qCxCqMvTeWpy413+hwrUho6vfGuLZOfT3iUzvM0MhNe1t2i4krRVtL
7s6AmU49Il/6fNijThfdkBAf+g1B2MKq+jzS+cR3+zY0/hlu4VCtu4KmH0ObOEpQKJFAL70qN4eX
zFFn6anBAGCKG0XPeAfTicDa9iKnT5tXV3H+00fzmgcGcD/crVVSVz41UlmGdJROiA/8ZvEYE7iO
2uV+ehuQYgdg7lFNiCXS9CfD9du7tWuKOIG9MPCQrbf0nw5OYyb7uCvqRoajvpzTbiaz5OtiJ/2I
mvnaAX0IR9VYFLUmB3SwPuRGfxwLXT8EOodmyhEcjgMXbq7sn6AsRby2nMOBCs695+KhLUC8ye4l
RU5jS8V5CYBJYwj7Nje0bqdK3zGn2ZFSWDjWQR/DzIZnMxDfKrZNRIMo6rhXX2tQq8tq1t+eZ3IO
1y9LZ+rXtIXJVC1JU1eXydj0eBid+aB1oPey1r8ui3VFoHoLik1Pyrb8aZb8Y2427+Ka4Au1DUuD
asmPEzC37eXuJfgX6Ko/VZT6SdvrKgS9z5uNuXdX6wjIBAr1aCy6Bh8xWdjeEHs+MzDa/nPepreh
aOPU1A4QHA8iQHQ1zPTP+v/vAmONNxMuAj6Pdnyl1vFjORTPpsEMrDZwHmbWqa3kbZ5xcy/UX8Y0
OOANtKjWBu2BoR6KJSKjbTx6GbVW7rMEItdVjqPJf7VnvOCcZ0XnA3iD0p94yuCNSCmc6zHOZ2rn
TZp5OC3T66KPxV7ZcNo0udN6LoBFVkcbqEOcoqUeh9oEy0fMoQR2CJl/uUzM86LCFuyRIFgAyJ9Z
K8AjXDCsEkg9M3H9HofA0lfIiOdu3pbYKdTfYtUPhu/4zJueNn9NOThT/VGQhhxs+VgtHqFGLnbR
KNB35KvTwmNub2DRr8dkBH8U4lUmAFBq127r7dAmIDZONuo/3qkQOAjeFr7mQZxESmskeFxx/eYl
QPRhoiIjM6P3Abby4Tzno/Yxl8hQ9oPf+Eusbwq7opnlwBxSSSmB88qv1/PY0cn3y5EP3k4BhOoO
sTWnKRDevCVitcWHNne3obTlQd31PfEiaqdNaqkkNCPG+XLN99YQbGHrESsy/PanAiSOk203FdV7
laHhZvWceLn52GCFO7Hg42isG4Wh435stjkms47iyxaML10KHZM3qpEp7C/P49ohIpshgfiP/fC+
bRtdPs9Ci6bFSPFAJA+uZv2RSu0RV9YrXq0nY1A11er/RjQ478uE6k8+870czGecTKBYJpIzSkDK
GrLe4kBqsCqnHE/DCCG7/94KBnbyvmNlAtUJIL8LtWy91SteityEvQWLIxl8xrFsiynKAE25rZrI
8e2n2ujf6sC+5WZXRNvqjfv6b7XkXw0PR1jXC+hLRKql7qvo07dt7chFSEZXVt5hdYOYMdQ+26xg
n4NriXBmaVb/aHRIhk2BS2gCFx/W7ro9NDYkIBJJ7goWXY3NtQFhWpvNa+Z+W4yETt2CbtIoFswM
NKaWVDeII9jgmpsd5H8VyNhA0hPMDpkc2b4Q/TnZvTz0kxopYdouybf5d0Y6Y/UWDMpr/xKMBff+
4kG+UR4msWq/uv4BstyrgSc3tmvntfOwY9ZIUqMG4sTfxkS5jGxcE3vWMkSjxendqfk3Fr4d7t0c
LkmeJfPjhvZP3Wld6/20splgFMWv2hu4K/JqQi73aXxTkCSrlVr7VJpPuVe96twD0cbQpK7y+lxu
Kw5C6gCQ/2huxkIp03DfVU0dE35IVmlyHTeFFTZB81Bl9rtpk35wWki2st9CyyxzzJWYG7fATxp4
s7GHrPLCYJV3D5+kXzzp2nxGRfd4f3K2hTw2mdAffR5R6QVLZOqKxStBe+ybGzPl902qS6m134Pt
2Ulqbs+DXb8w4bNiVwTZnh0NRNtb2l0Mr0nqpS+tl1gQNOCqLx+UBq9pi3mTeDABo+7k17I9AdLk
UgRqefdFdc01MKh3etb8RMqc9LB1tieyTweIBm3skYbMvXZ8oK8crXaJjpI3uYE0Fa+1vpeDK89W
x5sydrB58vRrplqjHfjskR7o0ZWHhRMSk1R+CUqFXS55eQkQmg5ocsybpRFmqgjilurooi6u0ENb
ifTFmjb1XCkWyIAO0FlN9IklX1bENpCmg/ctMM7lkCXDogK8SDTkkiKxgvBRGyM1gxWAquKQdtLK
3o0LR2u5NbtiuvkZeWfIDCeTt0YJoYW67+Hpz+y4Bwu381iuEG1WEWUWBS7uBazsPVLSqn9DTsYq
NjD6xnqfWgiY+bIcmjkwH9alG4+lk/2kjXwHwiMRtktiNwO9RpVV53kDnB24PJ36RtoOW+Jmd9Ze
L+SLH9S/VNNqCVEBNkNMHVMBw7hUC7AYvbqqqRA0KXdDh57Mcr0Kxmac7ZA+5/SxRkO2hL7Gjkaz
NC+A/wvpayxwquuolPoFzksdTabJb62/C919gblYAznRR9z8fOttZwS3oQmqiHkSEpzJ2BIvsL3q
Fqmc7iPvBHRni0ujX5wqaeNK2UvcF0pEuT0u1ybb3d+Ny1IHjyyoOUIrlokxBgccGS1IpxDrDSuX
gqKMW9NOgCNRFOgyanu24FDFU7aY+JoCKi9rWOxIcjtHjc8ApNuaEqkE8NisZfkD0P2h1TVqqtAc
PRU6M9slmkZz2VdEyY4FqY3XRUCG5S1t9+m9G4a4VL5ujv8+ZS4jrzSh0tyh435DNjupfHgm32Y+
Dlhlq3IYQzE2l9KugBG1wy9ZB7Bp8mK/lYUes0KnQnfSEkPbTu3IC6VXPtPlPGUZVOZHbuo9FsUo
sHbhJMLHQm4fZI/dZhZO1KZIdO2wDDT2M+JHWI65lbReCwmK+rFasElK8WsQ1CVmN+Cldfu9Jbbn
keKEq9XMkmZm+wC0WJzK1WdF1pKi29iz/WmM3ZTBjOcNu7EifWel95narHSYYv7Hgvuv04vbysxs
oryMt4V+JLCRGAujoq/iWSgegXM8IdnJb4y6YHhVn8GXdi7DyDIW2BEvmX4nuOQWLt+SQkfo+xaN
kSGch/dpWOlecGAEVnmytBemWRB6N+8de4QWrYW42DpHQJ/razSmKSG7uWwPY1vtqpwSu+heXUtt
x0lMU4QbeV/r5FHq+mu2UfTwxSWOIgfprUEaCdfBWoNe2+I7fJ+c4bSpprytbvFZO3xhtsuGDBpg
wI+Sel2/mJmcQlKpoKZHbBgj7gy/fdNdsljM3O2jrCqOeCs/2O7cXnUvYA3J1l3H6VqOWFPKHgkm
81domdajZuv5UbbDE9fXFk02pZI58m5buGUn57NqlJYM9RyxGSQRdvBn0Uknwzwnr8VKFRI3/Ek8
DQnJCHZDmUvBMEDmiTOw2aT9pdYAwDzDS5VhhR6xCYGC+F1l5EgryRmLTLRCftwPssCr1jUPkgIE
1yrx/1bjzylbM6ptAyBz+dII/9RLWVBH8864yJoYah6XioUAOW6arZA3YxQeUBp59aR8IqtIAeJT
2QPY6IfpMVv7j/V+4xf0z5V2AlDw2Dz7yrdvABQ0bDQcBjrOvs1ecKUAiND1mWgkIj5/z3tEFT+c
Nspfo2H8sbxtOqXAmC2/kLtGqpb3gbPJcKFitU7/ZagvoDDpUU/n73aFXK0HQziuj57oQeKJ+r3c
QD1PgYVBln0g9Ol5hCvf3k3UpCponvxuLJiY5/I0Le8Mj5lhlHrCoEgLrYVGSw/uwyG5Urs1Lovx
1h4OdfvSNZsZLWIj+DiqU7quIp7X4pLJwjmKTdtZJENCz9K+t+x/G4TBF9STQJFUjVNfEDUlnNAX
rLpLN6ajeMuMdj63Iq1izrcf0YRTG5yCcZ1CiC+Fqa5GW+FGJznHG8+igM4PkAoZl1eaHTNLggjd
W89OJV1O9tOY1qD1HYD2k31wNPvQWJAbvaLhDfI6TEoDyTmCV1SI1hjXpXvBucako8ODJSd8drXP
sfI/36scZYS5aodb5CFDFrxMOi26NH4VFrpb0AfA681Xr5KJp5kMnvO6uBiG9kXhwZhC2cNlG+tX
dBPGEFStQmdArmQA0Y67DkTGezX2X4qx19bPeRiwKQ1tpft1P63cEdsNlF2ZdKN6Mw22UwQDPw4c
r71JYbxr+wDzcZZf4TypfaHaMh7ZNoOfwgmXgJV5M8DZtlmzRNkFo8jVYaTsMvzftgzNs47TRrFR
aj5vee/zLkdOgdY4si4pKszygRkXa6gINvul9dHrTXsRhrMzDJS7il0v3PewrXCbd/VMY+WxJe8V
HQoo+tLniXrBWkjnz9xF37R4HRTo7bn+bprmoFLK1p5oYJN27CFkVo/diw0/y2Kj4hGtrUz0PCbY
j1Pz04GBhMzB+4nj+HspomZA9RNyulU7ITeH6H+Zx55NVbHYXqSvwVsN22tn5qrDi6+N3IB3uqhP
Y5TmEbDiAlt0IBhT6Gf0wWhpdPfGGgsjZFWWF6lq/sZK2KGk+pcqUM+0biM+gmM3zfM5UyvaLmO3
JUv/6GY5MFRYeS5pqxcu2rjw/zFOJf42sGCCBEGLgnFfLNa00VAt/5AYjZ27Zn/L+2IJBwnRUJOP
GDnh47MN1jEOB1sfOFzXP3VRIrduhP7S9ZnOgy2FyJCM636jhyH5LfrVtFPiGkzAVXsccGMlemPu
8yY7LrNixHfflYdr6DoeYCIU/G++AwGgcWfQV/GY6b9xJdp77PIrOw9PlSE/scWEbHLKk2nkqnUx
bXAObwdIUcT11kUPc0TYEaLF1Rimg216VxdPWDiPrPcg6GdC1EA8nUz4p0vzr6upm1uGZQEWpRAM
cc7ODi7teTH6w1L7sTLEV4HeLpEMqO64sE1wxvuURYA74K0LHljG2iHphTpyPEJ8+K1Jp7TV4T5k
DOpKPwhWiCVg3uESZ4+E7D9YgMiBaOpvuiOTwVQMsclteaTN47s4zsou49MTfzbbra6G27OaYf7x
KLhi8UYHCKsXS0toFyYNs7PkEUydo1HQx1L6/PVXdJqapxxSfMq1Ys9sd2FRRNaOl63sZawEJn5T
E9wbsF6SxRrMqLKHLOyc5m9mD/5JCuNs1pixeoehWsHqp2d4Z+ulENq3uUyxpWtMHBfjBfPsN7Co
4bDBAe+9muF3nlBf9WPDrH1EiRUyN5NV/5oRMRaf2VnJLk28xPaeECnLPNKMbRy1YLBc/a571IdK
+Hy9rfYHTw5TxftvsVpqTKwp+yU0BnVKarjgg5Z9VsV6WCShPqKVGUEN/tVOG93bPJ2qHqOzZ7bz
gQEgG6tcsikGLVNNZXcoKmDdxb2jkk6fZC6bJNri1KwI/3eJTPwwAuxJzrDQwGBQSvAz4WkGoLE1
+MpdRpcdrYpKp9OKD4arJ+IHKS1GCBq+5Alf7bQUv+zWYDY48nO4GriCsnnSUnS1vM9nUteSQ2Ia
LWxIwYvGXIRi6w56V5fOXuo9YEdUasNJMs9+dIcgC0ti2xSi1j4bcTKvvnfBNH7Bypjj/9S+2V2C
x21Ybo7G/Ct1+6MuegxJVDE5gATmP/MH79q2r1NaRX2+gWjDmSJWc4/j/0398jiisI9vAx+KfSBE
5yTd0nr7YOYKMVDxuWZJEICXjCn38b/LHVg+UC1Ps6OonAnZJu/Ap2jVVyAswENpq7jw7Kd75Nif
xZ9pBGfq3k2NPBat5YxhadMdE/5lWNea8ZSR1agOAQENciAtWO/Vdu/wFwOUHb6jSdk2LZTHTZNt
SEOQgIWakatyQLg4Os2hfU7XjNWo1QVz5IHNpwEbbiY2mE1o87aAECbEixXIDV/4+jxueb1Ltwdj
kH97vcSu3mfHDveZZt9LaBNKayCjoay+xGghXevipEOHSIx54kWXWwKe2t7pyriW2/yB/BZtrAWO
F4dfNuC3jU3sPHWrPlRTbtEcDuD73SMhxL/Ca/OkJ/3FO/IatO6HXt6VcK6Wkm2KsTOPHIcZy0I6
u09G2Ts0I93TPPeEZ62FZbWDzTAmZ0mh0oB8EsgNN8H/mw/8Jlm37NzlFMZN3/zwsFCXVsYftlqc
plZ9sRr9lOdDTIU0RgNp4jtdpw7JdlD0Ssw5/IsiEqsdB1a/7bJSg92lM07sqpnNs8vIYRMBPGVV
3r4LclL3Vv9BgOyrKbSTnY0I7SPeczIfY0u3i9TjdTkwPg8lJWD5h1pryUJJ8T7q7DjNGSLZFPqR
kWqsyW0h+CMSejO5KEsjFQkaZK0aC9CP5kdMjOl4R7HfYFjgiQStOsuPVLHbxW0l7S8Lj6t+3OsO
+44D4d7sQWeYxfuaYR/SrRSIKmNXgt7DFyxW1lgZNswV716ZQ1RTfp00GtmjUzpKTkS/+uMrNgR6
Wj3Fdl8x8TahshVspKlZEoPrmlpHUFAWd79NN+0JSvzJDZere1j0s7xDW1dcxMNc6Htn2wbW8JJB
HFZi8QbyeWgCLaHEx9DqbwRzfI7zQ2mMDZrZd0nTkrGDJpSkj0K3drSDKWV66LMyGYkFcgcVj2Ay
6sPsy3OZQulsKJDpazn7kW5N9zWwi/SSoZUEns7OvB5cSCHXNZyHO8DKoegxl/sCMs01yBlg3r4j
ArTi5Ln5d+9R1Rqy+Zl1zJyzrX+NdQA2rfUjm27+aOBvYEnmIwtOvytqFCiJr2AtcCx0hR3BSrrY
aux3nO53YmhZkhgI8eTcNz1Pb8AIV0ecS2t66oc6tuehfWC2O0V2lm6JZeW3PNuvkxujhX0JhUW1
riSLAgWiEceUESIDGGiW04g7b/7EH2HtG9neD2nveVvQa7ZOnjudaazqbRG3OqK1z54glmkw/cki
BjJkwEn2X7qRHyzTyhuZAVwV1RrEgoSxwN8MbGTJdp3CqNgtPjNnsh94wPJ9IGDnsedQFDbCQiuG
Y1fljCt066sKxi5u5pJNl/cwyKw1EWXe2zAy7lyL9cmfbCL7XcrWn/qR5dDrk505pHa4sSPdYjRa
sIWhc2dOPat+svyg37kZ/jN2rjFymB8QzUGN2CxUNYT0Ejw6b+49wb5qTMV1jZCmXX6B5PrDAu2D
Zxe/tEwHNTdbJ8PwfyvIUOBP5IHGfN+30j8ZniYZK65GNBC/52M9tqP7zjIwxgKGDoFwRuFUUjyx
4sOJbQUHvHTQ5bchUUBSpPBRAIVxX9K5wQAQny36SUziIyxYRp7MtfnGP3bA8ILn0FlCPDGej3rw
tqYLGN111z1d4ptdgJ6YNeOMmwp9lsFANBgE4rLRtSMIRC9tMPxKDfvFs7ISnDGiQAsmoF8mLnxS
cmC5MKsPc/s7ldm/eiAkWmzPIO7aQ5dTgc8iTYJ+EvFQmZhPQA3ho/1mFo0lU+RkaiuNJTpBu0bW
Wvexd7NSjC0+a9Ark+Ql382WLnFr6dlhZs2V16MHb+N7i+OKAQcWmXR0qtjZQP+P7JPDCd7FZAm8
3LcPqvIevJKLFMtXjvwkMWOPgiqGfZ9MwFKWLRXu6yRUQurUNzC6ofHGNZyEyFaUhgVCF7VHglOI
qKVPA5gaZmiib6KZoftsRZPvgIQgNco6ngr6mYnQ5rWoGXY4YBKwpDinKeh/GJtXgDeYLLXVq7Nu
bNA1pH2pnFtnBXWk/8fRmSxXimRB9Iswg2DevnnSrNS0wbIkJRDMQQABX9+H7kWZdXdZVUqPR8T1
6348cHnX+Um3a+GjWLl4ldrEZMqNxg5CmCGzmtd0Yv0QTaDWahJQhPb+9k5O9yU2xjyxgIOr9zlI
AV9HTDpN9kONwcMYo9YUIniKKs++y5b62xcUtGUtClGJ3wv+RtYhZ+X9GG4JYRyVxq41LIIqUeR3
YDfEjDt72aIj4elpa3PyGG8TMCJeDXwtL7vfKmrv3dT+WiLOytovrkkKJdUXCPRJ9v8o5712PFrO
9IzOiM99try7VKV3USKrnTPQ3zCgZjb+yOxOe9TO4dC6yA4gdKxO1uiMl0wk+Aa8/LGopud2UdNZ
DLyLZY0zyYQ8Wo373GORYSdCBCN6rrKGRjEqgtA/afyUmNv3LeFkMxGTbZW5Jw18K/p5W1ftcKZ7
AuiXd5NugB2QZTYyVjz+qNWGM4+4OP2hOUBsfhyjEd6Baw6FhV2py2hgm6yZb0D2M0Czair/nBQy
2Q95Fh0mpn0WlkwWUW72Mff2etyDKX6orPYnDvJ506ehxRqN9H1pRdBz2GCzY0L7IOOzTeCrEYxA
KANLudfzBwQHBoquIiBZOe+ePFc6pDHMj08DlyFSAubLw+IQ5OC3AAywcDeHqJX/kem6b4KZv3/9
C9Tpm4QCi3QVyF0VxFeO32YAKFDr1XyRG2bL9CMHsbktpd0dS6iQ27D9A6/LbB1G5L1AJVe8dMF7
P8SQAeEW8css8XTB09600BJ2WAWzvVdkO2LE9YH+jkcqOZ8gBGLgid5roOy+adktTzi7SJKNa4Ol
T9/IFFoeryjWUTmXrJo4PyozRJ0I0ladgUYRETdg9t9OZQu+K/opwKuZDfZLtMQ8kTPCfv2OAzzY
zmByKufSaPlrnEWxbErfSit/sxzuTWHSLVeHdfEmttvwEDdDfLCa/mcZvQdFl3TYGQuwXfZZz+ZI
d/uyCbyx4SJCoWZBDSbNe/Wyyev4v7blxtUB8910kts97yLnPKoWOAhNIcQEbQJj1qZeKR9DZz4q
0zd73wG2wzvoMJWYnZb8DdA/9ymbMFYu4SvYS3xcwOERPdqWsNJQkUjG59O/ULoH9nv1Diex3NN1
hmGcbrWuzl/MEH9EkfXRVd1jYOfDzpd9tZ288bf19KsipRAV4iXDmbwzgfc4igHPW5MzXtS9pGCC
/+ZGcj+h1bBe6k8Khh7FmaTDy7QEv6XSV96xDT2Z652kDcQu5ctnK4C6hifIyooaxBeX2XHmZ8pH
HIBZ2fx4LyrHpALkMtl8+1ByWTb1Oy+GaBVk3GljsW/q7AFzzNO4YtAs8IMbB9F560al+1zi8F94
De+omlyO7WgxlCoCsnWEvcqeAtbu5praDEiJlh/LnLPEsikochFytDcf2BJGOw6SF6uSD5VcXV5F
jd0z/Wiy7JlhiS+sqOmsC/VT0eE4JY+35TEt0YS02M15xWezH5uxpgbF/pt22F17bAGIatYDf5Bv
q12+A3gGMoweTWRojUxZRbGbcibhM86isbUKAw3WbjbNmXhozW5ocXFoRzIkIEwEw83xV9Uq6ek2
x1uxaf0k3STK/kxWsbZOmnsrZ+wbMFqeBk3TZZzW6aYbWLDhAPP8qT9bzIykg1L+LFhGe/xBI9XW
lU3SmRisWHl7JQHrbTMHhomI3XYkKPZODRGt4adGlqV2PnvrnA0YPG4LVPYxZ0vSf8OdXzX/ZULw
WrLGv5G9BikbrUkI3Xn20F5h2x86l6urHZefKmdV6dfBncaAdcxFdMtyppRqGVghKeCM5NIInCzs
uRbruMTro9JSaqNW3JwkFdjq8aMP7FfaLsCcISig2UU4yWqznbOCZBgZkG3VpPNhfkz8DIdLRoJo
RqSFS0O9uI5ouC+qO9TrpEpZnA+PflvJ45Iy5Hkq5Fvmg6gG5LFrMJpaysc/wca9O9eOB51Mcrvk
oD/5Nd90UJN3M8Nxa3krWIO8GJq19ToySrdYWlmCkCrnJblF/MFOPl88mMP0TILDmZjTqOTdJO2X
O6fU2BuMPVmWvZPW4LPzSQbl7Hgn1WQHvxrTfS9vkivLIcjdlzCTy4aP2ROveaf+lABOETg5JU0d
AvYkngfsQG483043EJv1tgd4hb1bf0ABbHxrIRmN+h12EOlG9yiinpKipf0U0/xXZBX8pKnlvTox
nbTTbz6wsiVg+1MyrsNt4QmxtTmpqHhyTffq6i57otkH+LTokchdnqt8rxIlt9Rt2Bj5ih835LBW
MV8tnPH7DMDgvpb5ltrIfVLFVy7l+pWc6K5sC6q7cbomPKKJHF+5UPCp4CIL192Xl9cMpYl30Oxt
WC8zf6WCvWEWo1ar9eFQZ4gdqCoBMNeMnHQAoGLQ3BfTVfcJnWcq1Bk0I9RS2bJJchfgcevSqBP2
Z0Mkj0PQ8IC+6iGgfgOCGKayjT87VLjhYQqW1wLgE61j9NOHP/w9XOzx2Ac8pxO0/80yzwh3GMC3
lT8cXZOe2876bQPXP3KU6GBajeJfDS9thq1wn1Y9olzvB4Bu2idPqAdZ5nvJdmbr49FfX+4XGlt4
Wm/lmhSJnfkq5oDHphzw1hjrid/Y3yI49XRp8oQP075PMRoififh+Gl3+TnE0Ngl1XMcV6yp02EP
zczjCs0KY5SErXE0Dmb4LnCrDC7IgaWOsXCF2WmI6FK13eo8xhKvsINBYrpahA8PFdI1Ozh+4RZe
ig3AJYkhdjR74PfEkSA8HpVBR2N3/pAKbIKQzYaifdOcFmeKGZAtl83S0rwW9cxzWSSXu2AqvoPa
+s5A2FC4BQnGFdmp6Lo/Kh09pO32KWnRkv2eomu/AH7ubUZb19vM52WFXIht5BhhjyM6stqOamvB
jWHjweMVhyYEThZQpKXXUZes9CFeos/Uxf+ZDwjpTQ9eATt0QpaiePScFU45+BtLzL8T0IUNA9Hj
IM+G/QPLe/G18pb3SyCfwDvhCZfOfdeJ/G6EtxwnJebKVBEM82W954TU7HThrImvfBw+Wxe3gj/h
f1jse3epvvM+ITxRvtUuzp+yofQGa8M24lLP8kfvrdcm4G2vQmVROURhY0Eyk5PI26mmuebp9At1
Qx7nqnxrGBxlxFe+dI2zg6yrN+FQXMn0T8hzLrKGdS48fkZ2tE7NZoiqBLTAqaeCCG6k/5f7WL4Z
rHlgR0gzCz/536ZhEZnGBB8X51l34Xz2AutvEPjuLrVz4Alt3cCTGK6DJB2FXwfQoss1p+KxwUux
7xrcSajHD4HlBkRe+reSGXfD3d/eYxy9J+WW3uKxeBSu/+JW1hE2sUJoxaIwdVRv9eCY6ZLYWwlw
ghEbICVXlH1IGhGUxWhbgDtGpHxMWCk2aNmVlxQcNP3VhCMsX2aWJObzc8fpXSirPBSQB3Z+5lxd
8aIg122EDJODNwoMYtp96O2GbhesiTLTGz8GLSa0OlCqZ+0YpbBlxCiMhfdsOQFTQMunvYgDxPSc
rchMIBkbXrHKuB3Vb50Fe8QOMEfE4VxsE1baGMa+s4Izmwhofawn74/2/xMzixmpbDiaJZ6JltAm
95EqRW+kVWDYOM120kW6ZbF3oCSyInAYPXiyfNMJE3S6SqpT8tBbwYPtdteoRvGM9WeSU2tc2svD
Ysn+oKSFtBRF5qEuUQ8MD0niLvGBJi1swa3DC9MkO0zE3qZlF7tpvO7ehNaf1rbsW5IHLnGDBmVS
7BzWiprm+tMSxXqbjtFraHKsuQBAogHSrVDhc4J7c1Mj++3U+BzNkTpSiflYwKqv0vo9lMNnHu7D
3Kc/W7QfIUIXoZZuE6wosYISKqoWHSjc2a5tlv3i99AvRywm+Spfh4wj4wGyM5sff+Yh9Ot9CmbZ
EQEuTdpXD8vyFPiYpReP0gLIk/N2jDFTL2s/sM7XUXwK0x2IlRu2mpwwmoUE2U1/p9wQIShuArfK
RgJlP9h6gSgSTKfZjYgualgdjTccHMCiyFLkdpD8mGDJC9nnsFhqjOu12LcKrasHnZIC7fIzWDmE
w/7MSmruTnIfaU6iAnFzs7ABuTYaxCN+ukEY7yD84TsP/6ZGeA9ubeGTzp+9GENUKTihm9E7d57v
7hNjvw/RmB/JFNd4uGwc38eg1phAXKJETRHu4uFpaPOPBeGMAESInE6Gcu5XB6r4KrtmpkjQHAYs
/kQjhgLxcCDvki+7KiTI1TIupj1CzxLiiqSuL4Q9rAcFGjT9ZUFbo3qwGZx7sh3DsHxac3xb1Fc+
0NWEnTby8q/OyS7wxsgBIGxsVCkSspMdODTmmq1dwAWcMOnwHjgLRgHqMWaWhYJbrIucp8yIiFYl
QGDH6hQWGJUnXxWXAhka22K7odqVOIHzXSUvGFDJLREyU89NnXaHuWyP8+pKjbpw2pqi+u3z+c2a
XtoUe/eY8m/lFUJAUOL7dTooieT8plZfs5FdFedWsI3HkHcolxvg5YOEFtgp/ASkiA+khp+tnK/c
EPKbEzUu49jhRk4cL9yJ1UyvVq07gLWkI36iyvevfV03u8ia6IkA30uDG2NizVZr6i6zMO3e7cU/
Vawr6pWLyKqb5pKMZ7JluNggzoa8UTbhhF1daXBoY5p+kXDD1yRxSFdLvaNKsQR4vo0KvBkmYagp
23vo3uVd6iz01Wcz9Dw3s86yX96jCElgJvTuqibZuu2yYZrMwSNRb9UA0nbYMm25Rx4m5Hwgpru+
yPqDm6yW2sjWWytB9MBUPR6Ceniqeo9veoSjU96TNQyvpgtuw4qwqaXYFdM4npfQ+tdGBN/cGUkg
FAS0m9VE5soHn9fh/4W3wFiMcRCbVpNIicGsag/U5SmuRsEeDbe7L2VwhB6PWzZNu23ASyZqWcFA
a2x2JNpgpGj/vV0uxhbvhjBFsJLJBm7C2zIjpduR5sitDD4mXHAixgfV808XVgHnJ+pehzF/9NJF
fmBIeTFhnf0r2h3dnNSh5c8y4d0JAm+6JhHxuoB70BBBj2v97hayuwZHVXTbwT+KhpySX/dkbaJm
esCtZG/hcZr/Ro5Vf4jZ2VXjvYitdhsI9MVOio/QESUJLwwMjeRO7y6rnadz2b2oakBmZ5HctFl+
zaJq2CZT/FnkhJPQhqh67bKzU/LqV/JxcRaxAV72ZxmKeBfl+ci7k01oicsHH8d73WPrcnJFINjh
5/aHZ4nuwKXi3g9IVsJ20vuq27d0nu0bRoWp753rwnu9DcsBm08ht2Nqn4WLOlax6CLFhiEYqP82
lPt5Cp9z5TPoBTCBoPJyVU02xqpZcc7mknCqeW5PHABz1Z7H8uwk5TeozEdeoxhQ6SksLK7jPZZb
72+Daj5XjntsreJNkLs+Kzu+5Xz7gdEgcLNDxOnb3eP82y4QFrZsIQ8NcDE2boJrm+X/N1TjN9QF
fk2a3U8o5B+UjVO7gtzZvHmXxXHeKsPhHGRyT4E4K7eLXyW/Ec5eFCdL7XQ5n5owvQWJD89/zLxT
W8MfT+gLpEbuMGax2o94n+ivTHcGZRZkWgI6XG/aPiy2WYIA5TfedDbts00LzCbS+Fa8hK1ryHCD
RXKz+AXpeW/67FybfV9g8VsI3ycrdDgZy2tnDEpV/G53rPgtyYfmjN0xswL+ft53qebNS9TEQigB
M2+1Z8stFtb04Wkp62soQpo/02GjnIRBaf2Lp8rVD+qhdpDl3FeAZltC5IBboQ2XvGIukfl/BWaD
g13ZrOjDQwgz7pCCFYHMSVPgkmjMclpfgqQLKFZQO3cgypC5trurkteg0nDwMGDQvgU5voIYEE44
NSurei16ACs5Jm1S7L8iByvaKcLeMbS1xm7PysuYPZnbbDbqm0rH/wwwCzYM0ynah7bN+E2Os0h+
JoUq0XTLc4KrE1iuehBHAFXoaJX3GneUB6mpf8TPoXhzrr2PVfYQphUm1Tmh2XHaIRI+4KA8kT1t
TxpWo2ehX0OY/tEQGnBBBUQ9PovKO0QuJqYijEF4NEjCnf9VqOEtzOzHcBiaXdnHpzq7JN54loVo
EECjp3pCCLMRbxMbSJazF5UFBoC7lu+OnCQx9/glxkQiG4CNzFFq5TuXsMBHqhbJmT0JQH4jVi4E
fImWGnNtqABgps0+InfoEXbzOHAq9dZEmUte8dNbeYBRA4zaGTP/OsvpEsSFvzVO85EspymPhlPo
U1nJdHboivixy1AAOFkh7Y/U9w5xv21az+KflZ+Ccrqoh6BKL07qfhHODDd9Zn24WP8ctHM+SM2w
t9ocW/1rIVy+emybQnjx+1jFAeBdbMNFg8cmsoIArxuQc9d/m0SKJDyxfwndaDp543Cp16j7WIG8
PNjjwtoDDqd29Dklb75xApSkXr+6HstaBuCV66fBhINlzCPHvbWh4+/8wT7k9GvshgQdGu4Eiq15
16q5p/sVvUfDREDV/e2w8CO9pKQzg/hFZOIUW/57WLJLy8geBk2Bcclv3x2HpA3yXFrO035yiPAn
mXiuDMKLJeXfiQZWbtV3VsbHVyeXRabfc9d6G9fOMC9IzOkl62J7bQxw7SPsj34fl/HdVISkhCAk
bPnw79hfNPdxSplRzf4MsyfnbrCuYJsrhykLaCjXNXAFBdCC4BOb5QX6k4zRbCUm9ITjpa8IsGs8
5ZMmkW3hiRqH8TeHPXakPFqyc4d9rbqfYmKjYJcPwp0k9JqMqHBbpQ8FXqZRBieunufFIzPXeom7
czw4k1rjuRwPUxd2OyL6tK1WDpEFv7ryhg4Gt/7E5Xbv4o3eQktdNTw6YRCId95UP/hL9N27OAVM
AMC86yMSf/VtpN2AHFPP1jVJH7TBETmp91R2f6D135KUgzBOgkts+6BLm5JwiPr1sFByKlgnb9H9
QeeJgA6y/MO5x42AeDKvQZfo+PyGs+oRAQRjk2l6EpT5k0rbZ4o7YRkFOAcGrnQlDw3s3GqfVYJ8
VIXO3kt1mlkhmIicUGYuum//TNXAtY77FmLZihoB67mh8TLAcYNnqiDrewxW/nMcfBdyQbX1h/V/
HXd5m4Yo8v0ReBKzYKzOGdDqmoGSnMthms0v5MZREVOKYLE7C3QivzZ0Asf0vnZ0Zo5Lfx/qgZrg
kYDfKtK1SMNlzx5EuKuzULTvhPGJtaR0vo00Hpd8rQuwYpgSsJHBh8XBpgAwwlQttdq1EXzzCCez
LUPWkkQYNj77Ld1yKymk8zeZZcolK0XJZtcOcQ3za+IrhxTlt2zFDmJfdXDtiQw+gWkFXn+NuiYH
PLWobQMmFo/wTHOquP+SIU8PJL0+q3Kwd4LaPAZz+UkuoPPc95qIyD617Me8X+5cawAZRsH2mSFx
U9nUfS/Dv1w6xVFaqtwG8XSpq7w4Y+B7kN54M/HAh5Sse/peXqIQ+6+zvhjXbqtNXPykLQykzLA0
9uJnlLdy57H9x4XgwbUC65uHag2XPmjsRtFqZm2GEwAXoqf2cxbxh4lZp5NZewpj7ggdwII1rHdq
2/gZgvtrYthkD+5JS/MXtxyX6PCcAmstXfEeLeILf4em0ZfxvrGujgPQxvMwk5iMjRaO60/pWG9O
VRP9WOBJoNrZh6gIH7KWjtSkIdeIhfqNdQ7WeoODxFLpY+i5f0VlzHHX+sFhsHn83CHkB1zKm64x
wI78KLVi3zIJGEQN9ug26v/Muv/Netbepf4JSe+R0U9f+X/ZvWNwB9DAFr4hOy6IpMCGzr5rcFLD
qsn3FspUkRCIq/HhL2t/Mi9aVsXr0YrxndgkX9DcFw9ehTulr3mE48F9cXP3HNTQOBHK4W8akrwi
mNlM4FCewMrGI8oFxm5rAx7RbAh8PaTAJEifDl+4YO4nRhWR9QHI3WqbKWfcuv4U71mhDXiyeIIH
ttlOO5Pvs1/cdLlWSt5bHhtjN8j7rVr5Fav7VpTZNRjbl2VczX9hQzNlxW+9bsQhIHSKYH7o9Lss
TyUJ3028cL/tJ/eBxQyO15ivf/EV++47a9u3qonWDfPZBgtQiglbqjY0fKfBP8dFBuSjI7TGFy9O
5/TeT7G1JSo6DY7mm5kK92DHz4We9TauEb1z4uBb5X1KNf7jqgLFU9GNszKYqExKFWxwPGWAIfRZ
L+NXpBvUBjPfdQXtDiU3w9FC/5tNXu5gKEPfQlIdguS3jqIfr4j5PqN/zdEesMKva/g/LWe0r0rv
nIkCRcMOFlogrgk3+FXhcIEA9K8YZEKnSvhug37G7HFyiAVPff2eTdjFgITCTk7KT5bNNVNzGcDF
AS4egGNd5NnjIIS50Wm8CBheNN6BJf3ArEbaQwwxe6z0vc7nb8H34xBnU8rp515svjGJdea78mFT
iOnlk9lWMqPSp/Z2gB/uWsz4nA9nsmOP7XpH0i5G15RFnZVMNS2az35s/ZaoLjzmimSUDrdaQ9d1
1PK3YHoEa8RDTomN31EOBk2Il5yd7OsLO2a6C3xKKsrwwyXGjZMxvbQLvV1h41bHaY5uC7rjxrY0
nDUu7WAfh5NDnvi2Ak2xZKCOpTnXkWWxAI845TlosTEadhI9PwkmgeyrzJW66ND9DCFT7Dy3HHaW
uzoTw77fzTGUOTmdvTErt7RKZfXfxnZRnklmo4Y+avYJT27Guwpnxao0n+zwJwjlvbB9B74BEZ8w
KdeRmMyU3TzMg4AQJWDeksO/o72NsG4eFZekF2fsSQumOfPIN31GhizuZqhHKYJHCp5s/do2+xQb
2QZ7E5sP8jsScsBe1ZrndfLRS3IOXNONHAELS6KFZ2TiSNjTmhBv59TFsTpwNHahfRGGq7ZP11vh
T68jPXpoAtjE2T/9ISV6qqKCvFY21QclHBbMas0d9vmng9ww0mZ5Ia+6k2nyFUB5hpXRvHQdQKt4
sRGp8vpP2bjkMQaFbMyUmLS0jpjJfokNY4K/XIqMu8/YgMtwUqxD6Wu0gJwdRGN2cTeUm2Fmzm4F
qkRtfaVqselCa9XezLxvLKTJwYUf3+U9X1oV3LrlXygUz52X0Q012xrgK/+eFxPJaCd5GMjdBltj
zDdIkSMLzBvnK8K+SHYqb38yXpJehjN4sqJ9mVPZESpI9hgIziLHfudpChIq9+iQzd+Cd3+sLJb1
jjSbHJ/wpqyW90HxdGTjDG+1GshmkvLqJYtYESriROF00jkjjOMGZkuv3J3SeCsj7P3UEN9cMYbP
o4lYULkZViHStgK4Aed3cj9X5kXnjAJl5dTkZLPkqWg+Gnt8rSgofAiGiOSXUMuFo6Gb+NMDqaJu
oHhGp8CfRHQRG3N1V3VOfxKklCRK94GoZsY6AXr2aNoTETa+b7xj2OPCwQ3z7CaW1S9NrxiGLXOk
8gdKYo9N2KIxBS03/BuHFbxJaS4dIV5exUx1VTWx8UU/squScJw/ZI8zgiOw1GA3MdYy9iSXtMuu
xeAS5un0TsuspZVjtRgZ7AX+ei2ZpWmxRNHaSzSWoZRdeeNwlUYPKQ65MD0gdUqKrYGamAXQGOIF
EkUIiFSNfGQEX/WOEGUKM1Q7L+XiwlMN6RELs2cxPdp9o1l1U0JCPFtmhPiwA0vOPX3GedSzToVg
WaxGn5cYvEzid38sOd18Nz1SBXXOk9nj9iRJJJXsbfKJLr+WImxYYJvF7nPOx8a6VIO5dxogqTO5
hyagOWwco12o/YO98CBRnhji5sbkExCwJZJmBWl7iRTeWH9pzuVlKdrl0ZPPvh5R7CKgTFFp3l0v
ezQT5QdVMJ6LiP5fJLplgx7abVKVv1UJa97QCu6wm+p9UgRs1KOlA46Y7mmJAwjMFWdW80urnCNH
3w9ht/+KCOdQt0DZ9xxmurq8p4Vdbl0PYaWRFyJy4BJhRpNIKW+g0Y5+GqsLbri70Pc7aBb6mNE9
zYmYYJApcYQB+v3J9R7c0o9wspqBC2U00t3BmV/7sP5wneghb6jSAHt4nzv1u4zUCwHzWzFl9H1J
LoDrK096+O+KsLsmsfdPe5Y6DJWhi8feegS4tpjnaDvH6LAHLVFteWmTzd0rNMdRuVxEKjs+dHl4
WS+TZ9IF145SBGy/GNk7FZ0lCB2LvD/uonIXFLm5K2V/RSI+d8j/u8ZjyCbiIDZ95R/p/p72UURI
Z1AMmSq7Ln8NFrQT+j6nOyN9jSZhBJaPanBxu5CZ6CJEI5z4kPrhFk3FSQKEOK3lJlsXFXDSGVmo
oKeSoh9Jk3rTnZ05/TO3/oZRs3wNevoZNdEqu1XzDdoWDePj+IJXEbeVh6eAx58AcWX/iWziTi0H
K45edgAtc0atBAOrA7xq6P3PiX8968XhAe8EpuHgOvr8c8PFIskZiMdSNHcVuubGdOIfPR2UHcRc
sdsCUm/CG2GIb321WkbTzxa1jk1ciLl8zVCWJMc4laZdOyMAZC4GcgBbsNJyXJqx4XcPoDhq7QtB
8//yfn6pwNaabv5vMOEN+/F1LmkY5D8bP5CIQmn4mGTqPukZZSplXwdkeEbB1QEjZhKu4yOwCNpX
1hK5ng1bSN4K7woYrxkS6KYHQRgFwx9Os8s489ha4ifnBifC9qVH9cF6op6HtDs2ipm4Tpudg708
lll/1cbF0OAW9dknCcNayj1WqCODcu1zyp2sia4aaZEh34GzzfVmNFx4BpKNuyXyn6b8GC/5d8Fd
mw0D9j63/aPiayPfvGrKdsGErB4YCC6ikfYmHTljaqtD7VjUf6mYHqr2gVXgTzhY926u/jU+cE81
QSlLaSKmhJ0LKs9+BgNo31rTPi9pWzOZvviweTc9lBMuP91naJpvyw7/9QsZgKq0uKOLiSR6/C6X
FLoOjnJ0JbF1BZpEa//Ydk55wOzi4aZu8+w30WdU9L91/tNGzSuz8Gep/a/AbR5qXmGRuwJomODM
EN4sr8u2ozu/j3b1b9FXK5aboXI+YgJs9LA+peTaVh3lbQE+u6m5au1SipjypLoIjplt6y7Ftlro
HLNKPcDhXnaDnbwm7PSzVFyQQz9KPGVYXgpCRfn8XELs6alKrgyfs0WflF98SWfVaNpng8UVo2X4
YsX2Ty9GboiL9dqFmqvOjIUn7/O/TZnRNOAekpqsUSzKY9R09mPqpdbt/+VMcfhVRXP/VjgYeFsH
EIRLZoFrCDvHlOGl6pKrJfr7smXfhm5jkF+xCT4Wk/5Hvo43BkYIMmvNnSnLp56e0z0mA1YLDp14
UuDDdJ2v3Oj55jT/rA6ul7dw6aXYiTxcI0/L4A+40rEFekuCNTjs/p/MAEgUDX8MyMa7zgsxc7br
2DGwUsMdWERnWin4qsC9Mab9TjRF5U0aBdR6xNhjeMceyfV/Rcr5ThIH+L0pUHb9hPoams/9VEGY
qBLag1pSrHP9NU2Ld3OrgZ5VT+XETQN5MiNVODTipbfJGe5aiesTAhsuc0VKMQ1+ii7G+mQacdVg
yhsVMPGIhsBi1Fk7IBLs0aj5u/P9QJ0jqrbZnGTvPtPGbLLlT1Y6DNCuuPl7kzbqIqbwOEVUOScT
+ey5jb8oGuhapg2Xizh0H856air0wXFhPZY19wOnwc9euVwwKnUf+dYTMjJnRZ3e4UykMmTAOlTE
1jcEJ3bO7PQE8Q7bxz0zkB7+KOfvhNIk352nA4brFyuvzmZcuKNNwEaMdF9Dzz7z0nMOM+fOcXTg
s9d7jTntGg3OXcflvc+jjzhGlNR5f9f7Cu8TurZkl731C0kfl5Mznnpvq18f3Cvbo3q8RNET7Dv3
6a00UXfSbnmzyUrB2CnOsBeLo40XbpGaGpEh+LW1Mxw0DnOUXwihaPvJ1qTpX5PIz7DlK6bb+Qe4
RLpJsWbA3lCELlDfOxg4+C/zSOFgm8vHnqNP5N6XF/HM5dl91UV/CS6+LHx7vKF8y4VGr09eTWU2
oqebJqPoC9XyiNvOXllo9ZHk1ajMhQ6OtPuYYty6XZS+V9QfEAMlVJqSB2AQgSKI81/CP7FKme6l
1Pex8AhcFOuN0Maup1z2V/7cMj9X7DB5YhMV3k2pjugKbVlFjYIpLtK8qi2Sa+qZZBS/UA0sJmya
e/in0QbDTVXSx9QvJXpipvf1imN9gUxdHqbcbw4Ol/szZOmx2RqApI/gCniZLu2TMyKBW8DJBlr3
9rK01BF5jVngFxDqPU7RN3TkZ0c9FWlXneIx3nR4Jlg4wP6ojP9B02bRhF+lbRPWZVLnt/Vj6mLe
9gQQtrOTEEbICGwsGrytwJ1TApHZLrYq93J5wuTDurlG2nPGq1PeVwPNQ7ndnFjsfskJp0ONs3FL
bpkdqycIoeXsNaTG9Z+RX9xlb2MywGyV6iYjnxwfEnJInj5ZcJYsjnLgYPfvbm34ha1nREmBcN9h
c3XEMv1MgISWwnzip27vs8ixEHDsap8wSITNeNezJztqv+WjBOwO4ubDShL1Hpf1dmX08bv0h0MH
S/RCRdKJvgN5KicXd1sMmjKVb7NjMxZ5zqebsuZr5s5nvUK9QNg3p/TSBf74VVkFqNacVrLANO+9
vXxAzbQ2oghuWqawWrLm1x/bb6Kf2WGK7DdsFYTV+pPN+20jvGnbZdYJYF3GwGnDEeZ303WHutb/
LYM5w0S0MDzCOtTG5wtBFMOU6V2IN5EauPF/3J3JbiRZlp5fJRBrWbSZXbs2CJ0FNH0e6c6Z3BhI
BsPmebYX0EIQoEeQoJXWvRCgWlZD75Fvos8iMypjKFUpgV4UCihUZiSD7hzc77nnnP///mMkT27L
Q/oRi1fZIo8oCutejAiS8ozZvMtK/UITxaFORiIaPI3h3uSsgfOCTohNoxnXe8fXjhkJn7TIQHnK
jugsxZeXHnFkcYyiLja0ct1q4A5EwSldAqOfIaNjIegZByZD8GdKBmpt8pE1yc7iutVZ7BZJNnLQ
iIt26dvtk1H2OvzUFMydQchdSIeB7TO7TPr6qWcCvEW2jeRHau5FiZZkBR7GP6k5wyvo5PiYBvtJ
QR6XEWS86/C0EbnH9BrA09LVRAUHGK+BL1hhxOxHjNyp5zFNH765/CapnqZEq00hA0Ytg7JDLQrL
qVl1XXqrsSW/UAGTzgKlfNSb4aCP4qTo3T4oqnnoDxs9NJ5sfqyrVIme0b4GByONdqIWBM4lyOdy
2KNlAhMFC9EaQ8BRUTdu2BwN7uq6YPDaCFwaSSSeE+WZLKC1oEXQAHkJod12Km/IMZxU/rzCPefa
o3Nk1EMFcIoO1RGLSgMl1jFEu2ga94jEmW9r3rFBNw6/lAW1yHNUlZIJThdjCekmDo9RPisie0Nb
5BI8XN3nQB4urB4VkM/PijX2ZYNwQjOi4ZC2pIy2QkcXzaQY2FC98lz9mpj0s2qQFVOdVA+qnoOX
yWJCyqlVLFKg2lK8yFjlikKEJCp0lBNYglfMXZ5Kxz7JGPNr0o+futG89gRCVwXUJO0Bg3+ScpEw
ggdAKNlDq8AfnZvjAQa8AqUJewAmPQYVfbF0mmznhaZA7EHl8X0Jjy9TcK5pij/H8U0HSvTLbJyo
omxxMU77YBeMl0hlgk1v/RCXJlYfNX/UGC6g3xiTRW+Sgq4a5yFoqo1hK5fjqF5bsvjUa+Yh0FiZ
2qZqLTO7Jd079O7aYQjPwVjsGlCQdWyFk/mhXTZh6+1MUMuzrmL0aCMNvQwGhGKBa7EtC4kMNsJq
ooD0y1Lo+r0lphTpbtBAaNNpVB2SDywFyCXIJNX6/KjZSGwhWvC2DJSoWkD5t5n3AWsmPUovgV6G
t9x//bmFnHMeONV90msWjm0uSykOzkWdm0tsd8CWRpeda3rL0erv85CbY+I1+pZ2h7skBCXXIOfU
svbaqF2mSvuQVOPGSwj0msYOcYCuy4Kixs0WwM5m0LMHxgPcVltnPgAxWLei0Q8eyUGs8ctrIcVR
CUFNkUH6ZjKbgbcJXRSnGG+I9MS7OlyUkpB7Cx8OnJZD3BGa4bE46d3HPCJfxRiqlyjqbvKQy/1g
O58Kq70UHWVDKPbrkGrp4ehYjXOfk3ai6wTRi4rVf2CvSEHKVt04gBp3gXgMen7QiHGnyHvJJii9
5tTl6kFogztnL8RJ6jMQ6qv8yEjW3PuMOGZ1Y7Q7tgp3EHEUBiIuWlWzedDbbA2AO7oUcRkcm5D5
dqIoD3GspWuuKOsQbOaOQS0yNZ+8vmjMwzOitlNo6+2JXV97Ns3GmAejBZinSJfE6Oh7gt8xunWf
8txuV0Zh4+2nXGIJfQ51Uz0osddxtdKQ5uvDCVMnMy8HAzeTr4vQNp64fjjs2LSSllPnnpmF1rkr
8WkMEDvbSlrLcgqpydTXomYl65RcE9Bkdiuf1EesRSciRxjzhExRalsMl65qx9sch2A0+tkeF9PZ
Qdiy51LEvNZS5WMzqi8U+wRGaLsv9Hpu2rZ1Jb3ExjKcFAT6iHLaIvvwu4KTGeXGbVgjZB66CkUC
7/REgUZTWM1Dk+nRbSu4AiV68Eh0DKPPKEoPJCOG4CsBsup+AQEdxsJJxSZTFAqihD4CO+b7xckf
0Yw4iR4eSAlotyOvzDb0T7mw5LENxviU6+7I2KVfu34Wn+rpP7WBHiwhHXszc9QocgameO5zODGm
P1qxUu8Vv6r3kvUiZ+P0Z8HVLzX1eDP2RrRDMxzR+YYEP4SmjoGopgcY3I1P8MouS1JzZ+sZGIHP
//r5//TchhlO5l6Xd8Zecwd3OwUd9V3MIlUwixOG0GD/xAq96/SvJkoT3MnMQ0lwN2GCOT7KL9wp
CtsUI2Y/1cRwKYK7zrH1zeA36cqvR8DHHOVMKNzmUiXkHUtrzFKB3JHLMr306t68jFRLXlrt8ARi
T2yy6NrHomgr8cfKzPs3xuUXuuOnd8JFg8xuFHa2Hlx2tNBbQmZG7LH4EHLMwmdTSc50ti9uDjtU
jrq+rIKYF4vbXwJFfwY46jyU/CSUBh8uhiHmi9ajP94AiamPfqM/4vsRa7Uq1/Aws+3ntHPqpHt0
ZME7E0QFi+7Z+3f/9Id/fu3/o/c2EWWg2qbv0iY5ZQHC7J/e2+/f5b/8183Hn95btq0zwaCFcBwJ
E1NVDT7++nwVkBz/03vtPxicDIOvNO0aDqk1yyy/XI+mzhy3DoBEeOLKlUHOuzwM93/9iaX6wzMb
Gs8PgVU3NM1Rp6/sq2e2vYH9jMY1QORIiSzkTVS+cWvJds5cx0ULyszWiYS7qwYOw1EP13aICtRF
KBiJFobFhI6NurMyZt2zmaKWN1E0JexNWHgczNh/0AyyvcgBv41hu13QbGS3cRJ4R65KoLugRYWw
P4G25atO5JeAQ6FmkH6x6Ka2seJVt3IJ/SUz3MzuqZarzA+ya3yV5lXtmGtZLnm/0WkDvmRyTEZP
7armNmWZsXSriCYjRElvwy47/PUfnaZ//6MTqo5MyFCFYxPNbjjf/ui0sPa7UM3ydYDfahbbDRZn
cHCT+HeRjWW9ruhy2UOQaChlp+69kqhjXlca8QtV9jdeQdr0bN+8hIRFN2JyntGTwHo2v/1qApV2
JmvIA4Y2wzZXZ4vHSaWvvUi5CylR3LdIm1TGaAQrH4OdCvkRc0lBkAD5EE3NMa06uvOM0MaisQ5w
eGndcrW61erG/eWr/advXvDV5zfAa5YPMOn9+rs//mH1lh2fkQz/8/RZf/5b337OH+bX/3Lz7lNW
vjtcL2++/5vffCIP/+vTz5/r52/+sEjREAzn5q0crt6qJq6/vDOnv/n/+8F3b58f5WbI3356//wx
wR81rZ8D9I/vf/3YL+9l09ClrpuGZcnprSWtr15W0xP++pen7/2n90fv5z/+l9d3+5//9/96fffl
Af/m4709VzXngio/SI0VFQ2QY+mm5FfevX35iG7g0HH4QtSpSX3/LoUY6//0Xlc/6JolNMfgwNEl
2pv376qsmT6kOR8cXdV02N+mqqr84/2XH9SvR9gvv8K/fKQZKo/0zSuSH4TJosCwHId3iKPJb1+R
ou88lTefgzikBBWioL4rt01AhICdlvhimGlyaSAN8aPXXvXuq59EKHyM9VjrK5Kwab2mJfoYLcCd
zdGlXiL9g3Sh8J6H/B8y9qQR2AzqraW/eGIzkkrFNW8ZZa+qYFINNdNkQ1VaoIjQIlq0VkmY4vSK
Wb4VF75Foq7tbW0YKQis6zBl8sCq1iTcIDqahb32x72RXA7pS9yXS8JD6LlU/Hjoi9Nk5frVFlnz
AiImelvIHZ4zcyJzVrqvVlEt7cy80yv4IgEbOd9YpUG9b8BExuht3SR44+ZGU0Q0gClMbPfbRHnN
XZyB/tplXEIkZHehVNbC8CU/BvNausq1m6QPxLFPOuj5QCk3MxAbRovTVcBhjF4qRb4GuKzj/Mqt
Xe7izxznIK7rrd3huWDi6QkgZowuYsaGyHtY+aGi7NjBBGebi7ve9ps4vSIUZRkFytIFZVtG+Okq
7dJzHCRSBUGacCERIdA7zh2nQFdbzH1sAJ4KtdpaqIp7Qd4i0uGPUsNlZugYYYoL7rdMcp2VkUdz
0wwXalauBt3aGtlbwDeDxbcx1bXqKvvePVdZOcutK9P7lIl2H9s5omgA5IybcyYAksxilVzolu2E
lzAPk0jobVg8xafWstZ+3LAddujHkTZ5wyKdwmy6bZ/QSU3Om4k4YPMaRAaAarAHtmW8oj5G/jTM
zaR5LMG96V21DmN9r9D9a+hcjZBvTIiZmtxZeN/i+EqGwV0JIUezb9sKiQcqG6bKb2ZuAdkmwAzk
vWnInZfybIoMMD3JsyPugxT+oUFupZPeWmUIdLi8oJVC+HiVT/lUan/V02ZWIgFd+otRszqNAcQK
YL+edzbqKL4QCsYSJ9hUcX+FnP0E6+RaZeN80WGAXqQDMOIM726myxWkmF08iAetcO9DKQ4NmnBD
iw5YLU5jqO/0uFpoZrEkVoSvh5dEjxl/wtAaGbdzAuYl4+3mKRD6QmTaOo7HldWNa8SbcCmAaujO
VpoI2GPjrmFM0aTazuIXyXRdvw8mrE5XzVnYzYHtYPFSm1ctbE58YJmPSPbzfrwzMIXPYmkvswDL
T5kb6DBBmuoZqbC+eUto+ElxkxszV8+yi87Mkx8M7a2Z0DZkCq+6qTDBptyFU16RzhDKljmRkg5K
/7Cql65aNTiaGEHKVMIQdIY3CueGu0c/ER9XJaNzxgeIKXO4JZgwpzXcVZBZDw49HsGgLDP618iu
dgGqtmbyaiTLHOsJIl4Avz2iMLesd6grUPCzMQ1KVg/Q4Wn5YMS2FR4UA0Xw2q24+6BNSAY2qKp3
F9TdWxE6C0V49wbXAZXlb53lJ6NqOb2S26RNXhQ031JJLqMepLsrlbmhoeD2SJRCDLQdKe1QftjO
aXr4oovJv2uxP8WoZnvdNFIDCdABZOkhlUqUTaUmmRIEQLDyDIcfO1yjPOaTd7SsbkPfWVtlEM2G
0HorSTcikobkKt1bu4iahq7mLjfJ+VnaGXKlEnaiuW+FavMNQxus5DU5WQvwlZzN6PrqbpOHjMEj
bd8HoBqAjKhS2ckiOlgM4W3EVmpRnBwCHtEkXQUxdhnYKrlazOPEZ9fnrryaGXXb7WQ6xRJB483a
dWfJrYFP5nO1/V0XkZss4X/fXy6+uZTcB1GQv30Mnr//W3+vVxDHcnSpqoJLPXtkKu+fu5EfriC7
n//4r++u/89/T7+/dvzwGF+uHcYHA2zWdMNRpWrZ1P0v1w7xwbYkqnKuGLrNv/z52sHdgreW4dhS
qnh+uTJ/fe1gWSh027RoIE1DNX/PtUNoP147HFpLWwrdMkzTcLh/fd3ReE0GOdKS6qYZg26R51mG
g0J9HNnmIRgJELB22uvU2VVNc0OMRkI1teUT6HYYw2ptnEu7S5BEOpvBRYWskqOKLsCQ6YuVJzeF
aW2HXuGvtgFqVx/qScXCWpRM2iob3m9DihCm7gzp73hsVdmjK+HdY+a4ehz70KZEuWmclXQ8OuSB
zhGLgRyoezFAcfeBXK2AzUHlLOxHPxXrykBwkthEHSCXQ2xks3/PcN5T2BGoW4SnHisCmWa2Z8A+
yweY820Au8sWNUbOwcK043zEh04YbR1/MoHfIC8t9oYBvoPc3RpnGdbkXPTkaBggF1goa23/AuW5
22E6nxhiIbUvcq5DARGBwS3ZhQ3Gu6jSWCQ6kb3WOvgXwnZfgyTT5kQpjwtWPyhcY8dlOTqu094+
JcKEjZ0RYJ402pNiAiXp8mrjVbyz6/JTHCVYB1ndLCLGZUtEH28QSNZIzO9CJW8Wjj8AodOYBpu9
85ZmYQeL33kiQJb4NPwxnG1uj74CRa45wCFB4MYpWEFuKI09WPOPoyvKZYlCbZ6qsTIPbT/h+0AV
amYMdIFWO3j9iG3xSy5DMbLHxrUzAHUDnFLcEGFJ6KHCXLOKmi18SUaBQ/xppB/PBlItmQcCfFfa
cI6ODXJsECNfTMsKt9ZVpGIl7iF6O0OjXqZF8qx1kTsfIgW7K9NcQJglFy+LMsgp/RITPAVjlbUK
8xSGLNwkzppuNhuY4tmFY+OLsYJqR063uEAauBvscNUH7U1fIojj7nBrwQ25ICx0rXkmkc22DoQh
ru1jzi17JPXlEMRsnYoCt63lVeG1SbQ1c5LxOtB53aQSqKGMDeAChYd2FnyTb35KCHpOhIAsorE5
S+UZASDHfdG+uihFALr3n0xWTQE7cZTy7hXjIu+m8odxQSifj4wD7imrYpESK1a5sAaxppJolLsp
+jIwfrmd38C61qli6TkCHnZMZZteSD/aAu9l2FNbz2UTlfPSIezBYEa3DFEBza1QWyc+XsIQBBFr
VuMs5ORvrvN9FfsvVcbe3DaKA/KYay13LotohA8hNHGRG8Ec153YiaJ88mEGcx0EWK43OIH8/AHb
YbLvKqAGrN/6BS9BpMU1XD50rESMp+Ej0VkLDTlWY+NYMfHw6SqRgKFdrbkwAgLPHlXVz64ioQJI
lxbsbCiNi8ZMhsUwsCMyBj6nN3GIq12lT2FTxKZlymEstJeoDz96Rk70tlPm89i0IA7Y+nGyfhdt
Ul1U2qRT6Eo2Uo00lTOkYm1FEoq6q5FfrGpikGZjgXHa8+j0q7a5qyISXP1xMiiOYPnYLVcL+Hy3
sLAIGIcWMxh9ewwkGoBEVYKFjFTktj5vrEJmvONNJum1YTRnBnfIiLGDkmzfR2yN/G4DvvSyKCuN
jAyC01UFbWje6tE8dxmU1SM3Tn7dc4xNxKZrzSlyJFuQHEv3v1ct/3ut0kyPqNOmLWjUaSH+WpUG
H/PzH/9T8279p399/r5Q//AwXwq1/GCZFGJVWrYJvYHZ3pdCzeTAFkgGTUvqDh3/14XakdZU+tVp
jCSngeBv8wE+x1KZmFvSFJT/31OodWfq/7+eWJnGt1/4d/OBtBpTdcjhQ9MoLRT9WQjjqg2Y4gpy
AHBvODYhKvjHkQjOyoLGXkeqVZa3Khbf0kLWFZPaguzxIqrRZkDoxnzSbQe/fsxCm3slEMNqhT6a
of91bosTZswVjuRZ6OAXzRTtbOjKVhFzeFqnpCMyy494zpNl+8ta9w6ZXl858NiHNrxmadQPCkVZ
23qEb6J9Ae4gFmZ8FzlXZtkeEtFdCP2q0yVrUZoKedZrgcSvuG3IaHLbI40ChAWG7XGy8gNzrU/T
7ZCVSr1XddhyNpkPS6gBt5r07xSreImN8uyCH2YTle5yZ7KxyX3YWHij6Strt7nSsFaSlPNYC39h
5t0qUppnLHH5JPr95OPUu5CddxfZFqryZMbW+oEJKiKYYNkb1T5MRxqAt65JXmTPlb+iGdBN7Xrw
xudM6psojVexyBYBW1qn6Q6tlj+PADRSGBRV8ogjBnvL09D1N3qn3Q52vERVeG4BQxWjPqEQjGqm
wJtLK7E3MnVbE5AlorsSyEs6ahslG07TgZiE+nWfHBo211mcz2WQrByzYGl8nxf2QnS3o90h+Cjm
QXIlAuUAdmxGo1hgNG3PtXoVwB1EGLIwO5s5LOJO4TEFqvhlYCpV+lkWNqQGvwpzOQC2ZeH6kLPa
trz+WOTNtpHa3agGxBTE86imbxsIHfDwItKPjAacLmM2MTw0RhSevXE9ew585QIRqhKEyGCJ82nc
eY9Kv4J7petvfmkvyAZB3spwSoGuSMhqgIshQ0uCcHuGjJC2kXJreAuyqWZmdlAcsJtsKkT3aA4a
I62DzKGG1GvCBtZYoUWbYghLHlUtu0Rgt6+L4aozAFQY6XWOFjtR3I3RJUdMfjPpyIOnkCkW1Fce
pCkza8G4qABPWnPF+gnfm4VeC6OvZ62sOj6HCB9jJKVEmib6tgmbxcgytiQBYGYo9rYe8a2ICnGV
nxDy3a1L7VppzL0VnnBrnTJFwDjK92lkEnZxSGXz5OUf8fWtkFUdu/opJYSlBNcciJoxEgM3S0fs
tk31bdnDAUaHrLZLZe4e4C0jHv/ETtGZuYp2laGUSC33pi6qhUU0T1bPi8a9RyTHBdtdtvFTawV3
uT8FZeoLOve50eykjqfBCFYDhu62Ij35jPJGF+nSBVoaGsNa9CFSnazcQab4R689UnN0rv6keE+t
l8Mp///uEO9Aq35Xc3789K9rjm0zJpV0go6kqP1Wc0whHD5A4flmJq3Z1CmcpFQdSdtG3fmt5tgf
TEFBmjYtXKBUKX9PzdFsvq9vaw5fk9DoRGk1JXmL3zWHLUttm8RkufGpAheB5OQ1RxqcqOgJ7jau
zBwXcV7TwnXDGwGrEyUxZm/Ihb/S1VPbxq+DIPSF5msGm+WxNEgWafuG3NpYBbxsgAS2gg4BqHJM
Un3pV29Ki4AdCDW52EdrMmUDYlADlqitH51thVgYr14jHjvgNAehM+yLXDJOJsjCSBf0MrPUzJf2
xGvUq02YHtqO9sVckd2xdzloJylH2T/pzKwhKEvtVY/QTeMFiPC5Jr7YMLUG+AqgrQMAVxJE29WP
WJ+Xoa1RPd25D3Ks68tdpJkzRGsPoYrQeEowzbxuP0HVgjyHcs1WnCGwPgWZqOJicAUhRzXjSG+J
UWrWKsXbpJpTWedVyK4xIqHc5spZyPuC92UlAL2gO1ZAmyUFuW32k4SQxEIUIzP4HzkxSf2DWYAT
RkG7xhRx2fViG8B6DrX8gEcORh/yG3R9k6w3ajGIFL4NOaNf1o36YDP1iomOcrGfGngTy/hGug+1
c18ObyPtgqlNaQIF6eHOyeZISkV5GPz21sUcanMq08g7lQMruZrref7ANfc6soaLXnX3fgWxTGAE
sfr2LQJf13fRKR0xjNdhtcVKvoWDAv6VqT81Y0DIlgbZYzFI9hQJiQHAjqJc2RAttfDQ15FVNsOH
Nctx92amPKqNNSsdlDjqx4AIuRbEsI+LaHS4lLvEVRNEMKL/HmDroAmnrQRlqA97NfZZvPqwpoyB
NOrMX+c2aDo7RKxFmF3X5Wt3qKGXohBP5VIfEM1/PgT+HWZnf4/3bbIjOWOkZjk4FyAr6tbfuG//
/Mf//O7hT//j3ef52L98ewL+xQf7cgKabOU0lUmXpv66YPtyApofdA4d6TCTMzgGmVz9upXjBNQ4
E9mh8WmGyRDttxPQ+jCd0qZjCCEd5CG/5wCcdAS/Xbl/+aoF/QCeMhW2w3Q6fz0bC0C0dpVWm5ux
goduvqDs+aownH55qK+FDN9N3355BkPSOWgokuk9puncV3oCw21UAZTG3NS1AzJXjedNTZIzN+42
E2BD8BaS8uJmw8Ogkg7p3vz152e/+Re+xe9+y19/AUUNmcscW4mb03kRrXrnm1gdqja6N5PgCo7h
EakV51HKzMyGax6FIZtytTsMVryiCWa2HZLoOiKEqMdnHabJOVHtc4Plg4yltRtAmBuBjSiFOfPM
RykDBj/MMip15ROH06qRf12TWeTzoH27laN9iwBKLsPINwgVfjWd9jrEH6vHzKtad6MJse3S+yo8
5EP3EoTNR/Z5mzC3D2rZPaSTJTMILXzt7lY1lL1m6GT0hdPcB4G9r4CShlNsJ+uchsLiXtxVDN1k
8uAl5SM+i7tGibbJ2N21Mr4PDBaojZ+uzZoBJnjNiOlbx7P59Tqqk+VQARW0vNtG+4RpZx55NvWl
kAuV2BehcDCNmkHcbc94eNYYNmIfmi5JtBg48+qFvgTAjqHcMmTd5Xp8iD2wWmDmUss6efH9RHaN
mSNA2Hhu6mCHr5KsTmD5MsyOpWcx3ETG5XEJ7i06GUjsw0jUXlwsrc+I4yK7NxhdxpgbVNVFwDZB
Ju5TxpoIrq/dOsB8p7wNChAT058TpNReOKX1pDITLTXCfhV/Z1Uh8WzRJeNf8utK1LrKZgiNhW7s
PU/ZKBHXdYldBz1HTh5awS+7GAamj86Nn6QzRGrzFrxe2aN7UuLVwBJnCId9AtcjiglBBFsqXHWl
qm868kpoijdO5Z+lCVQti6DS4vRgp0Yp7XFnmz57mDgM8ecU6lp4iBg7rhZtK70FDYI6H1v9xjeU
kyTrfNFA59OUfoEy84jVoUYebikVtMFhhrt2YdNCOBjsM5NhWG2u2BFCBGF7GRjXKkFKNelOF4RY
OxjRJy1nDGOy0ENoyXVuzFVtiicV7k0LSV561WvGaof3x0TkRBk4C3LBqhiQoxICaai9VWY1L11h
Lo0GompxXRC+rQCeJbnm2NlTQ5GBkI/ODuu/iOggOBUOkVIN8So4nTsb71iupgdXt8EbBQyT/pEr
E8MZyfiHc1HXmMeonPJfHXo/7GsQjrz7t//6p//2/b7mx8f4UpDkB5N9jAX8haJnCO7EXwqS/IB6
idKiSd0WfA1fFyTLEZQJh8u6Y3Nx/60g2R/kJBb7fMKzYEJc8jtkIjz/Nwf2j9/8dKB/VTFs18kB
LUXGxmzVhx4Tw4XjsgMeyqVe3unCMDFYFovehBGTxYeij58Hq4Fx4S9cE+AFe9mmI9YUdDfC/jOP
dJClvyQCeWYXzrnibK4j5vx++UR6HTdY19kzha2ZvmCRV7XuaLQgV7JgQp4QHhZigIwcEo2ClChr
AVu9k/5at/ylnqpLCX0vIZv7wnQHsMfEIHceB5mzrupmqwGWbsmWJrZ31Y/+cvBBqyb3SuKuE9JB
5qJu541vMXpRFgbSE7DrQD0agPdAIXHPjztfvpodsBxlX423IfkUjJzIamIby1TIqdQFAQGnacIr
UMGFZ9x5a8oosE4NTSQ8lJHheKuCfOAMbfKj5O2l1NnJq7SNjRYmBo6huvGz4TQvhlUwaXEBV0Cf
KO582AhkwCzMOliQSEek27OOnylxlgTHema0awgUVKLbOkFDog0TJ47SEN65hnbM1eil7m8HcRln
KSG6ZBrFa9MqL0qgwgQXXhjmq1td9vkmGeLNBDYeStBLLmg7wl6WfAdsrXFU2hoiDEC0sPAaxTin
ZncBMpIGxBTrAklLr5KcabHBS6X5EYb4VZSyuE7oIVgplQPKADU+tLHYg1uYpxI8oxnr935c3o+K
OfeRqLNRKK+Ia1uO1cQ+DJQbS61juhQPWYO1p1u5DRxJaRwWWVQeWO/t8iHfRWUIEyjaVI7LTRuf
HokAjVpsCpuAh0E7sfe/8AN2XxoZ1RqLFcMZzkMxzG2tWalD08yMHKexiSRbhxFnAQ52zG3BxaOE
80lwTmz159DuFgoR9eBxGfonmHoANC7GtMFhVkfbUEU0QTDvTOMi7yl4x8DKSRMtRtjSvzmLtAFn
Ao37RiejpsmKgzdQvjy7usnGfuuxtghg39WIUyzoRHZaHzzXnBd+tepr51lAAZMxPow22plluOb9
v2WAsGr0Ag64MTcBhzX2fcX+MIeL3YdiY4UvEdZnz73JaeXKcaUBilQd/9CnzYNFKVVc6o6o9lxF
Z3nDY47Emw7GdWppF4VW7CvExxbKxMjGy+iOq6x9sGPGivye4vjOjg/aiIzcGFdFi8mdWSRSylkK
cCXu42PvU9cw7CfZtoRTwUJkyGholWKlwZ2fWrA3G0m3Fa3I+Dq0EmYrbD8DYVViBydMojwyKUi9
3q2QpF3B4N5Yo0pgYXhFTtctbNBz7DOtm+CdeY1LQZtbbhtsyKc5hgMDMmI3sSGLbhWXdGYhcNq0
8JfkngMusWfst2ZwQXcpwioa1qOBD9xCK+aRKRqYyVVgx+Ad7Oi1HNqtBb4FKJn1RNsG5tpYGxJ3
cEl2kykPZgJJPAekU/lbWrul72pPsEvQNquEokTsOUdxLRCswGeVuXduLAdtStosg7D9WBceWjoP
z4vnLv/Ri6yqG4ZFZ0Z7ZSPM/KtF1vP/7X8+/+U6+8PD/FZnae3sSYBr/VBnGbWpGirhXyQTv9VZ
54M0BEMpx6K1Q5P5VZ11PkwqClWlWVRt8oiN31NnLfHDumVSXSATtenMqPjWd3LlDrz64AWNyXDI
PRhNu5vUSFHJdpj4B0uycLZy59auyokzkLyNPr7G2gQPScZ0FO6BXszIO4OrWrKS0OZ9DoGtx36o
c+5RbPMYlq/RQpPKcbNeAK/ea/Ba6mI8EyS2bGpgnxK7Sucv9ApWYj2hu4JJcx7NQqV7GPr8Uujj
gjEQU7OI/WhJMhWURMqJF6zHgVqrvRKhtrHdepZGl1YSnywTRwKeB6dsF45IAJwQVeIFS5nHSOnZ
VI5ufoZ4wAyroUoGeLGeywrm8mVrgw5E0F6GObuCahUGoIl4j2jOSnjaEW/RRa2J66aHqag4a9Db
CyLHek4upUPQ5NcbEC/QQKxNjGK4Ehwn7Dj9ln9OManEdCbZJQpG3sLcJ4KHKqaJgxM+DwhVpFzZ
A5doDcJNHezlLyf/Arj7UnW1j0VW9RfIHqYgip2R5EiYuxXL9qWvGydIIpsWKAhshw31n3Sc/kV4
3W3eVfcDxMWyVFEa5uCaRrCN8KsVI7mKTX2naAYhbeFNlE+JJ9Mm+yovUXS4HnP6iSihzzuDXYO/
MYKenZU+ID3dOlK9GJX24JfudRNFy9qHPV/V/ATwXvPr0vVw4Y/UlLE7pVjyYnCNutndjUl8NPty
myO7CJpm32jkLMW52qM8gPcjXKhp9bAY83FZV/J1tK+LLry1AqIPrQQbNgx2rSRLIuq2vtDmiium
M9wE5hPCTRi59mx8M3iOXWeZFXhfC7wCTp9uIp1Ci3P5ydOsBtNmOkeZt8gbcAE2JEWpX5Nbf6pI
5pTTUqZJoYqgI3wREgi11BoIb+6VPqpLIBEHJ4gXE5VJjz/6CebX3Dha0bAoTbJv3bcpi6fFDB4b
j2VFhWR8O7gwMK3LroAm42M+VikKeJeUxt5G0j34ub8fOoIuZLMBDDprewBXHeMIX3hrUZURAcbV
rk7IiA5JvPMhyLXIkkHo4ip9drjt1S2ZER3sP63Zdrm1sdNoVRa8f9t0M3bYLxtgHBB0M9bzLMMm
ZErNpWk0kWxaG6OicQTukQOIivqNH5NYqym3ivsIgfNkt2D/aC/nPcHirSPnyFum/M+LAn5yKF5l
ZIAyv4JJy/2tnGH0vEjQbhASNCsrsmdTHFyWzG5Moe86F4klvpspUof1oU/sXJI+xhTWMLB3ea5d
Mds8ZHnIoLOmB0930pZzlOQQstStowdb1Zp+LNqFbW1NUuLDYqHzpBm5n0XTL0ys8cYtAhdstsFc
sW5LzKglL1kDWDHaDn70GASn+F+srmQ7k9DMGivX/y93Z7IjOZal51epF2CB5L2ctjbQZjM3n903
hId7BOd55ttIWgi9aEDoZddCiwL0Hvkm+hhVKQ9lVHUjAW2UqF1FpIUPZrz3nH/4uu28oVZ5MLXJ
F87qU9Qpl7E4TqIlxQJ7IbhTMkBIfsEtN3QdE8pMkH6pI75HVqsND6UZ4l7R3z5A4xjr/lylc0ef
PHId2CQ0SqcBkKHqSjbkFCLK8UtAabbn9gXFeZos7rhavvEs/zxSgr0qa8MNu+YYmv1ZpLHC4wsc
tGXeZ4SDdZRuO4Ap0JbFUTXpY9AkcztlE8Wmm6iyMerqLZSq22d09oXgkBwJLg9tOAAylfnxHZ2q
eyw7x7CO1mWQXX17+DBxfVk1+/ECFDKiHVdbZ9l78kRBzt7I/cfWmNwC/4tZOyvFpG8RxHOX2WfC
ZwxVJmlCbmikEqJt0bNuz/2PGTOyVSGH2ZS/SnCDoaqszbTf5YRi9My6awiFUze+9cQTQvemR4hT
2vy94iKXcl1Jg24zmcVCG9N7rZIbPqcXL4getbg8VZXyhIVhlWrVQbc5dUg8r/w0WZJQeYmrguqq
LAK/UEN7qnMkRXB3CwOTakv5COQJRgfKNkYg5IV5zCflkW36ri6J0yoZTNwuXDBowaGc8PHftog1
wPaWHUeN/1F62bEYjfUYPsYmxxw+t6wzDo19A0EGfhsBX3aL1MesveocUqlKpnKpEl3oqYUKJVEp
NGfwgBiGWIHEYMUnmNIazrwo3yQzd1fKbZbHSCKUykRfdcpxInpCG5SOgBhmbuDytapNQCVEgEdW
UjSnkZGX9SaDHZbEHxP9WQHTnscUJ2txif3uqPN2LzVwJDjF8xYDrr7A3rqnucNTilWIEtNl+spR
m7lZZT8W45EW/6UvcPOAhopSsdZKPMrFxcjVm4mmeU2N9tAxoCi/WgjlYuLpYl4twvZD8lSCjdRp
UC2Sem9VxEL9na5JFC7utzabH7OlRocUrNmOV1oZ7qwu2RVNhm6lL4zGudSiwUVgL9vhUdNbasGK
u7gWrByJkosRwgwo7Zz2AUmPHSCAvTIIt06slSY5+xKN0CTMQS/Zw+26E6a6aSpg0imdyybQrTI5
tEwsftO60g/uy4lSPOe+q5RNl5HdtHkfV1m4DqJqmRo00gcsqCzK/rNsyesdpvrDJOlQzdoPH7Aq
Sjdp7JwDfy5543PbTluKQ25AitGQVK/mDpBopO/fL1/TPFpxSbxasXeaYLP2mXfgs7ui0c2te46o
SFnO8bWSTHBKLUyCczGb4HfR09GQZCkC6hvpRa8pHxmbbB9ZcpmF6Z6P3rJt0vVcDaMb97ZQeeOM
7qDLA50HC6sidvBawmPPjCNGynnkKALmgZjsADAMVg1s3Q25TQuubpFOlz+sWGW6hwZLBX/zNNn1
cTCqc68rR3ssV2nA1rbqXiHw+hy+8cXJYR12aeXaWMYWQI5hsbewdPzphuqzjUynHb7kVVVUS655
Lg6fhWiLpzjEuNEM+i3ddm5Rdwcx+jdVqchF2TcnqYW3XW7S+ceJ1Hasgoo9e8Ed0f5H+vi/GAai
PXVERn/1Vdxjox4ux06sqb1Y0hUxB9opGcRk0I/5XWUF9O/rrC454DMSgNLeUXYCM6paKXSLCUyB
nf3q02c+r69pM5ATLV79eCj5CbLcWZUpDA4dI0a7p7jotXaSEdWTUHpXQzMu1XfcR2T+Ke5jxfoS
BB+yjNdw9VaYC04ssS9qS+FzYos3JOSR87ifbwaPsR9Wyz/6EMaAhIXMlBqSFgvP/2gIW/7yl399
+9Pxr//2k/ngt6/xOYFZc5TWtHCw/c1//rnpZLsyO2Z1e559fjC82X9m9WmRled/uvrdCvGr4Q1f
guSrdEzycihmeOF+x6aTMO1Pm05MF0iD+uyep6Jv3oT+sOmMoqG3OwSPneKveOL12SYvMXQeow/n
gqLAo7x9A5FW0DZ9kftqVR6YHZytvuGTQeq5fmMr9c37yu4y56RnG/RUQdCNgARfCupZxrVYKC6k
ywNMG9p6lz7hb1b9b1GDcrCv32CwNGIxXdJz9F47S0Mh+XEG4qR9mb7cMKksqkW+Emvdvbnxr7iX
4ldgyzuxX2/K1/IEI+doU6OWUN+xZJ22Ct65bGhP5ar5Zi7eqVkZqo1duEN7aDAEHIy1eWkeWWYu
KVyNFvXGvp//W04EbgpUd26SYhmJDQW32JrjbWnfalRkvSCbsMZtOXQpAuMZd4Eoh7FBvmQXmkHZ
j2iYn7sXOI8BVYm8RMpzd49RS58O+hEt7R2ARfKYksO/81wki/YlP5L5G87NLfeGnXekgfASreSq
f6byJd3Zx94dTuOWg67XlriHtWE55UsfIzxGMGdZMkaw3iLQfPE8Gr43in2ESzQe2id8xEJnzbX7
4V3+D0RUXZDP/EGnnXfivFME4QqLdyXWzd+8U4bMrOvZRrNDKEyFc1E1Yx3cmM6w0zTrDZ/5OXfy
R6pMXzTnEjTAPKoncpI889TmFdfWeoyLIwWQO0VyJfg2DeEtmIq3vr0UjNxjXO8LH4KjFxywYC/y
oS3ZHxNXaqCoZ+T5Na/ZDlr9mlFk1JjXvLiNkzOtR/fO5F0Jw1Nx9PidleSyip/zAbTOir0O5c4R
S2/P4A2VOYh2dnMKcLz4VxwIzXQaLOq5KBhAA2zFJiqcBS0sy7xutlE4D0lLhyKSnH7x1p4247MR
9Rvf3wi1XpdGsHMqk/FSrFPehSUQrGLYxPYGar0LJjdYJ/k6dUC3TFAVki92eKHbkpsB0QD1jQVm
H+WrOeonuitVWWuZ3lM0/F0+ay266YaL5kD/gx52Cj0+nUCKxM4eb6PxWYs/Slpkp6NyxdnSQc5p
UHcNFbPjou/3M5K7SAf8g3QqPmfTVZ/c6uxQBKEJuYJwBpJSofxgOts34kvPO5C0V8DRaW3z6WzB
j/LT3LWgWnDSMlPxT9PBu+T3EoRPZfzSeJ0bGlRvMxXq627T3rMF9Wirl3zKHKzcygLoDuG0F6ia
5LKSLTBcLTr3iAjjOmJbw7PBPlMkcepOsfIi2OWnUnDBwT1TssdsiFKqW0BYRfcUtdwKkALvfNtl
8qCvGyW1m7a0JNs7lZ1J1y6twFt12rPRLAPxrbVY68Bsm8o7WyvW3nQW8fCQRMGGcrCFxb6EhNna
NC6R2bxlrYDg4+8i444fgIj5rezA4NWr4dwPj9AFG+NJi9/vihNzJaW/q1CyqPh/dWL+/534QgjD
Ry7xuMCNn7sI/rmfb/nLv/9L+qf74Je//PfxN0er/OllPo9WU9XwjKisTh3V5In0ebQS28LvYmuG
1B2Tf/rvrhay5kKYpo5+OJ921mwW+fvRyh+plq6zkuTPNRWV8fccrbr8ydf38xf+49Fa11DWhygG
zEUhpy7jhrFrjno1ydfWpvfTi2m0HA2ubwiHjxoNkvQnwV9CNIv86diH40sgOHpMvbJnguCDKlM3
tp3dMGW3cTdcvVw91opzpHlvl43KO+nniM36TEVKpouAdVVX947eb6e5jilDTRwBkygVuwRVMrgq
OC0qmrEsT25Z+7K1nJ4VYo7cjwt2p843O9KxnLuawqjoO9ZV1lgMg5AuwTDUkm0JmMYUQ73tiuhZ
9u1TrpP/Vo1ckLNSSMPzAOlZWzWNdg5j1kszHjyjzE4pybtn0t726vw8bBjhsQ1+SVqiNTz8NySw
74E74WI0tec44gunMOqOl0DBB2qVSO8iBdnOnkaQTpu+FATLUpvk+Nh6m8opv5W5fBmK5mJ3SuDm
8sGs42ZjIgXNFRRSjEfd5Nssqm2oFtnGqmgjgixeJfVuaPlhayF9b3ZfnuQYUxWD2sV08KFMSC9t
/J6Qd15GKn4bg1RK1fpHayJyXFs8PgL5EKYWxeIKo3DrraX50CP8GU5O4TrYaMNkVVR/DYfkK6SC
mzwyKBbTvgqzvJiUDrfDgMgX7EK6YUFp3BiRyYIId+CY3ZoZ00MvL6xLvs6Gmz7he42rt2ImlNQ5
BYK1f6i8bNw3OkZQXN/4dM6pr95rDFxWUb3m42RAJ5rWpXTOg+Tb0ZtqX8t8hW3q3CpUXmVQhgkv
x07heo6nkwX3tpo+MMQk30KizsmQXsm7Xz0i0Bg2bxTffNCIRntEpDsVRykOcUCJ5MbgwdGZQqA6
n5PVARFrlai1SuTan7PXZjbb2SuyaZDnCGdTLqouG+LaDbHtoHqUc4pbpTub3/MmJN5tEvOOiXtH
mr4NiH8nxMC7OQ8u5mQ4bNmZszDcm4TGacB/MDQYc4TJFSEOKeFyQcgcG9ZbSOhcJXxeRf1d7fDe
N/R3ofeXLmEN54yQFZS7AGtL3l0wAWC7pUJsGKGVJI16Y5VzdhsGc6Hto1LC2K1WY06Bl3NqId8A
3C2ojyrBs1mgBcrqBho0LaKamyFy25zwpLv/0IrX7MWzTNqEMPVpzFxCMPT880Nhm2Mp8f90egt/
PBL+4Yt8Hgn4vA0hQEVhqTQwbnweCSaGbVvVNMkEpX4eCeSAOWG43Uos3fNBhUPx12kLvYtEkkTv
+tvLid91JMzf3Q936H/4hf94JNgkdgU9sNZO61nSjf1EhcVguzIyPUaP7Kpq5uvI3UdijLKzHj9W
Zj1YHdE8DdSjkZcsAx9F9oXg+kqvkkXjpA+RmYFvHldZndzpZncn0uyrjkU4brB9j/hxi9wFAb4i
2qC5IkYu67vk3BvFfogx9JnCNQgnSGzIoRLtAqvdWNRJTyxSvEy/9ZXnUoZnov+rNtWXYElYPRm4
/bDAFNjVRQ5sArDJVrb+sG5b+iMCo7M2IdTqxCteOAP3bZpvbEeHrxy+qr26r3Tr3Bf2BlIcw06f
gl2QMNwSRkmVUXLEXqHHnesYhduQrrCSbjW3Eqrdve5djXF8nwuVIDSrsKTIqX41cbR33DHtfu5Q
R5luPZ7ngM9L5Zuim8cw5OnMacLU8iDgHLBHXPIeYeysbDYhqvYw6f6RljBYECEGyIAT8Tmnfngg
uriOLFpCk5CcTICYZipI79la8MVK0zv6pfxqwYuSvX10hmnpc4nV1OApbaJbJ9aK5aBD3iCtWEsT
A52SLgG1LIKmuRhmcjsZ+QNRV3oMYpsMsq0sRCX7NcOTWKi5vp3UeF0lwGlYQgJbWCJeurnGfoxu
DUOZtR+AY1q1AsQHvlCS+232Mwsk1KOWy7F9ShOcQE78BfkYZ2cWulkMxjk2NmbXLVMBdLQO6dCL
umNYDS6IVDiQ9MXk1lNaxDuZv08yHCliv+biVUC3dMQ3cpOrUlFnKvY6aoZLDpk8tl/j4q6FdxFq
r3qtubp5B4GPvS47XXmjEmTj/91qkhQSXY2mdY8KtJEz3JS9OHsZ4KTVaug4CozHznzAC7Xxhm7H
V72O9HrV2TZxKHZiOnQtLV2ngbo1IrpJVXEU06050uLPHagf1D3636PgaStoTwQyyKSaIiNSJBKn
ZxXqkeeAM6O6gc/exkzrrw5ln0jdj47dHwdTvQB7OEGudoEjbWJS5AfEJrEaC+XG5GWo/BF/6Af4
9zWA4PFKMRzucIqUuHT/8wf4ffDX/xKSD/23tx8f4P/wRT4f4IQs6A6wMR1i8+NZ/PkAhzJBa9Pc
2IA9gUf7r051HuCmym+JRRs7Mf7Gjw9wSGoUR6lMCJhMnN9lDMQz8X89wH/+wn+TD03iyFKrKLJ2
kVkZtMmkXwREgb6tD/2ofBUOU6cOqRubTK72q9JgD6HpmGS7doMfAJYjF/RJuQphYHdtbpUpu/Th
VRvaLVPuNPrbCQkSX89tjCRJO/ADa/8X+kfRE1IwyhXiwICMaSFn2sialYMC8l3nRPD0cAlib17Q
sgoMvlzk/i2t1nzi3ivEUhPRFPVz2SOijoipmc4tfVZXwzq78byXsnYemlBbp4iwZfZQiPHQ44Y3
ZokWqXZs6XxFus2RcLNZy/WYYNRZ3VWCFOkKIway74D8G2fA3pCDHRAOVW9eS2RiTPzbsijOFvJx
hYzcIieLsD3IWV/2EZoJR6BTqFRIIEHHVYNw3C+dSTkkSNRV4O2B0a155mNQRkKegDxbF3PkbEDg
7hA+i/QVk/myQQeNmhsZk/E0+nClJR8WWrmNZh5ltJoyjPSafWvgP6U3ufqCIdthFVTMqyZj2aHC
D6p6p2ZUKnXDTcltPUet78GhLaq6eo1mIT+I052YpX1/CL+laP0hmn9Z4yOEVlKiaQU8Qj28AY1U
aS5t96M5rFW8AyYegiwb4JjjKlDye9ZpZHtYzOA5AC7kVrMJwTAkWttsTIhwKDQ2gcmw2UPROWs4
GIwZLsIvThlHOkkjcpPxusHxoOF8sIoWWCseRhwRPs6ITAIxyakPkKxzBPYJDReFla4GTBVTx16j
jUAXsG+Zbh02GrHxbUgDrIJyGePM8GaHRlZS149no1Sr5xIPx4CXA/nzqZINBWfDFx2vh4XnA3zP
kn4vFoHmjdn1bqQPGwOPSIxXpBtAv8sOMpkmPwLcJFaPxugNaw2XSYbbxGKpmmavAR6USJ2HMEwp
qvqUQN3L8KpAsBtwrnSFt/ZxsojeWdUlA1kJmQKnS4/jRcP5YpFAG9ns5CMufXtdJDjSB2tdlc6e
KXGh458pdBgHBDXVaFe1QOvZKaW4bSwiYEGX3wTYcdjJEyMrrpVCw6Smpls6kV0o7Ezu+d7G0GNg
7BG1AHGa3aT4fbD9dNh/au1dIP0owZZEL61cA/MSsxCWIWf0XZ3fEECGS4ilqMFaVLPvNIiPtr7B
55Afh4me6EWhuf7+rP2DhqF4uEqdp7cpkUssgSPjPxRiru0v//4//3QTQH3/zdny86t8ni0oPSgd
QlO/Hy6fZ4v8M+Erg20QTneSnRxqn2eL47BlYuUt8KXPW/HP2QDlhkkCpWaeGn7numjeSf0wG8xH
C5W8JierdExTWPI3R0vGWibwG4FM3TjRnRWJaJn3prc0RPtqK8ODaZFvVMLKZJWNjpzHCMdCN/eS
Rt+lU+gDrBpsVFUJ9UmbQVODrYBINpSGvhzDpP8r+pjqOtx5Javc0aScJK9HJHgcFnxZd6VHaMUL
YP9Qs+H3ib2akupaeQIzZ6emqzIvwX4W+IyoGKG5bGIAhnBwaCa5bw1urQ6JD25cramzGYmbuyKa
aTZK405V96Q5LZ3BOoCcVKWyPPLYrAZDK7aVjewz6ij8eZgCwwmor6lT7rdOCZLWYZflhbeB4pnc
tysF8xx3NmFTj60M5yGbioXD3VQvohdbC196bV5il7m9AuY0cBIa5crAIEmfHda1ecIibv01wDFM
zKhGPpEKJUShBUXEyB4DvUOwkKkCNLF7DSc8KZNtHGMzgmSOIME0Vr+UnikWbUzlTZZhJah9kqeU
CTuuRviKhXa2pH0fkqCG0qBZa1OGX8YqYcUCGB5qbW2vIRRSgcQtaIkd8INfWjunYwjmpxyGmdOX
S6OprmnZMv5VFpVsoM8XuWk1W/psq43qtyfDHC++Od4oxhzQgXMUx2247ik0WvEQvx2x5S8Nam6r
gMSSNzqQQM3s1HcEGVg3aW47IevD44MEkTQv7TDe+iq9TGnu3xR2c6uFw6ZVC3gfTa9uah9GuBfV
5oK+whcKDNoL95eOCQRGjdVK2GFkycLA+XCKyeE+opXrzgDy0eZz9ZNfbI26KUjxmxkUVhzoZq/V
ey+nGzeEprowu0rskr5oSeHQxL9oq/QEHJDQbpgXnONULLZGIxdgknYe/oKW+oOdScx0bdgFJYqq
USyxdnyJ5qY2aJaOCfhbleQYchGIfQnzbMmPADqIU5F/ChmgghqNwMv1twjc2mKs4fzWjh+BoWbV
lem0gQ+qsNfUbAC+GoALdzhHel4sdYpNTuQOwx6WlEAlx1t8FCELzCkALFOQ216ZMkAHHTA11J4N
M8booq3WVaxU4StirtL1TZ/XVF1SAbk3E5qA+pLzN8pvLQcQV5/qz9NoIlv6X4seDhWS0wGqBzYs
bKVua9DoFWTqXSlKSrEVsiZ9Afm2ovkad3fEZmz2tDqDf5d52JfwXYRu4hPFLdsCp4nTgiztnsc+
Uha+4b+FHo40q+u5GHT5lTZnfJRFwe9N4xLgxQlBM9vZFBXCklr5KSASSryrUBtf9M4Ol1KOVEiE
Od4Hm7KKbmK92Dec2wHdP0vF7Kkz0ZtTRFWZqiQnWZm32EkdNwWssfuDH3c88HlA482m11an8OD7
t/u3uuKfElYcd1TiLYO//tf2N8fdz6/yedwhfeizuUFXOdM4Tn8dpeSfWb9RRGd878qbu/g+jztL
YkrgKOINjoDCF/V53gl9VlX+j+Lye3Zhxrxw++15R/RLpyZ4LmBgL8ef/+A8gLGnFTkNDDv+0taE
e1PUnspt1L/qNiuYwFee+qA80q/myo7KKOqUub+pPNik89in8Zsa1yO6iHLqzeItDxwMsDVIvQAr
GNhn1588l2AGMxE0moUydOsWyT1pI0y55Dn7tH0MuPSjeR/GJn5oSa371TlDLqmSN9WqKLed1rLQ
LiH0wiRnV4LWcWMlfFRLE3qEDugQKJf0XtSJsYxrxzM1gzCLyy1W629emJ4Awt8ixSy0xNhZYX5T
+cpWmRtuwwAJFCcPzV2nuiy3tVNBozIHSCcN3ae8QpM+l924EXPZQdLoa00oqyHUz45C9CTGc5WL
N5C8y1jryIhFR00kawjoO7Iy+4EVUA+dhbKEA0rqbQwmFbHnHj4uF+hk3A8gAfAmlE+1jo2hTAY3
bJq1jfQz0OoZttazafauPlQXtbO2g9881RUhSmYeYJxX26LhVGLR6Pr7ofYx+g7RfSMGV1fyRyVh
z1cbu8mH3qV6AEDCAi+TgUcLvbbRVioWw5Ha3rwKLzpNhGqLsU6P7nSlePScHppf/Vr3sLdnFoaO
otBZtN6H3bnvxTltcG7Y9VLrK6aB6D3uwPmAbK9NawtvjgmAAaLUSp5zw42I0fOdjsLg/mLZJILo
cZogynmxfpgyJot++rCrN8+yDtXQHkPAsJPpbJIovySNfKzp100NXCK5Fj33QAmBQAAfM82dQYke
D9LF1E+HsnLWc/U/C92Vl0F+bejrE/39d4Pn8FWVPnR0nrSpPMPefUeO2GPZxB8x7eoB14mTHilH
p40MlKpdHLirMD2RWphq7wWQkAvMK6fynP8qz7YJpWgOpkfHwyAiYOyojHyTfe/44rn1w1Nr0PoU
mpuCApqm6o6p0bnS6y/VIB5TlQweZkGnHnCIeruimzYVsdigmlZ2QfuEmplbv8o+EtyrMAHulJG8
es0/MsgrC+pjMXUfRYll1knJ+dT4OYg/Uq7yJU2si51l58DQqXbYZlI81EXzBrDM9dr8jRv0WuPD
EMeAsju/vUamvcp7KiOJhlXAZ1puNYvc0ncod/ejjyBJcnuP7+2p03BNI760S8OI3GhycDWrxBXC
bMMMxfGuAzgDCU4swlkUgbMWlf+elOqtDmYttyGzQR/Lneqi9HIJDIaAgemtkS53VdScsjq9CYdw
5/j1tyAfrzwNj2VlQn4H3Fnb/jlSjH0MF0tnnWNltPrRE20pzinKxZHKWOa63OXroOm5ghGKTT5a
lc10nRrrrJJZHkztUHOJSnyFFi1ljZfrCJtkUUq+X5IA+I9YtNZ19gR7yO0Kqrgpit9Uol7TQPYc
JcV9aH4LbX+LUOz6FOumUepOUMk8btCN3xfcY+C+BMQTGu1at8260PSlyg05C+Sa3m3WuxFew6JO
L7ZWrvpx2tAzdmjK8jh5zS32plIPXzUAhjTorSIuAqXfuClWKdEYN2BvF3XCSN7YpbWAbrYqsn7j
EGNxSkr02JuvgK8c6ANfjX58TlPC7ZXVHhqHuUOd7/uxzgU5otwfAHzUOV8qv7nWuuKW7HLrxNhY
GRWf+IkDj9sk9mN7hsoVqOUZzmfopKvKshd0RBFp69Z5BhWYFTFUl60QyUrvPcKi3bmt1PcUEzJl
mosSaHxqzF9Peu0N0DINv/NR0Z6bkLm806JrRHe1UZeAlzIKyqle6tqVgwF1oRbPxWTShxbgl20X
EA9XQYxxrbc+YmUmeH9NE1BDnXz0KBtHqHV5j0eQCJ1EAhxPllWZ7hydiIFPf/aMLZBd/VbpBT81
1uota+jJLS2Jtd30CVgyXNQ0lVcZABWPk6rx3bSiALT1/I/G5q8rqbMZHfiiXT69ZPa0LyzaEYQ/
52l54EDJ475sehXQLgYCp7qrc4UfUHAk0AUxGGzlPCESiQJ9VQcqxmfryn34viPvYgHkCrqWSSP+
lmcwX5B36qB+oiVjM6n5JiqpKw19unlQ1qXl3Tlld/BT+N8te3SU+XNBdoza9fSaFc6z3bQEGbz0
xVR5zwAOuYNJdu098Zh5M+U005+N1OcHwX2UBf3esbLHDOoYtbfWPvYS/Ob0CQWG8hL3Q8OZSqLD
sh+5eMsZp86DOBTl3ouUd3ShW2Tayx/+5igMKdiWCKpbSM/95zfH7S9/+W/FTzfH377K582RFT+3
Q11l88G65MebI3dVLoa2+NVy83lzlAytVAaQ6P97cP/z5qhxcBFwVE2TNQdFy7/Ds4rb9eebI8Kx
DdiN8i0ijPOf/3Bz7GH32fQJyp3TPk0OloAGNmbs92efQJ/U5y42cdGsckeWbJU41W3OxQ9+O4I9
61ySWNUtr74nZXbxVeuR4t8bxtIlQzww6EHd6TjAG3hioZfcRgzKNoUSdUfFB/B4JvG8XYosuJT6
Ue3U5SjsTTtWp8gc3B42mME6cOLWmZnQ6jX6OjQmNz+cbYg69RVpcoKig7qXPCghAdo2XfHzvBGS
pQMx3Y4QCl2Fe9hXN6b097lTbqaJsjywBVnS3wQlIAAeYYmVrOu+2Wd0UIWOsigdslBZtkEmXlnW
DMq1WXdgdiO55If3VQvBvOvfnIL2lGaQ38xIb9wkwaQfUAjvk5dgQVLBqezu/akhceErwN7CTY+K
Z3YQLEVDw1eqXJrceuu88arDmSN2iPdQgYgx2uKoDtFj1aOMeObCwDtf4aGvZzO9xFWf+MNBUaVL
E/cttgv6Ek0S8Pjw1bB1yfAs1Ym+PE3ddaTTa0W9oa0ex2DH02S29Pd4+73Z5E/H7yUlQEyB7Csp
Cpo8eoRDcgEj+QCVnIBNXsAo8yO2l4gUAVWO9BfOuQLyBaFan4IB7t0cPACeM3uiUGvdqTsWpBNy
7dWsDozmWPnlgQ4Vt0bjSBteCM8v5qGSnANLqn3ny+VE/mGGsPpeBjuUfBdjcI/tkXsvqWlyE+Qn
kFQ2NEZuAabCtqCBk5yF7404OZUDMuaKHuITn/ArGcYVp8ZrSE6jmwcWchuOFpFx0m4i8hxGbIGt
w5GjeOesymAVK4ua/Eepq8TMPvwoPARzOoSUSEm1ZDanRkiP1KRIyJdyBmT+RlOpaeE88HmY42hy
WaZwjSCKkpvcwMincE3D1Tq90Pd5DBPY3PaFpn1SirkbO/WVN75ioCw3wdVmlwLSGg8teZi6gMRg
p3ejZt0kcCDivH/VKuVSI2GXRGpsojXJHLEhaqPFCUpqf57PJW3O4nh0JfROu+loI9B79QANdQXF
jJIXWl+yFqpeuxoUQSPPfKefuNx3XPIbLvtlI111EBeqZd6Lrlz7MQhA4nao4+eUYYEaHyhMEt82
knHDOGEwViiMF1RNtDh8/X1QE3NiBilFsVZrZZUzmwQC47EuLlKjnENvHFeQ+UgcsWPA3nla+mgM
vatUwT3vfpZjLdU2ujz1zEI1gM+R9s/Cnx5H5iWNuUkwP1nMURSkPsMKptUmOkTMWRXzFmWuFMoy
gY3zKCaZyezvwxlTWsK0ljC1FUxvOeDckWmOiOW+051dgN7DcHyMmPqU2Fqyz34rmAYNfdw0mXo2
BNWfpUZDA4WeZTpsuJg920q+bcfalcyX6lyAR/UIY6hzymS9j5hEJ2/geTWRKGZGLfAY12P9Afj4
NDHH4tre1sCN9Uo81zOZEfj5S4MxgV/FJtSTvcVUPFQt5kK/XgvmZZ04aiyITHmvKdO09M+Q0oBh
hw8MsIcmlwQfBSUG0R1dsCFQRQCrTOdBW9MWlRGS82sHAy9wOqujuyhg2yYNzH559gap8xRP6FkU
d+bLwGZrjFfwAGSeYI1NSpc0TdUT7GbOpksEP9CeMwECLs2GEzelaJhn/T0jwq6vu7nIYj2lfbA0
SvzLPh5/ntPPsa4do6TZaxHZxhjse16Wm8gPrk1RuYMhyCSNbFfFKcW+7JXOuR7gdgTdjrdyvAjs
4XlwyrVsS9eEzRekOaqeM97RA7C1dUqtUvaEXKKNKLlCBbuz8uC+hSnsR/3Osme0srGuZnC8qe+Q
cS+TYJudFA9hyc9AZaYqsWQzpdR1A9bF+FC6+OzjL+yIwbWD8eAp+DPHQdtZJdXaE9VTQ6Q8xSot
wmMBZV3vdjBK9q2ZPDilc7Kt/k6v8IJj5MUwVOVf68nb0hq4Vrz8kVb4vSOMBTPbM7wyouHebRZ8
iwnn/dGvYDQn6HOsB+1Hx832n17BsuBPx//1P37a3v30Mp93MEvQba1yzyMgNDOxft3e0ZBE77Ru
OLMe9X2v93kHozuf/ReoCTof6Nn+cXun2jTTsXLU7Lm073eZm7Fd/HQH++kL//EOllZDmHlJau0U
JPEIkF3at8tedvvMoKnO96ApvtN1SqNRcJ0zhGy9MA3TP+JcKo59j+dzW4pjZgwnoJNPVp7ddDBe
Lb9dKWW9SfLooQR1IS1aAOChE/xYODXZDDtfethO65pYHbU0QmxHxT+X0toXSUASkx0NUTnnqa+1
TWHITZyJM0F8Pk1ULnfgGlitEDG2KXILdYxXHuKAMVfGFDh7rNniMxbBFbMETdlTlh38WXEJZ+s0
5qBiGo/RkBFfGRBz268sgDb0GW8JRV40zEUMlOcJs1GLKmMghUXdsJeYkZDoH/NI3wfU80wNu8Lp
NqiMY0OxTtto2wiHiI+Dj5/oYqawxlieBNYndpa7DivU1DxM9ePI7BsSxrWwS+XWN1+kqz4ga2Ld
V2DFCtgZLZGJmOJTT96UEv7pQLO2eSfwY5npK0u65UQOst8n9ms+iFWMecv01bVZqosIplSQf5NY
vArxGmo36uz7ksaXDBvYvKWo8DQDUFya/ej6Zn+Mq37jTczKYdFjfzE3Ebc0rlP/m7vzSJIcSbP0
VeoCaIGCY2ucuZmbOY8NxD0IOFcoyH4OMbuZXvZq9r1skb5H32Q+ZFZ2RkZM1UhuU6RKsiqIp5u5
QfUn731vw8YUTgSSswLpWY0ELZm1aAF3GLiAQyuckyZJoUe0RsQs4jV/UZOAW7CTMRC3pUA7BsRu
ZpQh9MrWAhFcPKvhwCn30IRQyFlI5WKH1AMzap4yv7gxurxEUHuERpIa7iVQD6z6EKZUHYshNje3
QbNDGAolBkryuB1tNbnN2mFl0dX6Cqf0DsDUg8P4T7CCCifzk9TEtpCkZDlBsu796KDa9BD6U8Xf
5I4bxwPqwGfCuI6lhuBmmNpzOsoKtydsK09fWbjqzdleDyL2GlOnA9KK7gwc+EV0yvHjG7624Qw9
Fbw0Z+jOPb79Al6DiXja1uqFOcS7toLH2iUfAX7/dABAUqFmAEUlowe/b4/KnqWdfAUwrT1LSpz3
bT4tJ1ACGDwpPmALBLiuBbCBHrmHyEbk3WyTmAfUQAmUj95CPZUG0as0FHH1GrCfs/1HVJ3rnKei
Bm8w+ne+e4hN1OiEyaDRP8x2Z4/ZZ+1Za9P396XtlZusVYcol7vSvA9QNDUomybLWsnBv7oonuyx
Q7zZbW2ke8RxsDlFG8XPgjgn55LM4b+29zV06yPYc7qg5EMLkbMzkEe4mrubKMT6Xw1XoiKWLPtO
cla+hjXIdOl5lO0IIweTFDwLji1zuGasoX+w0EN/rlMraRqpeC4DFZGkXz3FHMIM3acii4FfQZlh
pspUW8eYKNFweXeabO86qwAQQYacm6JSx0Pb2PYWHAVaG8V4LH+xJnNf1NCp0uHWgzKYX13U6unK
G9pzq2H0aylDnJ7Tq9KY70eB7i5jw9549HN5k7/mgqV93nhH3ACMuPmmtNDdkFr8UcP60F3z3E/O
3q+YRNWNZy5iPUQ30ldvrWS2LuG5QVoHmtlW5c4bPjzSw3I/udOLx6qzFmUQ78jApSIGvO/a97YJ
xsBMtvVQY8LQGYVmx9qt9iTPv/JGbCPD3Dn2VWnDl4FtdFR8KKt/hoBHyrkSu6ps0Zf6w7eGUHtv
6N7i/qnQAVPkeNCzDz/YQVKZN9TMkZDLWOJZz4oTXdg69fKjMaqjoX+wYyWKrf8lT8uz61tDMxDx
KPRx8eCp7qm3AHNZ/qPnPUYse9N0X+bdaWyZEjb9OUryeRu7jpOnyM2WGh8FuN13XYEajC4IkSwu
gnsjTNYiwb5NmovO++pMn0jd3YR2MvC/LWMTmvxk01zbgJxI5+NC084iTg5SN14SjNBw3tc5UEvV
1ABMUa3m0+qvXudQfeCtsrB2InWx/6nc8/Rf//4/PyP3/F8/Dpp++hq/FznUKhzKDhQq2/xjkeMJ
9qKsmfkHHKrfV5SwHi3bcRhNIRr/0RxNGAjfqa/7s5GbneOfGDShZ/2pyIF+aegITj3k4PgWfhg0
uTUlNCfdfnAhNKiIJeRkk0A0dzuITveSMIx5pnQy+hbpSj5cY8u5Y9CyrUd6zaKwd2WUfmRpeCYi
4GSU1SbvuvfYx6Da9hei8WhYJbyYKsS42OvGen5P6gVBN7SuVTm+0Sy0rPart0TJs9PZNys14fpV
yabutG1XBBsvqXcOOxNsR+uImOM6gojTD+QS6NsyYUEBaU72yVcNl6sR23eYvZ+iTA9XVo8ZrBqD
9ynWtlWGdruGlQJFaz44hxoC1LCPwyffe7aluGfQvNKD15qLWbrByS9yQo5Q4MAjj9yWp7rddwPG
ZJk/Gp0CKkKdAWCZlh8r7xwYCj/efHHDa5dkCwX+yIA2O6f6FDXgwRzGkcyI+HQ3fRquuuqxkMO9
Fz1hee1evIIoP4eMqQ7E7zgey4mdm2szMjjVXkaAz7jKEAJhSr1D1o1CPtoKmDltRhB4vx1JAhqA
7MgAoOVEulPqlCxMsivgOoCa0ypC772QGJQ6wPHo9m5BPyePDd8qxH+q0e9D/lCNdLYL1d6cRpg4
zfuYgUqKjV3p1et+/kb6OSFTarcQ8G2ijzdconfU76iRGD7axLBTATN9EJtwGE8qltcxoIAbjYUx
C3s8jF740hRCQ+dJojBeIua5zzJx/IsfPzx2WM0dzzFmfbfOMfCP1eYcPH9jlPmzIPCnr/Hd8eMK
ZOE0WH8nMPzeYxEH4eAS/Tvk/L+PH1yiAlaCz2+hgf814fj3OTfD8l9l5rib/hQV3Z7Pll9Z5r9F
Npv8a0iYwJBqW6jt/3j2+H4e5iTFh4d4TlbLkgfNzJ/wdZ9zs37Vx+lO5SNVv9yYbXsxjPxVMMQa
tfIj0pIvOHK2RVSRcB6rNeagh1pxhVfUvGvdK65BqM9LIUNbiIiFof/Yt4+Zr+1KjBlYS3J2Nj7Z
wbmBJdpFGsdkELSPg0YZheLRxPOe9Bg3/L45zuJEiNh90zy78I8mq/rqyvIlHbWbh5RoCMK3RJpH
TLovdpYfZNGuY//vSSe/SmHuf31Xvie8/6KV+fHd+vFz8n07OjrapOJp1PbM7V+l012DsTyLsOfV
A+5B3Mm8KVwiKj/WFKaRY+PV7NVzS8PqOQqHfHIbreRrFdnP+WSgXpo7isrmuS/sj4y1XOZ8MIh7
lSrcak6HaXWk9AjnxtIMXgtbsnq+iMA9lEF11+blytKRmOuav66hAzQldl5GNkje0HnpWz8niW3i
6nCaVWKzh3eJyWUYr5Ne1uOe7SFRgCXEU2OMcktoz0KnmNKsbyWVqxWbj6Ytr+ZQHsSQnyNqXFa4
QMTgeCPeD+pyOQ2IPsVd7qVnQboFFgFYTfMmoNowll/JESRG8UXj5Cmo8erpfcjaTe4xmRuzX0zC
7Nje8zy4MwNtWShU3kGzTlE4Y7NcC3967GRIZqN8gZmwa0yq5cJcFTFYNrMg2spnAqDeqNl3WuYe
WyQzDZSnpO6ujH3XWBUKU1zzliBVB7+wPoEHI08PlHFVEAIPOqI3WIugkq49iEj5N1NnMdP41K2P
sNM2EzvpdGiirZL9N2QgLyM/MTnMfzcRLIW4DHkzi7JARzfbfKdXP6hnDiNOADuYFlYfw5PUxcZv
rHkDwfdtRfy/tFyTd/KoV8MaxSsFZvYwNcN51MM9uMDFAJrVy3A1MAw7D3muLdhV0yKUB1I2CZzT
92nkkdkEOGzRF2oXlBEwvn5Y+2rIl2ad3wawaUXVPU8erBJhnUe2ASDSUO0mpvXeRe+aDvqZy6/Q
TpVTscjobgNz+WEuEjQE8UY/vgKj208TH4fuzdbJaMpvZXJLyHgZ2Sv1eb7L4IUEg7Msu2FbsAjz
PhMZHqQgsbyz5ArNh4cye8wJK3MkGPWB+MnmySlfqLaWooZmW5RrScKHY0/rwPqSOW86hueplPeJ
7JbwG+HJqeOIAVzRR8SOxd4geuzH4mvtizfAROSBhDsVIq23k49xivb8sMgga9zPgZgYgXuXtku/
+PPgtXXGT5OOtWTi3On4qMpIw6O1NdNxWwBgTFVxDwKYxb713KTQyDwDwwgiTBX4l7otgBFbLr5h
yDG+TraYXMUN06XU5xnQ9XetJwt11v9HnrEp0R+GZvFuDdp77V5sA+CKB5DLgfRP3maQvaEq8lW7
dOkqfTrz2d3isG8J7LuKw9XE/YO7xF/3c058aaQbhwlAPATrih7YlDBjxKjv/uIXNutdym977hgw
zs5Qo398YT/+x78Wv2SZ/Ngv/PQ1fr+wLdPGQmy7mHXRNH4/FNXJ+EC8L1hCMxX97wsbe6+B0BCY
kk7KinDANPx2X3v/4rs2FTU9r/nr/f8n2gU20D9e2YAoPFPMncJMb5pnwt9fQroX064gi993BptA
28vQNtRboONsOF2uEHcklCK0yf9qNsKqr5xMK1MjUAmIZIEqUJe6WOb2sXNgMkcgCBSjMhfGgdHd
SixIydSyRcajnmsK3+y4C1wGK0hO2PQuDY7XVVP2OHnldSr6WzV5t3QkHC/FHGSWpPYQ6anr1bHB
NGBG8T7MhnWNtmoq7K3XyacaChom4mG2dU2MnlBdsBWJgt6ENYDfOCS5Jx12KfFyeaKAt6tjOTir
UR/2YVgxDVDryhGrrM13pYSpFPFXwaz3nIjTWq/js2W063GYke/FHpXOJsYqttBU5y+GmCd3UmC/
0+YQQ9PzA4WhOdi6pEF4xQSZV99qIrmZDvLNcNa0iEZdEgJ4axnvLMd+90J9nxftVpb2NRW8m1Ue
AEWHw5bDQQOGuSi6dFmTV+ykGcPBKjj6eK/XRgFLvc4/RQ0S/spfBwBlZIuQ0q2Y00avhQ+/aRbp
ZJAjfQR3ePag60ePHsT02DK3xQB9XqLgnmL9sevLJW47YkaYJkzw1Qo4a2HGTwDBT7IQM4PNB8bm
AWULGCyVNQPGlKU8dl+kTWglFSpq8xecG7eIH7zoVuSvQKB8Emzr9Ma4c9QpmxMpifOV7OUshc2N
bb8HNy6KLp33yRLdXcjqtWpwzmbk9mUHwPFLJyAd10CA44KiG2DSuRKEl8bnqtJgdkOtc1pjPUGx
C2Pmg05/lf3AWAhQyGR8jDAZauh3VooukU0/FPtT48AFSgRYYV0Gi8bvr4Ow3ovSv7gyWMmQ1Kku
RrTFHLpPzHudLUE0iwsmVAZilhvYs/BgRIGQc1+7syShMsW3oOL98FErtKgWoviRpGgia9ARwKZX
jCEH3Vr9knRSiM8J2oc5h0uihcjRRGADp49tdyVaCdY3zPDDZSgqpvTa3smS+wZtBUqQZY3WIvGD
Ja6gexsNRpionUCTYbKmT1VCCojJvxrRxiiEBgosWkxQUxQwRQd9R687S6X3G9CrdwP6j7laiMM7
t9HOBeqQJEVOWTNW59HgLYey7hmIgVEGOG5yq7qYp54hVcw0fpacUCIsE9e7Lyv7WcbaWavJInSq
25giwNKmuZ9nRTrwK7/QpniAWh8yExoXS/kbK/bXJeyYCOpXEzOAkGsbtoAcE5YuWeYuRjPAVxHf
l1oZ7QOr3/dec8pAYmKDtheN162jXGxcq74EHlRXMst0JNFazB40OXsi2xCOTJkYYlWwwYoER20g
jsBvhssQxAcrNV6LetwOdnAaBVlEfFpzwyEwFZhJSA3Rb/LR3MMPeHOb+hin/LQNI7RW1SAfIIpt
hfBoruVcB+LFVA5HYxEi2ryq6E5qLIaiparlcx9nX5yhvRTcslRIVCKEWWaPdREqWux25VT61qHG
0QfFiRQi7Q7voynbxnp8F/jNVoUpvAB8S07o7TJtXMna3ON6crzo0s+HTX+b+5wceCJxPxrdQDtt
Ams6T+Y3wiB2XaSdcVywgk27bW6V9bKJ9KcqyNaVPr2SILBvCJVOTffEUUuUOdyCKug+9V63n5I8
+MtPEXUm80IA0QAL9/8RrJ2j//w/f3vtqA1+Kgt+/CK/lwW24XDxYxdgUCn+UBbM9QCOOgqS+be+
LwsAQKG5ZfSIOcF18JP/Vhf4/2IxbdB9g8kf2MY/Bf2gxPi5LGAna1gI5hwenXmG8X1ZgLGvSgNl
uHvZZ6QE5kGys+cUJy/edzZ9VOyaZMqwseg0fZPB9SUo4UCRcYdblYNBYUJgY6mNxePoo/ceoxwR
uNx4JvpefItzYp++m3Bf54qJW2POJbzePUUt3GKCQcqawNZeu9kIcdNwfEi7nifGfqvhhY6GNJZm
JE5hjhy5xxZnacYziut7HnLyPmZ2BbYwK18OJDIqvo2w5/ZRV964paOeXEl+q09KTbevCLa1EmKb
an/nsE8tGm8r/PxqOu22L742muDOH7cOJXuShdCp5D6qg3vLDsgzh6zB7mdR995mNOx1oQOmDV71
RuzciDUVbjbShJaiI05WejvNqDcyr0GGcF/HLkK0SDci9LXBa79GrEuSd3TPz/dVdsY+D6pwmQnr
zhvxOenVzg1c5FY1e7tecx6F4NuX7PpIyogHqLycL1lYg7gPzt2IFCpyDETf7pIf8ZER4kbQfvsx
YpJWGCet/wxAAgHYeI5S92C24UPVRB8tNxZaSAnnfvjaG+gFy+al6vxmZffY8I22fbOdlNpOxHdx
37OZTgn/dPtl0SQp1mGmBWoAPJkOS8dUp0HmbLgJ/InCW2NEdxXurySPd3YM888ZtYdGQ4NuwxEZ
yFphBRjvqnTevvTBW+EO1wLu3zC9x8ODcCJogyazHC/ae0C9GSLdRrM/uMrcVlV+7PTu2vb08mG3
KUFuy2Z8Hhh9Zl3PnNWB2u6CiUHozaW+CZXxEtodtajdfUsdTGhupdaySNnTtyaLMuvC7n5lBtUx
hFHlhPxa2uNnMexDoiZ6yXZ67qR9N43muc2t1ynUPgbdOQGOORPAbQJeP5nEUo5FvRkhvbNXzpZK
VfeaRmZPD0N4ssZ1TBVo6epJMORlRD6nHGdbI5efelBaK1WIrd2RTcDFzWZdUDRNK/g5zKr6HM6h
mx3AIWwQV3ZYCXnFEyIezSqPpVtA0IouUQFxEZsDcRnriidE0xEuEyuA1RYPQlyX24F5BANuayHA
sw+zXaGbjQtx1L0onAzDbGmo8TYUeBzkbHaYitZYFFggYqwQ3WyJSPFG6CiuWGCu2Ty+U6JuGgTm
QBGfhLPzTfb1cQV23700bfh5tEhRw4KheXgxSkwZJeYME5OGwKxRYNqYEmuP6/dhoN7V6gImt7ND
YUbvjN2jxvZRYv8IsYFEUb9r50Aa7CGid+7zwFoJoF6hYh4+9AuhxDrDUhLgOg3KkAJOfw2xnAgq
YYUFBT7EycOSkjbDSkOh32FVobYrF5pjb1jWvBWShYaFrSXA3pJjczEMaM9ldmqwv2QBvUMTXRKS
nqup/WzVxtnALjNhm0mHr3FWb2XfPUZhsGPCRGOiVp7DThXTDZP+Y8EiOuNRdGrCc1ubRSo2HbbZ
r/3cWYgk/oyr8jJi6onY7mttQPyVv/T1+w5cZ5PfKnn1iUiN3Bvm5mWUQeyeoBWAGI9m1Lj5nCIw
M4IW7FG+H9E8xaF+MjztMCBa7AGWO+DvNUZbjK5qgOQ1uI0MvLlECFmJB5P1e8tuoKxtHCgTkSRE
qVoJU7ovLrgdu90aLENsvAtGcGqMB827+AwmNejqJSuJ2EX3Cx2Qt3YZwMcZk68YpNAfowGE0V61
pJZgmmgCiE0w3PNAB9/L8IXBjp/yMuJs5xZIPYj8eFJk7KKaWNn5GY/f2pvSNbyMTSyC90qXxPgW
68J8kTzhEPFOKvzSAZsn01bCntfMW48fIwZ7ZEMQWQww6pvauo4w6wvY9aLCHNR4m/mn5YudkVIp
o/mdpbDhQs74e7biw8qCiJ80s7kIRr7GvknAzBczPD+Dol+hcjMD70WHru9HyXOStAdVZduyA1Fi
mOHeHayNkGRbpc3n0s2XvJlb33zh3d+1gPxF4T4UgP1HQYYEoH+z15d6pY4TAQDdnARQhF/+8pMZ
5h+sO8Dq6OTn/dNVCtmyf3v4z//9cwX245f4vQLjAqQNNdkVz37S3/YoOE3nVYkFsNqdE4i+r78E
IULAeSi/sHha32nVYFyjUPvlP78sgMWfWeNav8xd/rBKYS7z/Suf17zf+QVCnXAWK6uN/Tgg8568
anr2527M8MdtYxQNfJjqw+JxYZp9xhcxkL2pHXIt3UVDi3uR/C4CqPcCALAcnpVq0MXgWBcO/mb7
zY3ottLxrOfy4qBM6QEriGzYK+oOJUGP9HRipcGAAObbc1wTMEqK9GZyyGUuu2skmHyOxAgunFqt
6yA20bYzWk5npLYmvg2MLlduQo8qyVMh3e1Lh4USMwHkxrDfiaA4COnfkDfhfMquykhf6bFW0m/u
jarEp9qR1UoDZ7iHGYUjcQKFk3Gn3OCId6JfBtG0ywb3Utk843mH4aryMkKze3+Xa+ONQDwwX/W6
9kkYMk2YChLZHDfffasHax3AV54TOj1YRHTecPTuqtzbOREmJd/BUzGMZL+l5Sy+6XApFF9TDTBK
HObbNvO3kgQy2PW4VXMgqNymmj5nVFQvDJv3mda/uEqtSTF87KARGZx72SAuVKcXl9kQVWNo02Ci
7JFgFhuHb2Ps7ksx3YHBY70DuHQItnkY7lyU44PVbKdRPDAJ2ouav0geq4MexeDd2HkIhD3Ud3VH
4g6xgTE6a6RHHFXvQ/hc5dmGD8Cx9l9NB3uS56wrG9jdaJ76bjxUvEVwJ9adDZjHZQgHjY15AuMC
5niBOuo2UXFkEx3oDo+RVV6Nsd6EmnG1A4mdMmY06FDRevOYgplhZ/rse+aeMezkvqaJtOdu0qKt
zGgvtYGzkHazpu0E2bE2reGpmPtRomK21ASfCaQDiO6f66ramcW3wB/OdUxem4o95tzfUIZicKDV
Tbxb73Ej0AAn1aOrXqdarMxGocH0dmJulXt6Zo3eOaGHjudemp56orcW9NguvXY8oQCHYxOLBOdf
Vj6mdOWl8VhSQ49ddxno2SddPTv08JF8bZq7yr+yt9lMGrnkM03KwciLS8Zf1XMASds8dIVrruIU
AqCiBAsn8RbExt5limAIwimic85CUmPGMDFr8PuQEHZc4cwgRmYRATOJcGQ4QUFyGqEwlUwtvEru
Wgdwbp+dp/41beyjYsaRMy5Ror1krbEpAkWNA2DRMpoH0xtfq0EDQlKQ7sjcZGJ+4oeVuxiQl2Nu
AwNCPo0pr+gSaaiGneKHjvZuPPHRWpbRPL+6+WilUzTTAdpppRm3wWR4l6n70dSu7sRosSUymPQZ
PnN6nQWPXKx3newvcYpY0CQHWkUCKspwKi1T8vEo1mXXf8bRGAPjZyK46Xq57qf2RZXuaZTZSfcb
Xupbpfuf86Z9BMS1GxMsoxYqg1oOFJMZZwUDtqA5NnPypJZ/6iipR6876ZpxTyjZfUU3p3sUiX1V
irln4uyaHCat5dZPhA4piSguRcap/gyy/SvjeT5o+hFFMu53RTC9ow5pA0TQcfieQYGMHSGcQZet
wF+c4zKFXRJcnZQ+VNlbRIzLHI3j/M9W8ekIV6z6FK+vC4J7VmXH1O1fIjNg9VSu615/wSz80JDw
I5AzOnQaowuEtsLro4gIoK/sFZ6asT3mBDZaTUdsSv+otHZVIJOpLBa6rOfWpRVte9TxKjK3Ircf
NaW9qbY5KjO82NpNaRNLnzQ6orVkOipYNIlHjT/LLQeqxE1InyELxGDw5qFcdFtxCGRXLu3RPaDX
ng1A5kavvE/I8S8W8lXP7W5TMh41l/5IkeyAWRmG2bz8svp60yRgo0yX3wrqVeGqo5q09aDVq7p+
q5IvEEM26PD48zC5DI8sVyM4OAlAXRaSfkv12LL/qxgNMEIna5XaLyqCa0AOp+isc1Enp6q1Pkxd
++qQcw2+PXqMs/DWCYJ4gkbyeusLTAT+O+7rtKQFp0CdRjy0bZo9AJ3ZS92/s2K93SlXX7eFdh+H
NVmgaO1YAyb3iTnRfmtkAmHksjtyEOj3WU339nOrV0zH4lXZIENSoMT4LXMEHxJZbLXblCn5PGQn
26DLqk3tRFu2Ku+y7VfkLY2Lhjlu7dMHiXQXKhbLf/X6TQCHYl1lsV2bg5P/2WZtFf/Xv/+P4v/N
C/npy/xewwHMpYaDS+S5rMV+r+JwHLBZYyJmYXaY05W/44UID4aHz3RLoOcXFHi/TdEIMbE9x0bD
h5IGLc2f0sMA8P1pjCZQ49iWgzCHHkX/oYoDAyTLWJ/sfcFJqAabWxOMIGp+sLEa2RcBdizDTk5T
hn1gIIFrlixPeoMolUWwHj8Sto7BUo1fpkxfjWZ8TOrkbI410SfyNdAG2BPRFzK3skXa+qSCjSkp
aNOpo8CYCpziljOe3d5bEwThvElEZFRCx7TqD1PMQAS9d4Eatk83IgyNdR/Y+cnH02ZOalg1KtNO
doSt3LGgRMmkXkWzKDXM5WbMPgm0qhWaVXhYGLyT9VTetyhaQ4uHlJDzAKUrLxOJMjsa9RT3KTrY
fG3m47k2oD2gk009dPLWwkc8O7iPZVgtfdU9lUH6EKOx1Yp05aO5HSbt4FHzpMI7mvpHEMhjhkLX
YVYkUOyGtnhOu2hToeQ1MMoG+ICyj87zFiVq3zp58tH+MqtaS7TA9SwK5lzYubNMuEcvHBcffqc2
PSpi177GaIpdP9x6aIwbtMZhliEDZpajNcwK061joklGm8wsfVVhWsCpuKvRLrvEFevZXeug8B0+
JPpmMuJ29vQAFm2N54UpavUWW2m6bGZhtO1xEIYpqSShcR5hO8pw+miYPaDHWzWzuLoznKPBSmvJ
4PVVn4usoD8aVv44uP1C53xximjVETVqhxMctZFwxulzxoCgyuW+Y6zR+COdZ7Hq+gCxfgFxowbW
gvuuscc3ln23FHhXoLT3OT601bIrzc01IbDN9weAy/ya/mFzqmbAGz14lY18NT3NR9aJjXVEOUS5
3hGhQq7FuGqH5J5Z9zYr0jsmIrfWKE4QP3dscSCeOC/WiNiG8M8UOkIsyTDGo+mV1jZmlzxVTHRx
lzHlW1WGccYQyTZsMm9Sgnr3v42wzRWgmS5+igBMUvGcQ/dbQP1dxt06iJ467BiJf594L1b45FSv
Eki7qRtHws8fR1RAOCsBx+l3EWYTu/6s12LR5fXWbr42hCPnevPBEn7D4bJM6/7GFNlMtBtBaeuw
7i9+e9FGtcsQvs/y/Ex+5AmIl4J7NjD4IhPD3bbbhqV3ATV8ybJp08qHjh3k1Bur2LbfArM+V8Lb
i8Z88KpLZw+rrPnmduXe0tyTPZqbTC+XGbwwz4BgzbLOlO1bgBG7ZqxK6LrVULFhwtWb8oFwMy7e
h2yec3vxym1eu8Hb2iWaJXaGjk5wK+jqqeu3ZX/IYxL5OGzi9OZJIK2Yhhusj6l10d2LgA1ssrry
cII0497X96JFQWsZa13mq7YrgCZMmHrh37VQT9LhpTEZULQU+D5aLDJgIsk4xo0upJuHLXIWBw8P
JqmSF1iX7jVrvgSQjbqxX5ZEWpc0YLr7ibm602IVGTEnaaXB2RKiTVJUlGSOLoaI9BrSiAhN2BoN
WapVD128X2YJNi2cKWNbMPNDwmIZ7zmluzl4Fy8iyFDTIWEna7v5kictdi172Vjx186rP0dGCtSe
h2CA4VbKgHEzCqmiZLktC+/zMHorVirbPFD73KcAR48VUAbncXgZJC7nwl932NtNI14H/VdFB5fJ
bJvks2vdvUc/tPFCUBCm9hKK9OOvftnrrKAYp9jYC319nqj8YxnN23/8W0F0Cqz86KeN2Y9f5fe7
nvAwEM4WU5t5Jff9XW8QVOY4XOvoLPU/YJaZ2MzjHGyELHjmCuS7u95FQsu6zIHt7xAO9SeUNDM6
8wfxq81dr7My83V8jvgO/jixqTthhJVe2fvMCXeFjvmcaedGucU1jYulytpLYBYfkd5uu6TnefEP
rTW8eRPZpT1etNR9IQFZWxqD/Nzy6Z24dAO3hZrwJeKzbfIZ9/msW3zmu6Z+HBv7fbCyzQj5ZODZ
yHlGBM9K3V+7OZM54Rlyic8deabA1EAXC2ZOJWMQY0a/zw9gjWmLQGRBXDpPZ8VTKkkYIX0WDI9/
7U0OOh7oKEmXIcq83DgrHndBDG47P/4cAxMCs5ZjoeynF5tjIuW4YFOxaI1ya7Zo4lYjB4qNNtLI
ooPbkeEJ7R5k1yKzLi1nkc6Z5HM2OepWsJvIOLEAMbtpvgnCcEGJth+ifBtiw6SR2UnOuiJ4KTj5
HJ9X2jFuoUGcz0XORx+nH0iNknm1PZ1lHH6YYAlcDtWBSiedD1kblgOHLmgMIgO+GbxAXb8YHMw1
BzRu87ODTVwpc9V5JATLB6I7MHOpi1Z4F4tj3ncYBHPsRw1rq45Y0Mj78JHH5lwP4YR4sr2ExXgp
uDymInqQ1n0qx5vD1RJwxQRF91Fz5Uj3K4vAreAi8u3PEr78yGyr4JqqkWZ6XFsG19eAiMitXnv5
lHo0zFeDvAOjewpTtda4/OYx9di5Zx9VRa6eEtQnNYJG4X9j0bZMuD+L+SKtuVENbtaJG5bZ3jrh
xvW5eWtu4CiJThGmcwvtbe96L8wMKEgHUgiKE9ivW85tLkJvq6vsnm4O4WsZvCcBY7r5/u9xNc4F
AScfAEj01u3aJ3hP6h9JAY2KKkLxR0xXu0qqi5kcTNP6nlF1FFV/M0vx5gzgMmNB+8vxbFCrFImO
dQFamNns52yyiZomoLZxqHHUHKtOzSOofUZqIJNaKGtj4s+x/FFGAp71MuJaKh67lis3no1tM8F8
wOnm4Hgrcb71qbEvcMJ1OOImnHEtDrkaQZOHY86M6nNaF4Sr9PF67IwtpRsLsODBDbGDTcVNa70D
8vRjY3ZA+5tT0xiHIMekXnGFEnBkwIYw2O1mKYlfdvKp0+HwB7W3lrp3dEREh07AZo6ei1ElYFAU
XgZKL+FrJ72nYI5q92oouXXRhIWA8pw42im42jqasT5D+w43nd59im4VI+C0GwG6xKskZk8UqZVT
MzmcqkNRkNHr1jybY01dNK+UjNHaVAm7IGILS9GsBao2LxnXlqdW2eCwWE9gUFupOinUcFZbHB1k
Y+Fok7kmKX8l4Xk+kQhqR8Yxd7XHM+8TKKGh5wpIzFVA5Mpm3YJ4b5yHgBtUsSRpWJVGEWYaJsvN
iOdOfsa4dhclycWkva4s45STNrXQUOlp9XsahM/z9+KnIRsqicQq7r33LjZWBnntwuXTVznLxG9X
Qd+cRgcwlotCliRviMEr0w9nGOnIPLS68UNkOK4+XMveW0wEdQBdXm98cQp6rTLeO7W5Gsr6Qc8Z
qmr5lw7XC6onayv1+OA4dU6NOjCTqXaWF9w5Y3xv9+Ler7BMgwmPA+foJSDFvWyfCy9aFpLdqR9V
d0y1Fp3lvIrS25VadV+WBZSKYtlTAqkmPQ/SZmpn73NE9DRY/5e7M0eSJMuy61ZKwGtC9essAjRh
8+huZm4+Mio+hX6d53EDYLEFUGAhAlANsiHYR+0ERyMrOyIjswpIkSYgWVxEZJm7m5u+//579567
JjriJVT9y9izkIO/evXjcqlgMM6Y/LVheqygHKTRg+HDiQMnpct+n1jqPNXkXpi3Ue0f9CBcG6R4
h7W5KG0U7+5H6EQHHaisMSiEyhZzOC6PJlvbEuSb1ttrWXtzNmnvg59RRWN6Y+1VS99Ne7jphjeL
ftTMzqHE9IpeEXDj3B/SPz+5ykVyw65IYGwxphnD3+9r/td//pf/MTET2EP5v2lsfnyZb42NATXB
Ap2gYhI0mCL8sooyf4KFitEHKRD78ols+g2bgDgJyyAbKoHj71cKYZZWtDwqQChmc7zcH+lrfod5
imfRYENm09/wfdJBfb+J8tyhS0sP5mkKAL9I1IU/2o9RTPFuRLzOJV0E8FFHu9WJUU3nWrRKlZdm
dJDkKbPIG+Yx0MRYaZ+7/FL66rposB2mNu1HzU04OOrqRVOjd721Iey6J2WQt07x5iXdro3SM9e7
ZY2a14q0czGCrfa0Q42/sAEuZSJ3y3F1zJLqBB5nJhV1Z2KTj9Mp2CrZajnCYEStaP/DdGW2ylry
YZY4zkM+3BEf8to9DQzTez75PAAifR+1Vzis7Xzk8XB5TAIeFzO11hWPj8VjRA17HHmsMsebhSpJ
X0l4cNyPiodPqY2FycNo8FDG08Np3uLq2xNmNrfrdl/wCJs8yllEB9Bh0gAsjFBxJA5H8uCThHxV
p0oQURLAJrwYlIiUUpFRMgZKRzeVEEqJSknJKS0IYE/E43JGWE8dpUdaxTGbalE6VSVBeXLQSluD
sx9hUHmUL5Cy4FQoZ5S1jvJGEs7CnupdQ+EbKYDtVAkFJVGjNA6USJtSmYhwa1M6o8z8UH1tblJS
wbBtXUpsSam1KbkhpZfIIWw4FOOAolxCpTGTpZfUB0BMBCFYJIQyGOrQn1LTJbXdnoq8ORDsMFD3
Y+q/X76WAYzEDJJuwflgd+EiVqLbypQ3ivMOyGfW+90y4FRpqxaCw4B6o8aOcVdz9iicQQpnUcGZ
FE2HU80p1XFawahEYF2hjUUZ7o4TbJJdYegwWAsIClST8l5x9XXJWwfOZlninCG6daehOjd6jYlN
uUCTg8IKXbrWWhemIxe/KM8FunVhMypJULJHNKSsVObwxQlzp58pOZ0Mc24oPkOg7pWH68DVeIl/
bhnSKw3tE3PBfcaWThvve5TSbO4GgRWcTV7JRk/twU3iWtGmVZ/J/MukjVPZAYJg2A7sBDt2gxY7
Qk/zaHLcNZuw1USz7Jz+WLFTJN8QmkS5GsYi4Xya1o7TAhKpzy0ju1uNzWQDWshJqqvFxjIfm8fU
KrfcsbnKQq9is9mz4dRpNk0d/kdl2+vCQHQzLUMt/QO1Fo935+5SldWZrbc49UtIFRI1VWn1yONP
UBpp3NkS1uxuSpq9sOds1W88p7wLSe5zRUTor4AUYI83BJkcc5Y7YkRtLnyCeUeWJc2kAFmiGjz0
fgMZy2hAL6tX336Oa+aFGQqhfDhVkuWW9JZu1LyVxXAfKsHW0LXVGLjjwujjVeLRrOfOym6iBS36
RubvaZ02MwI8sIYRs5t34dZv24tfKYdQFJt6LLcOZi4kbdgYupUs1L0v5WNl8YiksNI0OezTlDsa
gGayRsSigNyGEy8PTaRb4zZVnbmkUa39Yc0sGox+7W+jbPxouDx1/UDhgkZsQiOrO+sxcZV9B3Bf
8svWhyd3rOYDW3zp519ETydsO/NoBKbOEsyACOMZ7RJ24CTuV1ZI5meRxv2q808mlRHvwAHe0qR+
nHfWu9pF2InTlZolx0Ib54Zu3PgFS7rK2yLNWdfDUz0wdoKgCr/W4DOl7xQtvrVDQCNGFkPa6IFZ
ezN7CC+O85hgeHIVpjkGizWwFcPQvHcjGibhV8fEVtGNi6udgNFpe1Teeoudooamb68Uz3mV0AVl
wG9V9eGw8SWHlKTK3veXwNmYsWXchvGIdFBm/vTDFFcnVUMl+g8T27RZ+PtNx1W+on2Zo0H+/bbj
hxf61nagJcb9y3YCLOX3bYfxE1+cQcrfHEt88V/aDhYkLnpgF0K7Y5A1xZTj2zwFizEIAfK1VCEM
6w/1Hab5O/OUKR2L2QzGLB2k1K/7Dj7SVspCQ9/6drbVcY4kuUacQ/2pFNquL65MG1emlSNEo1wq
wrq6hjPvxZdUIn2J3KdQ86gysbLoMC+wxCXXwuIDyWcuL4wLjsR7XSGqo/XMBy9zVmphPHY4MUjy
C74mr7Vp96gI+ZB69ovTpv2sGtpd60TvIYbKeWglF+kPX3GMJm4J4fk3IIMZ12b7sR0Z3ThEmPQo
9mDkhgGmCFnMWr1bxx6b0WgYyStx0xvHa4NtmWuLKGer0nnzRI74rfyzTY4WpLqLEmhH7BQXOVQX
PPvrtjTcRYxskDHIyYwYGSv5thvbByZOa7d5yILsk3moyf49XxeA16HZzqoGl0uyU+t0O0jUvmjh
crGqUCGGJoQepB5KM8BTIDE7Jn/voeiQ5LGQ9t2nCilq7FgfjsN5hJK01IpDxn1xqMUdM1nQJQFK
FIGluDog4wavmyF9bZ6iBN1lRTTJiEbChJZ8jfimHbyVob4tKn9dTzDH5tGuUPIRKy6iapvExqRQ
xOwSbqog2bvM2o1GXQ21+1rKai09a1Gb1bYS3J68kC2UiVaj2jkkROU4aNPJNtw+6p28mBSsnMKV
xdN8oaVpFfGtVZu7khKX8hnQan8fF/m6GZ4mxCIcf6Td/cGkOpZUSY1qOVI1NaqnkX8M1FJlqqnU
1pL9jEOtjam5sUe9jeQaRHa39TipfNBSGlVapT+kP5+TPzmZZb9YHg5PqroxPGmJtump9Unm7WVk
YJjFGRf3LKbQV4ItxSbcfSRQ9/WvxwbnR8A5knGeuEq/xTlAKttDyWmDzQdcUbywm9GaC86jjHOp
ng4oyUnlasNeq75UVvoZe8VBqAn6jGpDjsyBQM9bU9r7PM85a9t0GVpFw0zuXUkG1Mjs3fDoDJW7
NjuSMjEorCIOVGVQ71H1vJWxApS9XbJ2OnkcwAkHMWYqCaesqFDBKvuA42nk6M45wj2OcnTzZJNN
3tToGPjDzZjSyPcKg36agMbI76yesOW4wwdrzCBULjyaho7lIc1qb4me3pauoqS9cGgzsqnfiGk8
yAVFo1UO19FU421tWpsBLVesnelvloC/aFN5g1B86YF5IrSMZmoSg5WowvC+LRUkUClqMTV0NnXB
Y9dgi8K5PSUmw/5X0JgpSEmZjXl7nwUSwT1zBzVahiotRJ0GAGiho1ZDIn9yohD/d4SpPj77SboX
qNtkwxOnNhuZFGQN4Ze24uSDeeZWkXkC/EOIRRaPXxIzqPlO8eXlHrgQ9HTjJKxD5QoIEa2douhs
UMTKkjUivLgkm5gplUjRAnYo9fBnImjptyg7gNvzf0HR18MrdVD4laX+nFsmk1KxbVAAVv1DP+JR
hqrV6fmajz9tiRpuMM3vIvD3M2HR7DnGKe/c7eAgMHLZD+ldUC6E2q9liioaWN3wUHiUXaAhO/Td
S2zoH6VJaFufvGvRQ+IDEWB3tYZ3fkcCxKpPsx1TtkfDZqgQtKh1tTGa2RYPWKWudDbTM0woi7zs
rnEfPI4Od5uwOdZtvCCVZ2OikYOZHLbmSjbHsiGBJ/QpJXnn35cp8guyDFOU4q7l7VAiLjtEQkVR
Iuzp8UxZ+6bRyOW8TcfqZNjR2yD8VZjo50Lvb2NTO8QFo8lEvPtlvHOG8BikwWvg1As3QLqV1ZsO
E6pMmomUvmrc8a5qa5A07UJjC67ZyVG21X06ZFsrIP4zD1Z2ORzITiWBIZe7blBeZeLwWepwgGKZ
sxPz0PfePgtb5qE8EiA550Xl3bKH5NOeb4MxuFMzGweXf3E6b6tW9nqAk1swzh+7iljYaCvkeG7x
589iOj8/DkHbX+wgXdVecOjT5E4JVbwTLoFz9JdnJ3JuTAHUXg2UtzBzt+ZgYP4fZ+1gHn3v3aii
dS2rM4N3buSXPnBmOudWGgss4uk6HeD6QpzhHs1hGWMBMtP8Tq9Yesft0Ugk0gLUBGa5AqFApqLz
lOfWpxIpO6G42WzUiRkJqxq83FuvR1eYF2wOaxafANuDaAHl7Tlmi9ryM4mW9Tpw6XVjM2od8qWF
rr9PqmWW65Dy3FXbGJ9B0j85hc8RkhxwDzOhbpgg4HrIK4IK1aWiWMQ6mbuUsMV0bJ8FAGIk7+Gz
ykEhY42hgvxEangbFsptY/tLJj9PHQ8kC+u7GrTgyCGcZ9Y9BpRjO6YfuKN3Vfdg9Ix+B3K+7Vwc
fN+/ZYn12vDEJh669bazrjmZYr4sb4OGdXfrujdZ5W9EHN1B18Z7oV29SrB+tJRnnV0QfOSPdBDv
QaS+/9k7Xbgzqml8da3hhvuH47UbXwZ/+Yrs+nG49psX+dbl2mwMdbo/VD10k98P1wwLRg+WOjKD
fsB1kciqEvPDLvE3CiEWNoK5m3B09N7mH1IIGRYypF9DYEzsbgKzH05/cmK1SUH0nc7bVqyi7qTK
WHjwWF/kD52Mzlg4KPFNs1XAfCRlfIPVnfrB1Nn+bGp9VUbyts0QSE6pn7nKokf1SxIo8/Gzy/1z
ZMRHVyXxgTE0wmWrtfd9EayNqL8fvHYDKPFuIOHMsbklO4QORSQ6T3eyqmBQ8Kh1+gxj3GUso36N
RtwKLwb86aE8C9VeWZBGezoCLH3bMnqeJNdcBWg7OF6z7stQcqE2y4NVfqk0rBgRhFCC1uwCuz6U
Uydwj5yNbEV1IkiRWuvNKuktIBTSuZENq/7e2VoYPXSjeFcCfxlBohmb8ClqWWc0jn3flMwUPN6N
yH21negD+gjQE40Nl3JWY3GMguQt6vixq9iA7gLu0I42I2svLP6PnV6xWGPaVCc79FrzqhA+aGum
cEHx0PYCXEayli1WO2ntmIReEiXZWJyqlglDPxy3hZ891IhuBUOhnH2aZ6p0qgiv7FtfYK91H/3C
Pxp6etRyhz6n2Ntjd0y8lzRiGYDbMB99RNPhwjOKDkh+8TRG+Tbt5M0k31TReHVovdQWQ6/3Vf3V
v+JEO9Q+prkEfRgn8FpHL1bEwEkyF1IQSrJADVl0Iuya2Ub9LtEhZGzlcEJvevQJAp0C1Nt1gm7B
DhT495/ENC4T7ChewcYPlUOK2kFB9TAyTUtRQaAtJhHXWMfAYxpUEtkklxjQTeSTgGJASaH08HGG
xFxHZABEefssM2eXFKwYyhKHS/pmZ0g0WXt3rL/rzF+NUApnwuPDptC99CbDt0zih2NSW1vFErHP
zpoGufKUTQPdycgsJqwb8wwzVQ+FBwE/HM9SiHnNRDiM4rPQml0xUlZ7HPKqu1IZIgv1YjBSZiYx
UxKb+ZdK5R3WLSPKoF+2fXWs6SB91OQ1A2q7eyGhFfDiXIPym02T7JqRdjjNtpXBfswZdkd4Eavi
gRZqVkz5BPgPO94+PQchPCIYZ5rIZYS3xFfUs6t5bLTU+uoHGkh7nr1BOwFaOYigmhaEywRvK/0n
RoJoq5bRMhtyomfks0XqYgCq1WzzpU7wFoD3Q9cpnwjjbp2GN0Wy+xshLSmVuTRtdr9OvM9TuD+p
f9/FKOyFS6wW3GvVXoTGyaEpEmSJVT4HVl9vQ4zv5W1tMnkv76v8zhf+Am73oSRrKOhBbfCrK0Hi
RX29brX3mBs1K0J4AMla6fqjTXROiTEv5gFF0+pr4dJq4hX2CyZMNs7dagMEeU5C20FBrlQTqCKV
YBPKSbpcQb4stoIoaFS92C5Z2SMBatV+lSb9Rs0eTa2dp8TEmNhl0wzvYcdvrYUsmhL5kw0bgfKu
SZVF0QfrsdL2LXFWds+1dEAdD94mJTEq0Lu9UXeouAnb6tId8Rpkv/jHULNeWptVAYFZvm8vlIQo
oZJdNa0ESudzEMhXtw8r+GHRWuvatYdCMG2LVVBVJ7f0j1U7zlTApZ4onwI223j0P1x35xqo0yi5
CKvvM708RpOsOTuPBZN8jTGrPkA7HD5l+YQnuIivWTPdKOiR/XblIuXPHfFUGMOq4MoRtlk46zXw
CLJf9ZjnvgZkaPlRKtmqC82dGmm3pVRwYCMWIQL5OJrcUVDioXGllkE6d16ITdx53H89RhgR97Cg
sife7ONoQgka1RkhqsBKyKd0uOgoxacJalXADqQ3I50btD3CeDlJrnjJzGJIl+eHxkaPgXkaouuC
aXUJhSl9ijp73vYlPgfYHbG3CBxtLSxj1dbPjJznLcHDQLXmozvd0qS+DflgdBJFfqRuDe19IMRM
i2505YUKwzUGQTYbesya9F3ApIFYVFub23ZCuE7vOEzxE3AnI6PV6FDhEjGJZXKZlZOD+advm6bd
HipmRmP0KozP/v6AcPO//1vq/+XGbwZkV7/pnH58ne86J9UCUACLgEbHQLz8bS05/dlw+Ed0WN9n
MTIfxFJlIrj6+d9+PR+k24JNOMmxadf+UOfEsOM3nZNAaubogiEhipiJw/p956S2Oc1H3xtbr4ZC
56pnnfzcOb01CuoEG6hnjTYWsu7C8bX1FPUmayKguXJvCgUrhv4s1ICdRANupI8ZMtnph5mSUdHF
Upshc0PrY6eXNAvWdu28FJq6qIDLSUgIqKzh6GXmKlbKvTLUCLg61AKDSohdAF0zudiugmsgXg+S
hEZAd+3Sr9WDl6YLBkxc64uZqmtM6iuuHazHFEYfMl91LsU7B00/qB/tcKsy1oEAddMExdzDUV56
oGX8/o4bzDIy/Z071bskQfGtWJuwL565u85c/DyTPziM1JWiyl2DJzWjg5oNXXSqWjjWlCXP6hmn
UuU8XCiCqpdS/bypDIbUQ5O66FEfG+qkn5LTQt3EKLkvLX3RJu4LcPFjRH01qbM29dbk+wipvxl1
WKUe51V6g218CuTi/kq6pBGuW+p3kyZrlXqOze+QUd8H6nxGvQ9JzInrEIWHvbTZjBgpKleBmoTh
gl9HG7UjgVHUZNIBy+v5lXGs+BwvFcfM2It57I3YuZt5xjGUc6NLx3TXNfUiTTKYTN28Mu/UuFmm
Ub1BJTcrdR2awzjDLaxmFZvdajH2iFU4BguOwzb2DpnF5T+/U4p72WjIu24V+7YNq23JcSoI+ojQ
xEXGqdeASnLoehy+XQPP3PeucBevRFbsNQRaYWfBjoq29KqSkSFBRMyVOt35HGSGd1rfak22DEQG
1w9g/cIcBgKpzalq3geufaCV3FhqzcESKFfyfgtaH2VlyPJSh9zDQTsukIyAqBSPielMzhZvUToG
Zu/wWAzaJwH1VkI5D0mssXtxSUzrQ9gBHBwa7LL2QO/qG9z5zCrYwHquOMcpCHUISLHHGqctaa8Y
76QtqrkByn9psfKe3DZf2EuBJiQ6OZ3ycubs3GdlvYEOgRo6W436be7dZ2r0lqj6DZmZ1wgLI1TQ
KgmXvhHc18NVMaM9aE6r9lYICynmai4IEJXLoqiXGoFJhXvvYz/PG+exG4GCus0bQW+vCckEjoo1
r9K2fpOdFCbqnhnfxMj+skFbKiMiIDufT1vgoC7nRAKQHBncR5Vz6YtxackHhjEkYXobRcHjqib3
ncamGWRjjuwSv2StYn8lX2isgp4+VNm2obdsCvMgavRSscZ0MvE2+vjYSxvSgL9SmViEUlnKAEeb
B1Q+dDdV5++DHH/pJH/oeNMM5GYajnvNRhJqyo3UaakLPgIolYhP9hCAhTFo9KKC96vqV6LUSZhp
QmY4nntwvIJ4chBUs6xxQfbmKLdTlBNW/NLrBfOS/M++LTOATBgWUfSajdD3/7Yt++s//5d3+Tf1
8V8WAaSm4L3+4Vj87St+OxYdsNuuyYjA+Do1+HYqIg6yNR1lmUbg8DexjlB/woKNJocZBwcZbOB/
3ZrxT6puaRbeKLTLhir+kAqZn/rHU/GH7/uHrZmiFVY3NgJymJ9tWi+8JCrEbpXpP1NMwpHiD3vU
T7qGWCxRbxVBv2pyv80A8zaMNgnmfK8KGFsjCEy0km/uEPEQRcD2kAiDymxBZo5WeA1BaHagNEeQ
mtn4KnR6xjRp523anjg8GaG9NNmnDY6Tde8iA8+ZI813wXXa2WNW3gd1QLvXzVHkzfL42rh3TQPm
c7hRMOl2XFfq94SoLC5v+ALJtsej3qebgZFpOt3+24uRXOKc+0z7rGPZCwCMNp76FE53Iw3yKJaP
dYckwh9xYmN0TsCTYvO12+HGa1+V3H4NbEq0NciR66i/tMAAwS4+tXWFIgP1Rhubj73GbT0W1z7w
EDkFuDh1JJdeS1RqcUfe6bId3Q1O6U875WLM+MHcFw7rLcUF4aenax/7T5FfuF/fMW19Y8vvzbI2
ewXXsnD04TWzOV6Uon2rghDjASDkQH3SSvmgO/nJLjQSM9vkxi7UY+5TLsz45A/NHWDwnZaNi2F0
1iV689pSYK6Ej+gYAJ2HLCeTCghQOSwiq/+AynG1KpvBAmlfZbgUNYPsEYN2FZxabzz23GzYioYP
hmnfGAaBB6NzbypjhWVXIcdAOQBtgkLjDCbudQDCeUyiQsoKj5aCA5jOAX56YmOfVTMDf7j3ZpRT
kIm1zlIO9JHQNz/XYBs1GW93BAHJ77GajDaz8+agKfoSEMzBcvp9HI1rEnxvhVvchFp4SBr3RqeT
M4lKwPdKPEMJXAeYK/QDPsnMqIuMw5EFp6gn3NKQk3/K0JroNaxvZoCJuOJ0Uho+jlF8U7olwku7
vAeZA4++q5nOele3leFK11MI9oZ3G9olVCS+08gO70K6oVljaU8V6aEzWVlXmXsp2tto54rgLagr
OG+qA58tNZwN/Gq2R3imoEfMeI1tVWs37aiuOMslol+Faxuc5FQA0/Hj6rHJwydrykbEqo8mgufI
D0jB0isFKZFjn1UFMApB4jAGj1nsfiF5MJ975LGZxvik2mLXltYmL/gQdylgdvYDBjbpZkpbybET
4VmdYynadFV5HdM7Kx5vszRmKeYW4ToZlHffL+C/uQfo9Ic88w+GdJ6qytmORrKyeggmKaRAuCcz
O1OuLAKJDwjzmc/GU4bvErGXTlcpEb4JSVqZoi+0KtrkWrStA/VMZMCqCZ4HO1yhc2U9f8q6Q1i9
xj6Lxg5zIjvhVLuU/YtFBt/kgpTPfgkDGDhDH6cLl9+VHYgH3zkLKo+UCgmA6aV0PhpUeOwo0aCE
yF7oNpU7M71ocYOwh/QQQ5sbbH+sgGfHPgE+X9D68xmwMNjTwwT3rczAM5D1hDHewWc/+TBjTuVS
0/dmrmyTko6Led+L1zHY19Luru8vdZnNfRgboXMvDexVDjCtmatj4xvQ+5DUvFUzk4kNW500U5ei
8HakUW79EY1WgNrOJLjSBSQRjA+Orr207LR64juaErlwEizrfEplDzKGfNUd0l/Jcgaz27/VBRdm
+XuWD2Xgy/qfHgOWdp8fwet/+Pe/+vtf/7H6p69/9j+zxWv9+qs/LNOaWPtz81kOl8+qietf1KfT
f/n/+o9/+fz6KrTKn//x371+JEH6yzHNAP3nf/tX5LyN24a7KOc/B+8/vAbf/fWf/2vye4wYzvEf
XuTbYY8Shq2EhQaWTTfH6bfT3iFn1uFpRt+AKPYXhYz7k+2wxaA5mI5i3eQb/kUh4/4EnZ/FAY5l
Q9XQ3fwRZa7u/EYhM33bqHCmWzCGZfWHG3CQeerg5bq3TYNm7zX1wRViXZgDqzjJTSCcef6UnCU2
PovMvLwGJX7HZeqtc3bLXqweYliWDWpEpRRLF8UCBmUuqAJ/coFUnr2reLCdLQV5baydo15sfPs8
irs8fEOvAPoaGa4JIka91MUhTB6S92ESFCI2XSjZIfOYRGL5UT5HZaNB0sVrb6+RBwNfFSgkPIQS
swDhjb3KcD4Tu8ZKIliZIbbfOUlesiURAzowwrKZHi5UNDfQ6XEahodQvnqS5GxCqztuRfmsVBbS
xo65z/xrZj6bzU6om5byNd5AN2dpbyRYZJ8qd56BA3yJmaTj5oQcinDCXxm4pzOIS8p8ND9N89N2
132Il0rN65PM+AYC4xG24IyVykqfLqd2ucF4WyyiaQtb6WRSgwPGguBXCThNc+n1mFVf6nqbjTsb
XLdJU1GC49JyfRVi1SXECtCO2VlbOi0tlCD6y4Fn38ZSVd0U1FCub67tj7O0R9naDnuHGbsICA3S
c+rqOONmGcT3GnQr56EM9pl1BMMMSEFHfry0iDCtFgFrWIookJVhlt+4X+wjjR5B5i63TGfu3wdH
5SbJloB1m/6qGDXTPb78tte0vdstQy2HpoEgqJjlLYGmjxnwjp4813yh1e+5v4khSWj2s/uS1l/i
mrCjudIvG94Koo1S7Wio7xE2ZfullQ+l2MZU26xZJvnRKZcFRiR+XHvbK83Sl2uahyUmH8JjXoe+
mQWvYWDPfeQ2HAj+FxORQGitCwsBeojtmtPL4MwLIMuu2DapOgkSvHfnPLuEzVvWICspz1rNp7i4
68hsCT46Q8wo00N7bLuHmMFFtJtExKilCvdLaa7B+0bijntVl80YOayNgjl1uNAuPBLJc6u9uCMw
fyDxSzXYq0Z5bsZgLoLjuOBGxm5zga/IC0iKeiBFd64HTEPWyFZWlk6w8TpQPnPirYjJzUG4eO9D
98TNcSxWBAC4O/UA0dgxP2kmwMTBqFy0xaeol+Q6tM9F/xqwFEuQKhGvV7IesmWDIzCbwYp2CCVA
WlvPWq1jaHWfEk5m9K+9R/yqfOMtIgG07JGq7Nl82RDeIN5D8IdeLd/Pag2R1pprEMfk7qlw8vng
MrgFnuMZD4P+YHevNshuhgx8tgscTfADc9Scr6nrXRx1VbXnDM9Z26w065OfPRmKBaKRqrrqeNhB
htpg/PmJWEydrMgA1jYs++QtYNXhHZoc7cqjzkpDNV7Qoi5KOLz6xiKl4D4w161LFtckmVll6sxz
rnwsWvnxb3UY/urU+//pmMMYQpIR/ledEHWufX9/2vuzHHTzL/+dEfgPZ+WPL/LtmMPggs3kb3dX
zqxvxxz+EvbTE4CNNbnx/UE3JaqzCtcZ6hIr+t2olzOQe67hOKZg84588w8ddNrvXWq//+mnJfp3
S3IzTEUjTNvbDuKc8oArzluRXYR+btUHHQC467PbzP1nvP8njMCzInt1DWiEJkI01c6WnXzQIPnV
roH2x9g1Q/yUeLDcByyuub6vkFdVLGd8WO9Kba4zWa5kq2yGKGAVbnW09AMkJ6v1l0bG0zpWBxay
V2zvyyQYdwANl0XUcU2+zYNlyKZwtNDQWbc5s0sNsVluLByKR5Kc0GwWgbcZG/6GKZDX20ywmhV3
w7q8leNlIMEGuAfya5wqiALFqUWjmCMzzyS8AnPuVmSa9AC/CH5kRyodKqRgllne18C7fDIKW/wZ
RnjARjIXtb1s1XqXY+CZWd4l0pQddwASN3RytgDcW1wY1aiduaG+y0NGWSrDZ+4OOngvws+lbh9T
9UP1GEM1Y7nRp0V9darj+0R7COQNWK6V1YKELcjAqF5S9sLaazauHKy4DKxn42M4soEjz48AMkl8
Zl2q1cy2uUynbr6qFKL98iTc1FwtZUkPDWITXZdyPwbjfcXGacUmIZwZ8FDskCUTUsrA2gTDnYg8
loo4jABbsRXOa+PY+A+11a8Ns1sKQinD+GIU+qwV3CzEJda7mVm2x9C9mDAfwnPmrTUYsLZafu20
iZ33MVreDaW8c/pu343lpRH+0XEkCNBTLaO1MLBBB9EJCnhGvjC014eA6ubqRz1bM+J4JXQDyacZ
LEdLOUXx0YRi2jkZ8wLJGBKlXW11N6okjaN4C0AhS8SaUp5FqvDVv0jzyD5zPJrKR+4wjBUfqpLz
QRTrMumB8pPiFhv3pkrAAqns68wylgMakTxn/Gm/CfGYjY/w6gk5HlcjyR6og6EZNW9myDoTOVdM
YAFakwfkswul44TSQKO5z62BsCCunVXvokkLH43CAYokN2H2HoTPvjDR9tZzw0MKzAHgKpKoanDN
VrPlOPa9V8I6V2RVLrupO7KJPMA21Sf+C0EtPKhckz4UF822l23rKNiFdD5sx7+0Nk9Cr52VcZ/Y
9Uz2OakN+Ur1qn2KeJJHcJYX8VJpCIeSydnrxFxYx7ZM92G/wkM3a/1kQyoTmo6cU45ehPSasn+s
PGef1iPyDbO/lsXZNe5rhkVSDggIItKtD4ohCZ/yMUyYYODsYKmqj1FCxAKxEOq1IJHSDfZOvaW3
v3QJAaZwBWg+6btMOuLeP0yW1rreRSJZd/Uk3xsPf/KDCe0gZYHDg0uYi07hHx1M4D7++j//08/x
KX8B1/nD8fTbl/rleLJ+YgcpbFf7+Z73nYbL+omLlKvhk/hxD6lr/K0rALfjVLD5vn65hdk/EZ4y
wRpQY00DV+OPHE7wQn+cuP722/7+cGpcxRTonIytGaBVrKAbOOhW53FiLImJv+LlflBLvHoB6Rlx
eGBywEpGZ9sxYs3jf7OQSqMkxpc6ND4tTgYsURvdj0iQZ9mV6N1N60NrGZhrZVEqICx5EMAL9OQ1
B0uge8GijhUUm5ZHo84m6JhnQzyrwnzeudqddHsqQEAHZq9zy1/13LRcc8RNzxUCCZZO5583AAzF
sdLFTU/v31jZkklduQwM5aS24hrHKGHCzolWYwINJRPkq44ZfSY7YgzErIG8MpyVoNiArz33XOeK
CXEk6/CctlcvwTFWRV8MT11L0mCcPF+luckFhSklwEIzJYEYYU8Tcteokeon6dyR7jVnH5ZMWFFs
WRGhhIq58mPmMJ2/a2i+Q4MMiXjDfeoQps7asZLb1oq2oyL3hcZVZlAJALYpRUXLeyNB1ntglIMv
Sh0c/w97Z67jSJtm51sRxo9GbF8shsYgGdyZZCZzdwLMrMzY9z3uQIYA+bLGlCFAcqfNEXQf/53o
iZqurqyl68cPtDEzELqBRm8kk8u3nPec59RVdR6T7D1TH+KRe4zsbvLCxX5T7IFjP1iIRAjAxbIA
QpTX2tyu+4uOld+jB2VGK+zcCLOrOjMuxoSzUQ2PYWh86VtrARl6oWv3mWmeiICQ/swXcZMeQs3Y
lUFw30lq5ADYfql1S5rLdoUjOZSq+9ash1kdaiUXL5CcVNwsOojANOpxWX0ojbdp/c1IphC/JGsh
bZTeWtT4Y7GHfXL1qSKzXXSCfbQFTdFVL64AVlFb3t6upzt17ZhaYNM+2V7lfb/XrPLdZh6Lj2m8
D/NoldoPvaSs5WE4FNYJAI+jDjYmMTSE5laEw3UZQ0LAc+/KVzktWW6bz+Wx45rE9Ip7p+mZK1Wq
kOQ08BY2w21ziBy/hGuvNfnSomBsDv7pNa38R+ESdsv9XRhLAOn752CQDzhLjrnWXJS6eZEH2Fb0
cWqh+qRJ3OossTL0chaAPjca9i+/OsVoowkdnWZswneP+DWVysAKDf5hLBqbOWolHRV7QKwU0bL3
sik++knS2nd4JlwX2wcTI5NmeMTmhl3dikd+xbvQoIaoBU6Lh8Dt+Gss4rHz3BxIVmZ7osi7mswu
3PCknYX4ujgVUWaTm9e6ePGnb+3IRpfaO7nENKAAX8FWVectjHlYrUpqEdghtkHyaCDrPJS3YeAu
NImPujzX/mOsk2jUA8YQTJ/RXQe1XHt9z1kGYbnTll13NQRXCse9AQD1kN3JdJb05VkpXg0AcWqw
LLqz3z5LubzAoI+N+94fI16AsRhjEog1AUgY+qsIVpTOl9ovA6dTmp1oX6ApceJ9bawXfYhmcXIl
S4898ZVM0AxTBczAJWimhRbOJH24SMpEI5A2UV7xfNrR1a2TqYbXUWMfO8mdw5nXGPMEL5jASBvw
pbWj264emcZjGkKJPPmFcef62iJmLDY3I/mtr3mXArU/pGPHAYaPxIzxRoT0BckdR+uUZKuU5vdk
mh/Aa89bxjX0qr0rQmq5srov/LJJVElchwO2+iKWlkliPUimT/wHE6hGVoMrcFtpW71mEpMZR7vG
NllFGdamZqlL8Tuf7wMni62iZ2SJBA1JRKxNX91otQl4x27fmhHFKW0Oge7edOFwVFoTcUGczF5w
HAiWmoJZ3mfKpGXbmNoKE+bmzMYK1ru42RPCFCIeFlrfrHtOL6VULFukgKCkN0fS7nPBix4Mksho
VEo0082RpqmU7FSx9OtHPUkdyzNmGgHwnpP94PrXbH5kpV0oeayrqMuOPRpnm+9shulBrRUnyLM5
RaWLsKHR68PWffqxwPLHfY+qNETHiTSgMtz8jgtgF5KqV70hNqELLV1IToP4UbTq7D/4gQi1mGs6
mizucY1/fnhXJwX8Lzfyq0uCsj377c//5W8I0t8/yJejkCCayZFnyllakCHQfL/e1C0my7rFh27A
a+CJ/yJJM2NGNGDGzPGJW/n342dU5OmV8j+YNO4/dBgi4/mdnX366zHIY+hHFeCU9e1NvXHNJI/F
4G2V8ZzHz3ZxTcW5plWzXbUl4RY7WEhbbMEXBP/CAlMYAqHUl7Xec8eO551S37uTM/GiN89mu6RM
RHmI7rKV9YSRp38Y40d9WCk77YW9kKX9AmN19VifLY9g3Iazuc4eYZNbpha902nDoilOEOnHMKSi
+bEmbBSuuJvgBlYrF9L2lIkrrYFCzp0rfDDcqxgq5hS8nh5sxPR9XSa3IZtPSr9s1C/k5OxFO9rU
mOWuPXGr2LdeK89Qjt15GVY3OMmOTcTNDHGcuZJuchjEFImopaKO4uAum3fF8hw4dU7bAv2LZYe7
nOGu/WMRunTVPhXtdcSfjkUXea5d1Fm+0gcClbl8ndM9XXjarMFv3MIGw23gsMfPB7ZZu9/nWojl
XgFzEWz07E4Q0uqN59hXsdbG6wYDptIumW/BErzYNWysaKYEeJ5bb6ZYkJUBVV8H22yVzQnnnCuU
Rg9KuFiqFUpeNGfwJt51dMCL/hjcukdlm95LB/VVfi0aWF8yN0yDxg/WoZmt3E5sDrw2c5PE3Mam
MvTkkDQMPin4md79CmD0yrUYHTMIn3fRPttYzQrvT0RMMQVqQ+cQZnkssU58lV9gCdxmt8nJ3man
ZiMvFAciyDKcAfpLsQwtRg5h8mt7He6UQ0+4sDppHufO62E2oPukkY44eV37m4LJefnqEoPEEmhu
x9TB1FUwF18U5WZVdgtTegjjDVQM3PVsuPf2ybhiUkEucRBrNV2GAaJLmM6BfQOy9PKldx2eg27N
FFa/NUhT4aA3F5jP4oeYEEZ07dI/BrUEtnSxUMOZ90aFa6lBan1o2oO/LN7gIe1qscn62So/j2tj
L78yLk6j6f1QrbsZl2rClqWWPFdHqWAaEd61IJ8+dckjW9TYhnuzzgkcUgJIkdlCwP/wnJpSoi5Y
VJ9sWmf9qzHpcYz7Mx2jteSMANiZCzMljfR1pV/0fDvy2br51qrIWva3OYZsHwBbH13p4sKYE2Iz
Zq8lto+WyGGCz8u4Uc2GGETN5yvjHGHy0N6KU7Wr1uOTthEeI3CM/pEwZ3r/btV3tb+IsVr4xl1r
vQqlOQeGQkMzswI5n3EALSS0pUBbFc1bpySOFSlL+nx4Lrx/1AoViTEfBnsu86yK9ykfoaXR6hac
0n5LUeJMYM/vF2joXQwUYc78y/QWY7eaqn85vahbfcWUPZikMeKDc0pOxAVPDJUJcGTIMpBVsbCn
EL6EGlEshO5Q1INvvKPAN1yq99JxPGomFbNOPlwbgMZpW91L7M06BS7T/AnSzSLS7irrusfUQm45
2RgmxjljlvePEUfTbGfjkCdigj8+uCs5N+f2TYhBJTl0E5kBjcip/dNgPI0lXplnLX5KrCf+80jf
aCgkJHXWUO0ILThmdnGVSwKjJF0ON3+v7fabafC/vymxIWA9KxPa2YTS+KtNeUI44Zb+SZUIA93v
HuXrrkzITGcXZaOlM+2bXdnQJzD1F0P0X3dlOl4tQ7HYxVEqTMOcRtdfJAr0c5XWE0vQAfs5F/ZH
dmVVQ+z4NmTGCzdUSl55SMOUPyOePurnacnY0ojdTZ8PTtrGwJpZemr7zLg0Gd1tzU1qQBMggLmi
LYJreM/Y0CoxR5hPvvkJYP6gkeEGsKDr/Cjzl3I8uZ41l6SXbkiImWQLBflPRwIdYbHYyIJ69VIa
GynrNqNFBAHp0BMETViikAbQys11GD6l2ivmmLWG7Ng18UNn73ySPKbM/Su0nyJEyjAL54yoFxbi
pa9DdUbMNBA1e8RNJlBbGbEzRvTsET9171FRH9ziNR761cgmnNnCiSe5tFIeI4k5soyQWiGo5gir
Fqi8JnkrkFsN6VNo6wdPHHzxrqDI1tV1gD5bxMys9ZcR1bZCvfU4wEeouf0k69Y5bM74IKP2ErMF
mQmgMUAHNtuVpR0K/gIuLa+4yuejUa6whZ3S9DxAdewrEkbeOqfLYhiKp1LutkNCEWrMyLIYypkP
3q8CB8VVGm02zO9CNT+mrIcimvqQmD9Yxd7MOuj+cKqycV7KKpUnFy8GKO4bC2paARch06SRvMZn
y4qTLmnwIJpuUvcELrnTg1VMJGMi31saISvNKfg/dmZwT2Ic5u0ys6hg1XXEVn01xrRpJMk5EJeI
g8DUQy4o4BqMfqsOrSN6ZV1iQvcUBUSuNDelei7TpESscV5mnKCUxtE9bzFkEDgNTiQeuVo1owvk
3aS4RcPapTKyMVzPUXptptsqBz+Z4Xx0GOKG/H+9gtsxT/E1aWO2qjU64hIuwxqUyZBpq2EuYm53
epDMK/OoaWdNoqYpJu3iTkAgecO5EpKAkW9i0zt7zB66iOEk9bHxhOVA/GA4gxCisqhjajB46YES
PcHEmcH0hH5DaMiO5sgCzkhfAjiljUEpVJyj1fUryx572quGBbehnYJjuGLWqyf5OmG6Ghjquo88
nE6S8Vxib2xG7RAMEJqRA+o0u4oIL5YjJ8u/1xr+b3S4KRQVU6xNSMOghPrXLQGfE8A/WZt/fIyv
azODKC6oSLdC/Vzn9PXGxAWcBRakMP86+Wu+mniQsjXQMxSCfHb3fF2Z1YkzbLNccwfD+vNHVuYf
r9A//OEfpWM37HKwBWTyU0Yo6q6sMX6x+nzYvH5yT2dC++3i/907g/f445MoXlTGrZfb+PIuVYWI
7Mm/8wzTI3zbVfXtnzFtPx+2F9Vnw0WAsDee+iRIWGTUApSVtB0Lffvrv+X33rDJEfXhmfDUiqLJ
eCbFxrRZAbOlvQQ+wubXT6P+/D3juwLNms17ohx9fJ7QbSgfNAt747dzOVxQCZdCSHWyOxdE1xy5
ZkaIeG4u7A0pPQfY3TJYWg6BDmTW33lzFfWn7+7X1zK91g9/sxiqwKN/EHOFnBKQva0ybCCKyc6j
zw3iEK6RHX3XXlBfvqk9fN5ys/v12/HzlwBcm58Io54fpJ7YztLSjlp708Qz6aHBUzVLzyqgilnx
BAMRaMvVr5/xp5/zhyf87jtLuIFxdskT5jimS3GsNB9Ukfidt1b9MULGF/fD03z3xaUmJ6DOGd+K
NRZOhPLZcQInD7frItgVwUA36+ihqfV7THjrCgpGPdGBo+7UUHo1Yi3LI+UESZB4a3VrAtnIbPtm
hGjX9mCwTaYqsFhn+P6vh2kvadBLs7RfZKRWfv2G/d5f8t0PIwCsrXeU5WyGlv5GP9mOmbJQQcf5
fQhYhC5PaIitr85//bQ//eWbnIkhhSHqq9/JPRSHD7Zn8AZ2zaVsH+XkUiM058GnXz/NFGb8cYWZ
jsOGqWoTEO3b34CfBzrxAP482pW64t3Tq3tX0NmrEM5l9GVy/gTyw4T7VjToqES7KSqpPPlesvYW
6C5yO3SBFItfv6zPXs7vXxdfB6ECvmfG+EO/S0rOR69K2doMiTuFue+LzHjzNeWB88YlsiEMBgjx
RW1sB3CNUcQqQcjcY3ztC9wCXLcBmM0UDE9getwAp6XkPo4DN1m1OgsrfRzo8Qjt9KbqcixmFK9y
LOkl1BS7v9XGZumOYHwrDpXSjR/Ks76WZhz79gbnyLYx17ExOo18GlC74COEHf27auek/lGSbzpO
TmFpOZUScnJGwGjr5KRFY3C01Aicaa63i7FpUJk01nSt7I5Wn+wAoK10WeaGrC9pAlsWGYm/qJEv
wk7um0Z+y0tkJQynDgEKJ/foCTSSVQL329be/KRz/HjSCwQZYtTusGVYGRFvKLxgKfsVVMvgSRpb
/ziEeb5T0ig4enFOcF7ONiBTlxyndoLu376MX2AKHKmdiPAN5jxu1u/GAHOP7D2S2jkHTU3SCmh+
if6hVFeGhnHAtbJjp6rXPV7P2AWdFbGcuwYn/c7eR7F3bRT9Meqyi0l3aSanWED9o47NMhsR6QaF
0+twjdhv2IM5SzxAPp27suXmoVY3ZWNzUn0NhTsHenXA1jmXE3kbV1QUZuZLV4cHoVAlgTHGqrqt
SNKlZAdHrQFpEJAz6Qbcf81JuNVczW9cT10yHN72TXRXxxEVNHSMZT5RwfBOMzNaWP1NxSYohb0T
4FP0MLm6erySJKAZNZMVWcIj2UOizTcl8qEdl1jQwYbEcLko3jBdsJqUoYZeTnCF4UEr7VUxhcWz
aF0k5i6RmusInEGi0A4Ydo8ub/TgBwfFargeGs9Nn3Joth3ZPdbcXFTd3od4eHzt2mL602dvboUN
0O+lrV+8aWQAYi+aK2V8j7nGqZMc1+Ulbd27KKD0lChCkbXLnoli7ccMOMeFqvXLsLUBfTxhlV+o
JZMsbD8DhFf1RnV7LiLcP00ipFJIBWXvKCD+XV13GlhLEehVM5TnChEZ2sYXFowyqQh2JcPvhKQJ
ZX2H0laX0WjxYSFi9WR+66g5qn0f77Sh7g+BJi2ywVjGrk+Mj6BHZAGHinFCVu9FU1JMkmCYDuV2
HtQ2OaQkxO/MoLtrjVdLYYoXodt22k0nEVepWx0MUkMFDY2HN4wX2R06seBtAOXdfZLakVUgR0hi
qTi15C1M8hSRbJ3lxpsJeoBFHZyz1gVUxk+PQFcKNEMSEjB9MEci23eS4HYr+w8S+pLVg+3O3L0B
r52f8VsX2vtx+p7Qhlu7TMFjy1xMc7nAtHdKm49OJqqt4T4a6HiRgorelK+AsvaxrNwNJXdBbIPg
AXgTQ2Igjefdl1MgJsBH1Fh7pZBIhOKvbdz14ClLk5KHUknWgdG88eN+i7ypcidztOxYZ8qr5l5L
tJn3ED3MdB2M9iopOgZffjSjQ/2tnV6opxtTTITicryubW6tsF9fVYGKpyl4Nm11UyfZauq6idz8
yY8oZU40BtDaZCxtEzDVVlytf73Y/+RIoivs1AQNIGDyj2+3IEXWA1/xOHpKzSpmMxVWwSfzx889
H59Em4yQH896I+0cuK7tTWbQNBVgpDYZ/T59/kumux15jNO/nsxxrn4U7L77t/94myX889tMx7+m
OP6aBPk35H3lXedWaE7TLaBMv56o/cs/Eez8v//rtz//99e/Ge384fG+XhV1+mOYlCHJickZ9GG4
JhsmLChukZCaPoDYGa5Nr4w8qGJ8diHx8v5yWZzmbp+jIBiNgKkapES+ZGG++ZS+fmr/KW2SUwZH
pPrP/8DF4/tTkK5y9MFYayk6Tlzx3XE1iHTg3FkJtxfyDBOtocbnR+7SFPlabcuJWUKpRArvBq4i
+OurwBKPdgGqJJAlAMsy4QBKElujflZT1hBPvs0KlTkaQlLlpsNWq9hdldc0E7Ceo/Kig0yHvzDv
ZPb1Tj8GfCsrJb/JVPsEbxEHvXEKkS/yyN+0fU+EqT+UGnMKV3kDhLwu+4KxXrgy5Km9KWnfXMt0
LNhJup05LGf0a1Pe5sLsg7BMCoAomX5XmpyKSF+DLSSUxsQrkEk/RxpdBF0TvbrwGbOq/eTVMLFa
qJiukh3yJqc7omg5+OmlYxv4Fst0LZXKvJJN01Hyybwa7rKGKnTDAl4KinAoa5y1d3Yr+cshr49l
pj9Jav1u6BIrCYFsm1/6mKsvbdYtSBWGy6T27hSzWWtTflCfkoSVXXKmkPaSZZNry1RtWRl9xCIf
8cp7RjDGVVsrm7jPztbgpzNP6576PoC7YC+g4EBVMvZuaUHLtileAN3Q183Sj1lkC+ypFoEQFZOx
W8YrPU/WmgKvaZDea7O4YcfD7SUrHCak7qXXxa6UixvbK9d2QgY/87QHQYOdhudDtseVLunL1GYB
NzzjLvHz69bjINBp4nqIe8rMIqZKdbCNKLsi/SP5V6kBeh4UXoNA2ExHPNsiOPBUU9qbl9hmzRSD
E9x9q3sc8mbW5PTMee9YnE5+2XG8KIp5qst3o7DPlY1vhqP6XKm197jqicQLQVu9sfLESKTd0DF1
ucMpz7XbeDJJDJ46t8LAoSmGJBAphCj3V/bQr4vRTAGcyxAjW75RjHiPsHGBOfUNB4e+djKPL1Gk
9w+gBBZVnK0qkd7BoVi0bUmrcrzzc4N6E20VNj1O3Ar4jSHZ0szmgB7fUT3wzNYjrSf6giiFMwht
i5EQmCQ4Csiq2qyI1bML/iiJYUgFEuPdTlx1ot8OHkHV3s63ic0Qb1T0ZeMV+r4v6ZYJfX1RolMn
Mj4709PZ/7ILFER6ZKX4yDt88G17URUlDAu3vqZrwXqS0FPwsUtLzF2vQZU+ZipAt1RvPRJblMh0
tnsdjIwIM0RLWdOdEAcYMdfm1seVN4d8NiHHA6AP3aEM3kVuUz8P6Sqpwl2bDeAbjnnFXD0jsq2V
54lPKmf2vaL0d22fP7jmuEYCIWmtuPdCqrUV+EhoXzwKFKHNRAujhXXdm+FGa6bpJnHwDISDb0k4
c4lSE+HFcTUAvKX00KdvNa4ugvqfmZ+FREtH875nIfGqgKlcgVMSVocEQk4P21fJyJ6SoBxRqqSZ
Jwo6ARNOAQN/kRJFjjdEq4h6pUYt7kZLOsWet5EhH1FGpwC1Sl6bmIGp0igM7U1c+zpQyZJOHV56
XoSLEnqEFb4lo3oThJZDMeIq65tlrjDDjrRFZymntpyuLXK6jc0hc1IQm06VkVayXtSEvqxhmAdF
cDB7uOhuoMzrfmqD0xt6tgoQGUHH2VB+GRTvXSuz4yAN1SG2inNTxG/IlBQ61NMUD3dZD2MED9Wz
LMR2IhtQq1w9WjWwjNS4bzObY6u10K18m5vMYO1av9EYRGeZuWqGvmfgibzepIBcA4zLhmxuSnt4
01NRziSbKs6/16nh4znj32N8VOGaIiPzCluIX54t1tlv//y/mQxOyZq/ebaYRoDfPN7XswX7DlYb
SzbRlic6xFcZGjVZsQxNB52kTsVxX2VoLNVo1EzteG3mRIf8KkRjstGI5TDO5FiCaP4Hzhaq+YPK
+DkCO70J3N6xc/EiPp48M9enJcgMyT+PhYd9sJU3gn3OwfsvFhrNbiTY9ReGGA86WfWZptXz0H3l
F4PJ1rgiFP2kqlOTeqp/sjw5WZCbHDdyIOBMALgp9XRXdEnNDx/jj2b1MWIUrgvCqVza1Iea2TrY
iZWEf1O497m67VVuZFUANK7UHCmvruJUflEaDt1mA/4rzUhUcEpCECDhr3AcD9on6nDXDfEgysh2
I/8dQY1u7qs6Zj5m5SQXkfRXkVUAtkvFM8FsrI41Qp8HtwL/4QtghUPFBLDGsxIza+pw5vScMmqZ
mQ7VzyV+F16AQXUBq2pEsNak7qMLlW0tQSwww12Z8wpa6ZiDHxcQ8gr3DTg1lfH20oWSHNY7apKh
yLgnI7gi7j9jnIWbx3T05EHxdUht4T3za6gJp5Te7zLRHJf1ILGVNRwdR1eDhd9Ux75/hJQYJzdN
l+NrzpCEoGhUw9539UNMk1xNkUlYZ/uEjJ2mseLbKpMrtOysXZWhfxea73S7zC0vOBh+ttazfD/E
+o6kBXNTeR7R/ymMblHRpJ6rkef4ck6H3tg/9K23GQ1YWhTMx/GZhedG6M2NIU0WBnsbWPnKa4mW
yNFq9Lw3j4vmWPvruqlWpWohpQJG9GLIWdFUd56cc0OCc9zfYEjecDqjTqzqdmbRndKW4dwYKu/C
ivjgquoSEAjONRrTo/aJ7q5l5XKTRk0F4WWuYqHtMxvPSJKQw9TKRZS624xskSw6ojKqOCWTgWWK
HqHXgU3G/DWSSkqn3OJwsBFl0ATmnsHndLGbDXtUUz2jBjlQhPjeWMuiBMT1IPRbuTqZ5E5cXETj
lIxK5E8eQanM2KnEpuCfMANUZ3HqLy1iVZGOa4qYlRcNTsvXL53yV3LgboV7Q19uCYC7BkZvOlSB
zbN63xDfos59URHnqss7HaXAJskmY6dKUHV6wIxEwLRCn6c+RmtmikW+igiK2ThKZBj3w6YnROaN
N8I7DtmrS7zMJmZmEjfTqAkrFGttBnx3TiaRtHCKpikUChALliQoKipOsIUIjojvc4Vcm9r1W6k0
nSyUzia5twz4qdFKi3EKxHVkGeZlXu4ScOT/f7v5B8wXGDFwZ5KKNJg4/g7reP3bP//P5qew4x8f
5csmY/wJX+jkcMHkYRoCvf7DJsN+wcBSIUdDW+o3m4xF0/l0oYSHMfV2fNhkmPhw4WRr5PINJ/AP
bTKf3Z/fDAqnF07ftYUfBtV8ehEfNxlD9bvY8k2JsQ7uvZZfkZaWJhRgRPGI9X2Mmqu40Z3WLRdm
ou4tSVoAOtVrD04ty6OpB7KjRdopNHx5JsxxmBul2FUyjG+Tq/uCvo5Zml88ZcvTrD2KEXPbvG56
9b6XLKdBAe6adKaJdFtQhTmjjGijJMbW9IoFMbZdbirrUdKv20I/62Bxgqi7F4GylBpBKAbfdZph
3XQJnIlwG5YV6VBZozFdOFz+N6JwN7raY7S01mnjOSZ1gZWNZSvNjJmv9fNwyGhP4DKk5q+iqg+c
Ij+FWBfbqSWgAsiLirAGnjkbsbznw42llreD12+aXMNG396bpb5CKLnNNP0uzN9HKtDNjIh6QXl8
op/7wFz1EGYUkHN8KsvKDB3YASv8JwuFJjGhFE9VpawylyIto15U2bgv4StHluV4nGlmiGqL3M0P
KtZIvTyOWkVg33rsOMJH8EhmntmwXnEDsaEQRu57hsIa4Y0dk+HWNiA9A99hhyfXrqjqveH5b2Hv
31R1/RilzZZmgvs4p82hIOCSj9Z1y63OylXH9yk9UPXkin372gul904COGRm403Yu5O4vTLZIWDy
cfxNzhE7hxSJpTVtJQV7ip+UqzT01pJpLgb2HMNEBW/iScBYGanEyTo74FqiraW/yfszvAxu3fKV
bfmbkB0tZtQ443KFaZLdztZ70vzU19L81RjaqmdX1NgdDTVZV7kHQACCYvlesIeO7KU9e2rD3qqy
x8bsta2W7HtojxF7sB1pB1vp9gN7MzZ8siJ0fiQ33JmH/rHui6NgNycu5KTs7hK7fMVun7Hra9mJ
wTR7ZXjf8xXrxH3NCaHnwNNxQxLBFeV7Jz2Gn6E86pm3a8eTYbnLFJZU7r7pHDuQVrj8+aeC40jA
scSP8yulUa/4XfITKeayUJe01APzCc+ai7mmD7hj5Kue8m70kve47Q8ywjU/OK+At+gv7AS7E0lW
7JpMiroEum2grhPOVTp3FI2a2CZXuaTB2eg4fQGpJQHcrXVOZVjSMfim87/XdeTfqMdl0u44iE6s
UgrIf33R2F+4Zcz9f/mnHyKSPz7Kl5Wfpkgi/DocGw0o6LS0fln5KXNCoFRNAy/UZ+zql+sF+iSb
0GRxMacpJgnKv678/FdcA+C44spRhYWl8Y+t/JNJ4duVn3j21BrFHmjjw/zuegHiCiZXUtsbvcUM
O1rdrorpT5Cwn/tF8iJXUUSmR3oawynNP3ac6bu16TLhiHuX75m0Vaz2NknD8yi6i0csjza/0zjy
m/CAexBdNpjAhnX3Jtf3asytHAfcTKqKO5Ej6HQVw/2mgZpsphFWtIqGZstkOAIORirrnS3gmoUq
6FSptJ0xFMkylH0PTc+qdpx7X7mOXDGX5rAN/8viNfJ7pe7mkVQFFEh+BjH3+DhPz1h1YVJNV3yC
GLOWO3/C3X+cRICyTY4jqoCCOhChEih5YoCBQsrt82SFrku3a9Ux7lWeXbtZKfVLjeqQTfJDMgkR
I4pEN0kTPRqFhFZRE5LLuaN5IUbLMnPkPD00nTdvbW8Owpt6GcaNSB8qg6WRXJY6aSLtpI5YyCT9
pJcoCCfJJKAgpLQIKlEZnn0EFhWhpZsUF7cDQmvaVGeEu6hpV0maTzcwKGzKalSZaReCaGm7tW3l
ZLbGhRUjYbQKM6GpmR5qlkL9UIAzPVhi7ZzXMeVyfeDEQ/IsuSxpgznVpEAF6KGr+fa6UtTnGoo3
tQVmOU8xlwtrF2mTT+5aN7tVYJnrVtzKSrGLW+PRlrRz3rbBoh/h37fasCsrKKJlPWCOibuHjL2Q
UsqCwAUumSDZV7bi5O1zWWv3jelSgKX6t5JhHFw5PNhmdJdW5Tk2Yupt6vGdLjzqw4HDpqGuzMyW
siy9GJ8TtVO3ZL3gOID9NkJ0WyWoTmNnnoQAn+3lVzVEIoseGeai4L/KBHh5Tf2LbMxhWG1CVbsI
KEL8EGD1EJ/rDkbkQlSrkJS95skPkeNUXWwlu1HW4AmRXzNSi1RDh7F+IH5zLgNMkXpeAP2XUy60
wXDfl+nJc+11rqPe25QS1IbL/2SUnBL9LcP+FXBqUgTbxGesWrmOYK9WUnyxs6jm0EENsE2ritav
bT+8pYmcOsqR+s4oGe86RXrFXXcl2opWc2tTmiH8NERQwP42RPjiFKvloQlN8ABCA9unvmI0ezHQ
s3WlXtRWd1RKc5tmLsWqdkvj4uRFKwbpDoKuOeerQzyk42iRRldR16qztNLO9sg5UM0fgUn8x4/Z
y8TfGUohzYAPY3n/2/yX//Pffvvz/3hlDPbbn//rDxH77x/m6/5BbMuiOPivItSX/UP8SfCfTsZ5
CoW/kaesP9EGRf6PPQJImsnI9Is6Zf2JvL6GWfdzsyC2zj+2ffwAgMFi892f//Hi4PmBV2ahoW2M
mCLXIZZsbNQH761KC2tVmPbRrydzuQ2h18Z3S9mt4cJyqYxsyTR33VkCiD+N9ZE5E5FyyAd4XTlF
we3j0G4Uuq0CTAMY4z+1HKOtOxlTcEYSLEA7Hjjx6YZHF96+7l+6yqNQNFi3ZN0n07ZpvPsw/3Ny
LjQEm2m7d7unoXpUwqMkXaLWpGiCExQjFpHuFeU5ExhDGkjiLxzGNfJOCdYwbj+ZXS5oVUSg+ZRE
t5b8nBeTHb91Wtva9IO/7nDZ1XVz0OPqShpHfBu7tn8UuoaZjIsDuVQ7mOzrtdN1iPvesmBoIyqb
894AIganXjhsAvUSdu67a3N2TNtVINAm7GRBmPsuwrdlMS8yAvDjpT9TtdvKU5xS19eh7q0z2Cr1
aN60PcStqMC8AVcjsu+13lxrLjYnSdm45LIVMewHWmcrhDwf/0wX5wucDnMDaGKldfflIDZEUa8s
aKSp0j3AN12ryrhHxdjFcnwuOPKTKiBkDrQ9A96e2CXPEBseQgOsklAOqnllDdcJ9Tct3ONBo+2x
zJ5DKTzUOd72gcEV8xegNhM0GanRJvbz7LuoZLU0MkriPlh7czv1llhaDn2ZXzNZuao7GaWKOjyD
jBSmv1jp503O16bNboounGwvi6KClZaMBmWPd2pdgFKol1ydOd4HwyO7w81YCIe4O8Uq2WKQvTUO
mEMenksJFKvABYXzVmvvdA3zBFMLnCqF04/ewHYM0ztxuRpFpUpNRrcUwSOcSah4YHnT4sQ05Kn2
hDaTTLTXhiRzJes3TWWc9SRaiybZaAAUKt9epqG0Ekh62HN2Vjni5MfSw12hzwHe/T/uziRJbizL
slupDcDlo/sApgrtO1MzU2snEGtI9H2PXaTkOEWqhrWGGGZtJHdSB+7lSToZHiU+9ZEPGNSgmari
/3ffvecO5cYfSEAo2ltfewfbeEjCcW2OVMI3wU1vWicDdjrbkk1LQWHZMdva+d5itxoBCeX4P/QV
Vb5tdVKAvQ29jIGDjXth0JjtSELpUwk4QRbha9GWpwHyRB9TDhZH20QxX8o022Wj91CkzraqTPod
0/wiqux1SOLLaHt//+SwRuEpmj4KvIE8gg7z58/402xx+A/GhON//q/mh4e88dPr/P6QN36xMWoa
pKAMTSc9/P2QgIeHWcDAx/DbduJbeFiamDtZXszGS4aB/37KMySg5zg4Mpg6foOD/YUdhD5DzH4c
En78BXz/lM9ImqRa0Vm7UtOuVB2+hhOFl6weOqR2W0lIiZTmrQ4YKeUxpOrGo5L5n6rvPKjGZ1lg
vzPUm5SOFBUpQCghWUnMhqqsWEBACEr08K6nS7yQ1NJQIoDWbD8qZbxNJv+LSbW14tF7w2LhDaHm
2a4iauszShNKNIsEGcm2GCJCs83WUx2AmZ/phWOF1daDjChtSAkyM5dBsxut9lBSPY/QckFeO6aq
s6MqfSvk+BHK/NAPKos7Axf7WJe0BPgvCQB+kkS3aZij90bKIpJmBK2WRHQKxqVIQ4JXqlsG2VJp
hhcNxhGFMeyla5Ikisq1PlCqS+JQ+q5nNyPWyqEx9iyUH4yE/GKfJuZWRFyz43a6CtveeBykuOTK
V79u9r4eXFQVf4Oan4VeEw/zR8mjxp8ptfnrJIJ1HgzgcfNaciiWvbrLDdDfrbeZSvIvmW6v7LZf
9xPFjmqtem6vEQ5OWgBJGSFJjV3KBAdKUrO1sgMwohMXPW/AX5hfVR+yAw7LsA4utpOx+MbOR4tg
rW2lMT3Ztref2OwLfI8wp8mpiUZbNTpWNkp+46thDZCBuS+mQ/TqseJ3hVYXy7Q1vqq0aa8cOnsc
G0tMKS5xzcY2UJ9y8jxFHO8SrwVUgzcOX4VHZsEKSYuSQo+C4iFPVTg5k7KpR3kxnOpaFTggqnZ6
GRAvoZvUz0nVawsnI1zkVPe672Plky8hRAT+VH9M45Z1CMj1rDjYVrPLgmQL/xlXB9ARUTpuqbVL
0w95K8y30vfmaN1cjXMjuuJGDAW5Ui/wF1XfHFJ4rqwtsBCqkiOMdla3NjHVDaE8xLbE5CdfQYkF
drYVSX1nKslScioButlOnRq7TOZ7kAI3VI/vUF+BbGE2wcjrGrX5WCfKrtTFQ2Ey9Aw5eezWvygZ
siAIay5KW6coXhrgxIumzTeGhFtpZQQRLIo1oGtUfJh6S1m3KjePslsnWrNRGqwltdjAJ8FM0l6R
8A5prKw6ia7Zpeoql+UhQ4UUFEJUNQHzRll2hXVEnD5OBoYOxdaPSRd9mmXAkW7hYKqgbql6R80n
F5IeM2E83pgl5iff4junJdtOnc5O0T6pNIIwsLw2TvhhpuptL9JtWSZHhrv1iBS6QEVFUMCpwXC3
9MyuB4qKAXYAaB6C8xLOsCZx/UbBF3YpzaM+w1/zSVuOkX/WBgy9IeS5WE7UptmImjSo5B6hdkcN
50rcdVXyyAjbrWWzMQspe3EoNlfK5NI2KQ8UyAKhRdSnNW756Z+0cdpIu8EVLO9wL29w35KgA5LC
Dopr0L4vsbf7Cjx6epxPto/ZA3saCbys36n2G9DZpV6Kox1g9exb/vIo8G/qRgflRf/qZN5y6AtX
LyBwYlLtqiIFocNGKJA7dkgtEiKfZWbpEsi+j9oQ+iyFlOwwVt7N7LAHRk61XL+Uvbemkc6NiewV
3hgAMqH6Uu1WRgSJB2f2SqPvNBztgwnBSZQxztDi7y75cYTP4V1TzmUR4l/PbO5b9k9XPT+/xu9n
ufkL09gc6jVNg9GN4evbwEaMDrXtnw5spjq3RXHQW4K7xn+f5SoTGyZG4UCoBiGCq++vTGy6/XMy
5I8//A922ShvVMIHvsFWFx1Z64tLnTqb0ssLbGUG4QRwCCA4YYItKnEXy3bVRC9jfoj6U1bhpOrt
t3Dc5d3IM5c2hc6/A6izDJUETR/A7DBAa/his//Mx3bd2c+qjjLIfbNDQwfmofIXC3w33ouiUyPo
qGyLPvISP9HEflM/ZhKS44MEWw3OqVDcdMq4qy47O11K457+cvawu7EGqwGgww+MqyR8G0XJ0lD9
DTUIbmaqbppOSOfOMYd6KaI9u4Edk0mj2evUK1cdTduhU+35m6tOw70Ofrn3qUHySohjeMNU0hDJ
MG379lgE9s6K37LhMfQ/pzDYROKtobFZT591aqcty99X1j3VjgutqNbS03a+X7yzJ19UePoaZT/q
4WogxhqGX+bhseWm3eGz04IVzyYmXOccQYxTcEr3k7IziWYYYtj5mk4PoJU9zE90M5w9aYeKMEFF
bbOErTamZxNCR5mYd1l8l4fOJuDNZC11ovR7p4D51PxiY6u8qa0wtlXO+dJY3aIJh+1kSB7Q5LAB
eWiUzqsBFW/AM/ThlCLbYu/n7Ei2ek93E9CKyYEf1B9sUrKK1BjPDCapJwvI3bryxbrRnKWnXrvY
J99sr4smWXtpS5WEslCxiLYGpzcbviYimVbfJvpTpaJboq9qMaAwiCTW1O89+kYqyiq6waHvruFB
XC8bxLMsGM6Bwxw1+ifpJEvVe0YaXCaNfvHsxwjTZzXtRnrvC+80xs15tsI1SUD0HfkvTIS/7Gui
gZY8+WWxV/0Ur3x09YziRolIYOUs7fuuOooKp2Hej/oq0Ppn/KHnKGr2pt6Rt2/iah0XyZ5WiqNS
pKs6kMnctrzW5vl1HC9zH3WvVICcgmuUe6co1b6O1Yov8sb21eu8R8LP4vrjzi9xog2vEfl4agKd
kAZNbS+zO9mBSu+sa5h8dKi+auwvghHX5+xZ0HFS9GeFREZjUEXFiseKnxsyMPRKs6QaGzdHlpOf
SKaPsQ9UrEuq1dz/DVtvap7wpBD6zBeefAzFOVZ0ZtR7pb5oeInRGgrx0YD3aC3lS1jx5eWaMOQe
HeTVuhk/uU5uUhN/CBh2EhIuivrXSHsbRU9xFq+JfgGhlKQdp2LKJaLfNywmzUI/ecRVetLeDliN
fnjO9H2UjDsa4M6BWp9yDt9xVk5QUCZC6CWKikhpYr3W5kfUQZ0ZaQ+Jb0N4B0FGewotkfZzlUJy
a8CMn4L4TWZs7yjnCHCNYHeuhjcR3ciCvVhJPRu/FGQfH/lHKb8miEETzN48C7YdIlE9vJM98xVQ
btxAey5wXO9IsENnr/e9cc8q+5M8FljafsNyDUw/3fPVdNKRqGJCj90sWXUgXWYNq3SqVYCoVYTo
x/DinBRBZ3Ssm2rWv3JnX9fTJVVYb5d9pvNA0+9E2H12qn/W7ezR8/37wa8rUoy4YKvyyalp0fLx
CfqJfa41gjPtr9tvo3oQ9OoUPZ5uwkQP3Ug7SVyu/uarOyZiap1UbHazzjmHD/98Lj//yg5x/+sf
/5b5P4zlP7/Mt6PcgqMNN8vA2U/NxPdHOaM6MK/fTBtzN/Y3a+BsCVSFmAfvP2ivzi8GDkOaIX8b
5Ym1/4WpnHLGH6fyP/y7TTGnEr7LpIS5jJMiIOPIiOiTyilPlfQOheK4kUX4Z4T478+7OlZtOS06
LZEiB900T2mn5zr7SP7poxTeGowzSC1l4vreHmINKjNBLL1lWnKiAwwjCNHcCQhsKXCfasdwO74e
noW3gs/n6E+rjKDX1M9jD6Z/e1xW2l1zmWiozS+SFYk+J8QmfRnELwqgkJbkpMe+uyVPNpIrk01P
80S5i23hsh9/aOu3mhSar9YrQSqNcnrXIKWmml9I7h0439ihGV8csmxqeBeSbAMvc6xJuonigrdn
1bKRU0PnlV4jRmIf1lNMt/L4nJCXi+bcnD/chhBA2a1sucKFi4SEncDuF/rz6afuFIQ/Ml+g+1s3
JZnnkdCrSeoVVrnTzRZZLljGoKw9En3OnOwr+iXu/0WUjisRJJQiBDsrKjcjk3FHMnAWmekVdhst
fRhJDqaZvsZireLUZMF0ccgXFmmwjpDpcGDsDL3ZTOm1pXHY1kooTbNNEXAgTBNsKDwEUU6ILw4y
cB3ijLpQcD2jjzPzywKIDPy1VFUOnm7sG41ycZ5yk8pKqbzU0L2ieKA3I2XvNhbckeoNUYVlE9cr
qx5uQrNahsmXXJBpJyctaCyJpzml6xQn4NSgawE6tcoXp/0E/L72PIoKGv1oxvEjhcpHsx8XfS82
ho9dU/M3QzUcOvq3QhgzJvEaPgO1zruh5Ta1Qt2DPtz0TXWo+4qD5J1JmyQnNFKRrlG0KYyqn8cM
xktx8GhVGKlAUP3o3AnjpGmwRiKUdVAyUGP2qXcMqg6AFA5wST+o6mdEV8aj3xFwG8VB9yga0c1F
YzWsrcyrHwG50b403kdvjVdgDwsBZ1u2dCtNlIqPobgntvei5sNz3qX3uuBXqKU7q1SOzhSc/dR2
i8RZO2n1IKcHi6BMZ7Yvem6dNBI/coyOldEgAtnYi8avWTJtBoklicOMdMYhCwtuNPa29fkcQGnv
UmVZE53oAv8+sKJj10i+UtxTK8KNMjg6Ek2tNE6W8+FH3ZLbiqsOCU0aiDf0LZnBtMxZttiCNwpu
SQu/JOPaGMEz6Sb9NPA98Nr4S6EntzkZj6qgF1hlVK1hh1H7NlDWloME81ucn6SYkX6wKyyr8n6c
UjdFbCsa+izM6Sbow3MEQsuX2TWyM1zwc7m3z04iTA6JyQ20L7OzwiifNxOtIZrY6dDQGi/R+V2l
bGxz2lwGk+uOrij8PsAPOnYPfkYzGWzttz6sjqg4j6oB3xZ39TXkoFVw+bQFgZI6vzSCG5hDRTwN
kIRbHKouu4+E5xnbJ7y2GF6au8pqWcisbY9Vzb6Zzhaul7HfVHOlSZ4slWG6or2tRJIc7NFYOYAJ
Sxvm79gAEjSycxXkZKL0cm1MqrrQNAjCJW2inyOX6dHXt/wjL1pvu50B068Q3OAQyGvBGT8piOz0
qna93JAZPQz2vR5dUlvuTeWuLZxbs4/Wqgo8OW43g6Ztp6Ldov2vS4FoF0wHGr8AudrWQRJuQu2Z
+7wrCBd2NqKUclkWPSDhqKbcqls3bCSw/27DoTyhX7G9uRP9IS0IxGC1Ddp12JArIx7tZ8bakJ+e
HhBO9vmGRPKi+m9FShtcLacDOPq72gtP/dx906E5LhxnfAtyFSNYgQluqrdh5G0aRkXR82Uq25uG
Djt1vAiH/IzAfNoNR1l5DAW8b1nsLKTezCfCrmsPAzJYo2bLscaYbiJ1mCdTcViGkXejR9aDmNhi
OiRS5Dr2Iaq/Znhdi6Bc940AMsUdk37VKel2HgDnOghdWdT0x706zVsSvNakoMAHmmGzzar6DE9z
6xgjMKWMU4plTPFM2GpBqMUZwqUyptsCaHVepEunSTc1LsLcf0jUcYtiuGwJynkDChrTXNyn78mv
MouxaCP1OJn2pxUkr3/zCxc2UUgPEl0SWfL/45I9+29/gmr74SV+v2xhkbVMYPLW/1tZf1NNUD9M
GsQQQH69T31bgAgQuQQv53pR/Q8oeQcYq4OfS9OJWIEF+is3LVX+vP+Y8xxUh1nQplR6RP9401JC
zWiSNPP3elK9qz3RCURzdEzQDOqwrmBhtoOz1bGYGlhNJyyngZCrpDKPWdjzYGJ+pE6TMTxYYf3I
OKfkysm1ddmOj7nB2dvJ+yywbnNsrh4XfontVWB/DbDByh6KooYxtsMgO7B4NlJCFfSJqR3RjS5Q
KH8sbn1zXBYW9DATqVKlqj0kHbWA2HHnDCbSpF/dEvF+msqGh1iSv7SOPCatQjU9d4kN0b+b2CxX
jaXktEWlJUQ5jkoxAU6x+ql8HTOEDT1d+na2oYr7XnjtlhlwX9rDGp13U8sPhE5SJF4Urc3GOFv2
PYuVXTw0ay1LArfvieRxVG9CNuxm7S21In7uhLwzYbe2dJzKmt8Rzx/0+32hFw8V7Xxe2t32qB6K
120iR9JTXa9kku4xMD/htTskvfdcU9VdePZeq41nBZhFidUgtHtWM/zETreN6SHNWBAAu2BEZzmU
0ZWtYL9q9W3UNU9N4wNInTjPzFVNY03nlKAmsQSDMNNq+2Q4yicI66WnmezM67WM3yZI7yXUkIoK
lIJzouwb0OcF4vRE2lCuAprSVBkecYQtI4vu1LReqyaOMEvZOKZyEEN6joJs7+TsElLsww024gE7
ce0013y8GxHj53+qxuHXJJgILFridPyeAbZkA3tyjU25xK78N38YocDylTSZwXT+Y6Kz/vn0t/3P
//k/rv/nf/9k2/z5NX5/GoFz5mnHl15Dl4Vu8/3oZ8PNskwCybPC+93oZ/8yb4ht/lDAYrIM/tJ3
vhuMMvBoMJrp2uwT+iuzn/Mzd0ebC5WpeAI6LX+a/YpqarXMFMZOU+77bEOnSu9dCu6uzDpNy4U/
oYWe/wYPPAgWEqfcZH61omVghDuoLXn0jAFkVapX9qj6tThGu6FajsHaD/KlV72bxavgMj+Er1nG
nSC9Mzt9mU7WqlAfNWXlsyWaknXU3mvhfV9/JunaHJSlaPBymu0yLO/S7liTPAZh6bdrq1wasHwx
gJONX1Oxy4RmMRhmAbegS+q7XA2hoNvtvhM3+Q4YB6W3VwqD01eQ+swzLULcO6Nb690Md7D8og+l
WVX38kVescnnxoVa5Qo8jrKwHnC/UZCoDbvU58KO7z6l0fAzY7bzkveay1GBGZptzCnGuBPRF2Ca
d4Z4Re2R8UpJTj1XjKa2YOg/8GCnN4NyjkOkGhhFkIr6e1XDK/oQyNeWnIKWmisb88ZgvGndTZwe
4spV+bHFeWL3XWH++GL6uIoij/vqh25TCLnEjlRzJCzj+Ezv56IOtrlF75K+8lH8wqGhuA7qS3nW
nHshbsPhmOn37UA/sc26q7u0ya0c33X/wxOYqRKI9DC7qw/SQ3q3oQVZN7f9wEDa92xrR9f0MF6S
3VPoM4YupG8LZdmge5c+ZpgPBSOqIeg5Hb1NR10lG+DmtaGyPfa/AKxaKNENFi9aCswl9Rhz7YmQ
54wGaW7/Iz1KjdpDWILFaUs36M9ZajJ2oJ3Ft+bZGt9Nb3B1LXFlo9+XlBaHsVjS4LEc9MIt/Gph
+uONzbFi5KfcvDjUSGs0V4hnzEsnjek7To1l66AT85APGYcWmsVdD2J4/Rwg2oXThZ4OFrCn7nGa
lC+xBE4iEFLrZt2zy6U6AUGSFeHCHMBg+y3Egi9GIxneoCO8D9Wr6dxRsE3plQ+raB2QzeuWc4iQ
+mOxKydzWzo9//q9PzwRDFiV43qOQNOkbatLiUnWiTgWyXW4YTssxviah/0iFJvGuIOOyilXvepv
rJu16VwftWQt6h3nQ2Stu3DretWGQBJGNbGySHa204ePatmoW+TgAmtY9hKCZqZ2TCyH9kaNmNRy
xrFF3JBA2MXjuhiXUGAF5Y06WJdNJbYBU2RvUBpMQ8IV8Z7QDVIqoE4/eHS8Z16VqXwkbn0nuj1u
UkgvET48PoPLnKVovUOpnbo7tuddumoy+m0W6Wli0MXOhSsB9UBchv4+F9t4WniP9LaMyqay1mni
VoSBNn3qto1blRCqvWcdNsKREgfKkdtmWzt0hD+L/qOnQ4cLCR/pmxAOqLdrHvTdlLnqjX4fPOTv
MeUK3hMDAUWIyiahbeMGR0j/LG8Ao9ofgCRGOOVsR/tPVN0uXgaDuyWhpMSuGb9b3UljEIsPDmcw
kgy+cXjdj8Opx9N6wSQh4ZMf3JTpYoHnPZiLH+qLgUxOK45PR+N+iri0vYrsXKYrOnuWIaMpa+X2
YGHGvotweUcBb0CxKrwNDa3dcCApn9Z32LzVftEqXLtyi4wRbJyWL17MGq19bYfHMnnWzFubxQQF
pq2V7tLGhTrw68YWDvmXYsC1e6sEe9qW3eJWcifSwM6ne4N3gwdrgFyTLjQwC+p7FzwX4clpj/bk
4CVcM7xguwh5Y4vLFDxq1d9+wct6XAPHohGr+61/98+vBmegNFhy336+G/z0It/uBmyOHUFiTxes
eL9za5m/GFQrqbamosXN7trvZGGi4IIyZK4Tqq3PoJrf7wbO7NYibQOPmivNHBH5C3cDahx/1oVZ
8dJF4ahQbhiB/jiteEjmRTxF9q6DzT82j2YKaJnPe6Yz2jctodW2jveNqMnB1mtBPx6p6bFYRLaG
Lb6fPk2zPIgOP6HC17zJ+rusBqnVzqisYYZmmb3O2rHY4KyAWWN9KOg4hjnXCjd4GcYZvQW3Eepy
19w6ULlwIqyjSp4ktK4UalcBvSskMFxN7BzbUSaHIuhvujRhudHh/EloEI7GQ5+wNuFRp8b9xtfz
cFGiN1ld/pGarbdsNc4KOQvbusaOj6ReIWGJRdbRibDhoIQHHCuBBS7fZnBHrf/sGOQbBT0rVTBd
Fe8Zg37q8xBh8M+44CCmbwv/QTCVmWq2KZAJmqm5i/JkG7QUHVuPCTeRpni2oo5/TO4OpdgrubK1
kvbctO22DXYVgkQcvA72W9G8lmivFfcJj2M/Y202cA3KoHZ1SBs5EkeK1BGIr0V6rMRjOhyx62SR
ufHIY7RoIwbvQRPNtcY8C5E1C1SgHjmlbQ8j4spo8uhHbGksuRAKm/QCGaZpp7WgziKnTGnILi1C
zZT1N3asHYKuukQIOT2CzjRgcGPuuPWQeiYiNYu8gwrXIAMNyEENslA560PF+GohF9FfMboEqFZR
Clp/1pM0ICwYcUCJcHp/JKhOWYwmIw9lUZ9CZCkz0fF792tH5dnavpfWbO3lB6jRs3qVEAv6lqW9
+4518Abq4tmoHMogPhR1sVacepuU6jZDJ9PQy9Q6ZIy0bkkatq29N6KLgz8trA4V17NKPYhZeBM5
zDlrFuNMfWSTxwUHpTQPmkvYGFsJISlUP9WJmmTtoM/S3mij689iX4TqR2oOC2HgLwPOF7jElDEk
h77Ai4xe2MfpMuN2UKMjyhpWzTkv93XzFoh1ido4mXc92mNBEDbwahA4H4X81NEnNYgGdXoocNEJ
1EsvlTd+URxDnO8W6uZg0FYxondGtQRkQpWxWfLbmBXRctZGqRPjCPP8r3E+3FVpTxiDYhIWIouq
bGxMQ9MhMlLU247DQdE9vPXKPmOPspAVCFisle9Dod2Kjrwi4p8vyg3LZTe1ksRtKlAPAt4Njqb8
sdaT46Bo+5bWFox2Kz2kWi2nkAVN3rZ70o9i42GcHENGWo/+rKDlwqJdVVxIla9ttFBWUCd1PPJi
oyelsVCb/twa6fwrdIfgCaQAKi+U8O4xNY6ldhg7cAuEsZQuJmwSu0n2FE7SneLHNoAtJEYoRT6U
pPeS1RDEBiTq28y+j3x20la+d+JiJ9NkGZMRJRmEEkzvR/LYVCF9eeGtB07eDgc+Hxnmclq12CnU
0nlvE74GJW+9ilmjVm+rLFolWkzTFP0RmrMJuW9AIV8p+bQpS4fCVHkFffVWG+na5n/TKv3Kh78g
9QILDO0UY0EAwN+Xtce2LFnLsCAfzTXAyLYdn0QcxUtfoH4rqA95eSi0Hk9MfrKm1rWzkEfNS2L3
y5Qd1zgAjXcmlih8klAhk8AjJMzwxK9cVuWmJ0lE6o1d0hAaj72WnvIOB1nngGMwYs3jkYcFnJsC
6Z9svjPYI0sTdgAZt0d9ZBU1akeLS1mHly6tIligEVZBrYt3Qc9PpIYnQ8Yl9Kv6xeiZbZLcqJZe
So/85He0GRMWsqthnxjem1b79+hKe1P0IIdbikA/KlU7yh4jGqPlaNuXdHxXuZIB+D5IxXKDQGIO
HaejnnrnmPlRqfmEpmU48EBgBzcYOAY7RV7xjubISLwnNg8RB9NnYGsnz+HhVCiCu9z4nFtkySu1
hflkPzc4CdzRboC2Fg5VK/HRmqr7aCzWjm9tBddRKSFP1UT4ygSD/bQ1vedKsQ8jyvhYWOtR0IoT
8BTrLNbupXepEtSzxL8xMyLl/bAh6rbzjU9D1puC3pi8YhE64RepQJdRdpYrg1trcK+ZFZvADaMH
3WE9FDS3fXok0EA2mMgd2TsygwuNg6PikTm0xiVXxWNfAO9KWubVQD0OWkPGwAhWpbReYBdTKCvu
VWdytV65y0rvLHLj6NfpFVzVQ6mXlZt07ATGjJZAKbYk+wuQsKDKTYZpP8Dky/ZoO8bqm5bh4DVh
0pqrnueXiFJ1LRtlTbZ7W1oMQIEh6IWo3tqpR/1vaJsQ2GBYhqFQNWVxtIJCdaOseRIei6UaW0/L
vEcJc1TbjBzg3PooO4AXPwczHqoZuSJb/jkambaTtj1nCvO3zpflby5ZGZou5Ww8BOtAK8m/DIvd
tjgP/1lX+E+v8e1aSucbcAkkIdUyre+upcYvFp5eE6Q+BMVf757fNHRpCTICkCeMOcH27Vo6hwjE
7BW0pCGhKOt/SUQnrPbjtfTnH/57u0JbtHHTRBGOe10BgzKuhRJfFMt4iCnMimxlqfMd18jl61QM
V6297RCLyppk+2CcVAoqlBEyg0qJVGwUAX1d/otWdawDXwbPvx9DvjBNyc63nqs6OvVRzIxEoAjz
IfZFZTUeDQpP7N5ZFtoEn9WgMrF062ZUGeO7ChEqyt1AKpdenx20Yus4YBA6yqKM+MaU5lMY9htL
5KQuk9vBV5+cAT+wytHbUSLoF9MWh8pK87tPJZPHqmh2sTfsCkpdfOPUBhEV5TBpzO5ZDSKuZ+IY
hcW917wXXbWt2+jILnEVV+VNTM0IqeQneiO/Rr51aYweG0INbGICKlw/KlP1JYGgAZgjI0El3coG
GWc4dCjCje7tO4wV0UGrq25dKsGxhwTXQoTzIMONEOIiA97ahFHOmOFxivB4QTrH0lzdRk71VHjT
gwpvzkGfi+zmnjy02wiIueKmh06X1UALoNXJGVtXh18zeEvwCbEgCu5XM+DOKfur7kCaRbaEmIAv
OoKGN0DFY0ceu/kMygNdND9GsmcFhl4FS89vcgezPHg9Etq3zQzcCyHvdRD4PEh8YQOSz7fzNxtG
XzbD+mqofTH0vnHG+HUz0I8bEWi/QgVpVO3hIQdQ9aZ9XVvniNVD2yvcp9CwRggiw9Dp+GVYOswI
wbEC8gZTMIItGPlk0qMofvXEq1XZ6PY+AEN1UPigoFOVvvrQ5iZmU80+ZfTi0CGCiQuXH0b2RWnG
m8i2+LUouwDmSSebbcPDVTHlca6VM7CgEh0L05QO187NB7YrJdJ/TZi2i3EEpumJul0YyKBKuuF9
CFuAJ7mr6Q6yFjZSDcyvnrvWmC1zzDMFLgbbM1wtRsVAULBluJs88WI1w0Hq9AKn+dXUuqvPlwC8
oPc65lxrs/FWMfy3qMr2efC1YjuzKH0a5iWYrbaGTW3JiWY0n0Vrnl+CdMKj4C/LKF7rTRotuWxx
f4+no+Zkt1qeZyhMvdya4XhprfFMRcdarbvD0Bb7yMiBg8FJwtBOrVyVv6dKEhGIofArVQ+OUKh1
E/ZBSQxO5xGF0gMlagbqqq2ji1Er/FhNHbt1Bmbd+GTqXHhYc+ryJQyzVTZhfRBkcPR2Ywws6pVX
W6cCwoaeEc95jeJQjUhsKfchPt8moQ4sW0fyMidoMo9gU7ZqMe1h76A9Jts4Sjnv5oSKV8WAroP0
1Z/TK4Yv7kMkxGs9J1swp2qrcbJJD2DuGYm/WMRgZE33KbEYPELgUVdxl7yErXITUZcmCNFEOCps
QjXK6G8sQjbmnLbhGUFLG3zCkProdE7kdERzggGypzH2iJpFt7YQ3IFrMcQk8WFUMtI9kM6bKOZT
axiZftB7H2BX+lo5pEqytEUgo9N5FZfpo1WKt4AIkUCtpWGqBvcKjIuQkT2LXX7pGNtMi/kLig1v
0wrIrYdfskJ+aTL9OlrvEzdAr5o3nGPCpGi3sFgqMuhEtLK8vjgaNlRKHAM4qygkewSO1WRot6aj
nHj/F6ggD1i31zFTXN691bm3yrxQLkK709y+GR80PACOXX8FufZgzvajVNlYabjkcXVntRhHrOir
Xw5nDXZabTIVdidftlt44CwwFRwZpeD/HpfSXZAlFxmo17RyME9I6x4k7Kaw7O2o2injFSEwJ0Pg
h5Hg9XQRlK0q2A8Upy7wcBNR1Qyjx6LINSMfwQz2N7+imBpIJJD7kAvJFBr/eqv2X//49znp+E8X
az++zLdbCgYCdWaOCPmjpxJQswmJEVcntxWSC797Kuc8O3s++Moaqht//k08Y+fGDQUXAK83I6z+
kngG1+HHW8oPP/8srn1nqqTTQMtGozd2jPzt6/BBaCb/2g2LT1Y6L/VNN6zVcgfFB6RiFh3qefqA
r7AoaES5+l97+1wCCSqXCT0K5LBq146v1BqG5b6KH0GpGNFNLj4C6MP9NlVck69Pme2i8FHlQI6o
jFmODOzePTBCo0I5LkHSsRAjSYAp56s5Pvd8dhG4GcXf4yd7NVC21a7FK5uevlowKI3kihb9Pryb
mq3PU/eGOLF8sF/Hr82VFJESr+xilbcHyjY5TY62S8V7/mL1ILZ2PBZlvNfkQb/hYuUcu+feWuq0
Syy8VweRMLtT6Q7yN0Qh+a7EGHceSE7hFtAeqONpX1V7XaMhVZRE7sAMDx91uqIawntQPocvRAjy
VYQVFcjwklrNgKS7O0i3XI+IaWumEh4RKOPJLfNSjM1rb30OF/V50paoKFQT/F/uzhzJkuy80luh
Ufey67O70Mqb5xfvxRyKW4w+z/PdQAu9CrI1Si2TItq4D+6kPy8AzKrMAszKjAK7JACGqsjICH/X
/3v+c76DVc0EK5Kgqjz0Y7iqH1JSJqJ7G4elz3ZcoMi/OWJjgdWgNFNsR5YZBPnWUPmT+tjX7ya8
EG02vAdy1cnHNr2V5TPO0gEAr74miYWWEHM3S+7ZqFHPecIddOq27or3NUbXgcjCTD/UFwQstdkz
BLzikroR1qy767b69POZxRuxnAS2uUoKw7kOZr6ZfljbKYeXzKIb2MkuZrESb/6sOKt3AA+hi2gP
rbOgWwThDkP6TFvmQHOvBLrwLSQmJnVbLGt2hHR0AtyajmX86sNKmOnOWTtKc61gazvxY1thrrfN
VXQXRfkuGItliOGKeWmHF7ICZxi0ryQtWao5+slnvce0jfOe6Gp09KttQY2RYI27zZx03RbaInMA
PR7LkK2yCmu821fKjZm/Mj0jg1jxtQi2WUW4nf4CbrUwF4KViyUY7cgnc4j8569N/0lKba41uyRd
9+51dD7tFDW3WEKDWQXZl0gPGmW0XYFbHnB0cKqzlQfrwJbAd7CghCdm6hDGWS8x1ik5nEaTO7e2
KgJ4QI3YOyTbeE937a1Qn6w2JDCKZ5blZ4722tyN3JBLe26FX4bOf+MJ54c4xvw6iM3D1Zb8LkyY
XrvqUa8sBlGkEO3W5nNjLPS6W/ZGDdEC+hZvm2uVHC3thIbPFZdWhVmzoVvCQ0opjUez+ew86GgA
dmzkW+deca1NI7ezWQjrIlo0VDgoXL/dGe0wUOry6CV4aMRM4A9iXyaWTvJsFvPK2tvqc3ROY+pp
7BuXtEnhH0YCp2Z/on5VW6nJQkApT7KNtC98+ELnYJfNvP90gZhmT9jZaUwO+ZToW7gtSxN2grmL
FO5Y1UMYUP0ai435pXx50dUzgSifJVjKoL4ZtCO/RjaIcb1I+jevvbVGbUYZiOOfuszA8sKNgLHS
j5VNXd/m5tr02FVyDH4U95Z5FlzzA3b1HgllDDbjweJwUhgQ49iCF5TPm1ll7AtBGeWMxpVo3W++
ynPmLpNgqxUbJzKRt1AJi4+p7rfj/Dvb5gWoA5Aekxjng2LfQKBncrag28RgadhHmjNQPkJga2bU
Ajyr7vO34Gg/h+fgwh9tPzfOg+UuQ8WEqXZjSOamY2LMBvumref8hZQ71WPfMVeNG73b9tyq1Izo
yGjNVG2VSowUs7QBrrkcKeWAou0RbGlW9M+2+oXtH4AcbTyjR5nZPERIjj4MoK0MESnnJXHOTvBk
drcsAVkzFMNG1Vc0VIj6ON7SE5l1i+p+aLhIwRTtL5y7BFhl9phWd7G3q1j8mq9K/CU1Z6ZGtyeP
79cttoa9iZXjyLBTVs+I3DR0a8rbgO3JXIbVghm481eKXE5IKYuIGM8+nl6i3JvyuefQthDhOkCJ
9TrMxBp1nvKjloHUehq0XRysoecFxslBucoUXCFL2nIb8HYsVUIUHYF5bR7Qcyme5IOiHtVUm8kl
so+GbWtlt8/1JsNPgrK+n5wjR9Sx/NxulL17qwy37hkefvvg77MzBOH8HhdCfyUXC1YwfNBe4FkY
1+ASLYe1AJe08044WjyDdvBFuytgua/9U0i/yCmHAHk0XtxztY337VHHt4U5gMXWNfiov8KvVD+7
3B6exb65yGGB2scqaW9cUppt5vUJp68JOnFvrlwcw4v8TY1u8u5TV1dePt5Uw7OFxl0QD0zLdUg+
rh8JaYV/9Mlw0m80HOGgg0zBpvLv+a1+Fq9+owzyx6/xbSwkSuNw3YIFQV0Hc1n/WTf/4x9J9/xk
4f90aenQYCkY/LnfxCuDRafjTOCMvwC6/7JTRbyaYrakZkFn4LZiYvwdO1Vjmj2/J2AYWL4cHF8q
Ah5Q71+NhVrR+EFWDOxU+y7hdlNv0p70nmGrL3qlFNx9bJXsaEdjud3zYde+zJRD2e6bWzPK7rU6
OVbCOSo28UO0gHlSDR8NxLMQ8lkGAQ1efrksYKLZsNGUSDeYHcGlyUrsEx0JPmnxIBaJdRvDVouL
es/GZiFFeK3lRfTDPEkPOUi2aGKztROlrQHXFoJtc8C3DZg3JDg3m84ptgfFi12TSg3anc+i0WgM
blgT4lT9bCYyHGxuzPcTLc4CGwdl5KbKh10ETm4kpdaDl4OxdGhxlUZcqYDg0d6h7DxwsZoFupLt
4imIIUIb7C/a9GIXFd2T3btMAKqVBa50ROgmIURpVNfIcx+4wNLEF3vwUutXLKHoxxxa0EQRvvX6
1FJaEFJeUBRQvSkzkBarbKI1B5hs3aqbtK6utq5Rw1mHCKYY9Zld89zhLZNOKplt559+XD/QpkTR
Rr0NFIoVfPOmc5VPUnqPMZAp0cKgy+QSixde9orJ/FV301ujGQ9DGc61qnnK0Y86RLwALZLQRd31
W2VQ1n4mTzqSX27CO0UC7JEChwJ0+qQNNmJ8dJLooujZojTbddPqj6YTnmMmfQdxMUFkhI1NHa1y
k03qozfpkM2kSEpM7zkSJYwCDC64UCbtknFymSXWp5QgEerEW4fInMHPeqcAZzq6SFWWd23cZ535
XVHcJ0fDe2u5yF0e4qkZYME3tGNI6KSyBD88YjDltNVqD1FHmwcibA3GKZLafR1wJDbDSsfko/JC
C6frcTpdlPvpytxzd4aoeKymyzTRIHNWT/dr7tlyunBbA89syR285C7u2/YtNZU8VLl+1yTZTcOt
vZoGKjld5J3pSm8k/abkjq/6Ni1fh37EEJP7Z5+vDgdjbrjJ1UEdcFAJLNSCFNXAjbD6hSoUhqS/
LzPSEFXMa96JXWqNeW7lJkOAIHXPpw/GTOwdh8jdpx5jCFB7E9GCEDjBVuolEDNyRI0YccNQ40M7
qR2yBIGpTAqIQApx5XBvY/WS4NANU50SrmvTbJCQdCzJ+WvoJbu4fyy7XRmMr1XSLCDObvWYKEMC
Z8o36Vz1VyYdX3WRbHv7fVCJhxveqqnIbStin2ftwhrLreAHYKjVJVCDY905y1xjXNbsta+kFyeO
ToVsHvyMtmePgCj3Rs0N71yT+EiPdbyAldWn6X2qaBgI0LWB5ta4NkRR8KKnd2cA6GdB8NDKJZn7
Y5iMyymHHA/isY0G1rg0pqYU/XSr1DyoUUGwQt51bbdTCLla2pWNNDF8i7gEVpApVJXex6VPa3k2
YTU2dMDOE3ZjIkeyTAcMJqpx9BL7STV4wbMQt5CsDdeb9Zb1QbSei1q7REJ+0dG/i77ad0F6UIAW
Z2kChMqkhbqiMq3QqBofm5OfUQWdjYtERRoUwLig/N4HAs+Whopd9Y/cKy6DXb/J1l930xHXV1tN
lPeKEb+UiXWMEvOUudpNCM4LDlhMIreT91XEJaWD70IUWoYVDdaSLBi5Ra9chUm5wRtzTSMSwAXb
uqGz9+HgL6q+vU1Cc6twSveTaij7o6H6KxuPi9HYgIuZlEs+yU1E9Uwl166tuNjFvR2n+KEz5U2Z
aU9BaexTMVAHUN6HlRssowTIXFnRoEC02SD0FU9edyAL5UBC2HPWdm5tlDB0uOBChmTR3lriokTx
XZlL+gvwqFoZ/jElxFHnVJ+tHLcRE2YUcQOM9E9HHx+FMV77KEgILVTOrMSsmtf9SZPFtm3dc9DK
A/UqRzumg5BgIHXjxVLkYp5wAzUtZZMkytrpAcioEJdl82pFMEYgXPtevw7KV3VEyu8q9V5PteVU
Lxh2Ie2V+X2a+P0cY/JX7CkVP1y+wTjbU0+81ay/VCv/gZvU2AsibZlQSSzBZuTvz1b/8a//G9nt
6d//z7//E/+5wM9ahe8/wMZ++JLfRi2HDjVVqGhqOBB+MWqZPxGnpnlX4HAhK8t+8q8KnPsTG0Uq
eV3xZ+owU9g3+5ppqxOO3qAKjllL+z2jFmPF96MWsWZ4/KDNjJ8r/b5T4JR2TGtcT7gzYQVmafZa
UdsqXW6uXgG83UPTO6fJIM5DkodH0j/FXW1p+Upr8i0gWJBA24CLe+0dqgAnWZjVu5JKDb/hQzQ6
OzdkgfXJ3cxvyKpN66kACIb+6rXJacq/dpFYV4m7S5qKN6d/GrqPEJnENibARTuLzYc+YR/Sv40e
QkT0mlcT6gQMaw9Aqp5Z9blgysLg+U6HZMS+xwpfy+45dheR9Wm6C9e6jCVWCopOQ40PYvtleNQ5
We2DZQ7cje9cuU9SbifhE8zWZWKqawMhz+flvcqTQ+URgy37Q1FhFDfuFe+mN4c78pbxQhT2Xoke
Y4YeLLibgCkQBOYC78GmjgTW8lWC+O7xgtctIrTqXAbpJaLsDbsgAyxueJnsVa/elygWJa+yoPgQ
gXsoBOAOVX6EDkex8Hdan20Fqw8tci6+x/sa+Gz0ZRrtLDUclA+qQfN854zxmdgGXC+xTOIM+mxH
XtVkujM//fwJrBdu/3LjluoyHcjk2Rd7RCeI971b7luiry6YlZYorE8ktiUaC95i1hKVHcZi0RCd
dROmFz3jLW/uXTV+7C2dRYpc++OXC19EaTlGRzc4qERyNaK5JBOeLaK6TXNvevl9ToA3D4hSNdHJ
Itg7NBnvimaREfgVBH9l5VHyO9x2BVSJKRlsQUccsV25TN9jCDlTe+/Sz1wzN7lWv6bMnPg/Zl0Y
PxkwNjskN0EM2cS31xlYRHo4/lH+yAG8w/I+kbGR37JlZWtHjahD66J0YcJME2QiUe6H7K3NjTtc
Huu0cZZUfsyYuZaB8xaT/+yITUvnrBOi1jxwXXoWz/LRWLjDTUDYuiV0reroddi9mU6B4xPKJs/B
AIZBMH0YYvPgEt5OCXE77YebhV8V0W7WI/CMiyNFJncj3S0OImNs8pO33IVph/PUsXctMWr64+Y0
qm6J8y5VouRVRUw75k93IMzk8pjLgM5l89GNc/KwTrXo/RGahzbnh7WsHZw+eQ3ZwkKkM5N7WDTn
iIbfgqZfl8ZfAgNsAYlrJa4yJyV7ac3yHNaY+7K+PZlJdGppDw5oEa4FuHEd5HMiun2SU61TWJSV
6r537qkhNqgjhgHz5ybQ/4JXy//fdVuahf0DaxLgYGjGmDf+tmP6Z37xPzy1f/rn7DuShvHDV/n2
zsF7QksrCGysJlNo6q/Xe/MnKPeawRuJfRN+7f9850x3eN3k0s02aLJFT//St3cObygbyIZlQ8aE
/vF73jmseL5/5/CN82rTHd6KhiHc7945dhhaY2eWtLQnoObpmTe7fKe7I4Z7PdoyON2oIUdaS9uQ
09EzaN5IB7RAUC5a9dVsnYsWKq/OhE83WRJn2tpPxUkDVI9OSNKHxaeC+szcRqzIvS1He66jcHY+
QULoeNJNORXHvVGEcxdqHqRIWV6o2TCLg0UrvdMD3kud4xCkb32DgNZyiup8lNz4yli50vL2qgwm
NsIXD69dxfup4VpPm6Zcw266kBxaNlU761xgGO0iHyDnWG91T1OVo+90kT5bUb+OuhfZuKxH8bpa
16A9ijBYBnq3qs2HNqezz6f3q+rnNFvMSi+5+MHRgfiVNvwAGJyTR3672JTFoqReRcHv6UUkmALz
Ucffh3EiwXCXB8+W+eTE1ZNv35KxMMqVTPOTkSonmQkDx/krNs1LZOi7odw4iT2PyW612cXyaRH2
DUKv9qqayBeg1DmGyIvmHQ3j9SoPm2vvGTcYr45G3c7NPj2lnb9LtIHlXHFLM+l+aMS10rqDb5RL
OpHZE3TZIiq4+msbX8XvM2KlPYYYY7M4X0zkR0UmGxFT7ddqh4GuUHQTVA8MwnB1HYzJnLsfwcRr
4tKjM/3HFVWAA0Zdq16F/i1tISR28ACHzZrzb23LtYptz0buBN4Q0QbQi2Gpm3de9JLJCxoBcZRJ
AYi2loPkHddPVgERLHdJdj1bKSdpiH2IxddTJt+kzt7R0/aCFu64M4mxtkcLRNWAqpP16ab1/J00
8TAlckmOcdOlWD0xAfAIOOm4TrDa597nyCaT8XLVj/iw36vqVOCE7uUj5UPYJfXFwKCRgUzAQxGx
mdONYGdoOFsjnlVen+RW51k7LOuB+jgIFMyXs9yO1pl9F6ga0xRV2L23CWtYiyrXpOKoUxFbGbAA
aC+jDiIi6xxpd4FHQM0S87Qw131eHpOChk0fxH0My8ww17JSVjx966rucUweCjwwESjkKgQmQYqs
BWYB9nOV+Bn8TsiRpdzWEFTwWswH5CEn7U4N/VxDBVaxidZhioTP5BgE+dmvPIT1SPmQbCgrNXou
Em/pZO6ssrle+eww65pmm7OvqIvETmZOe1YYOaZeHf8Dp/IydzuqBLJN2fms1RD++aYsC6etT77L
T+pn6n7XXiyJSOVbh7K9hPkCPWrTR8pjrZUrNRjx9/ZzIcUiA7rRUYfreAht473b60u8VpBfTQgQ
X+EwLno3m8vivRhAZ5Ft68KzcHYJ9jedCSgBHpX2OyjOlKPjWEcSA8rOd9HetLYNLvzT6wBpQ+zu
fWPeGjZXXlYzqmTx0c0mNQcFcx7YKE16dzD9r6a7OiTSeu8Sa8GxwWialgurZvY1PwbN3tV+SSVd
hKYXLYbSWw+lMxvLcpZaKky+4tIoH1Fcz2NNAVzrLBX55LP7rdtqYZXuzsMvIwg1aXq80MBS09c7
E+VZL9ixKSFbrlBZlVG4crrnqq13Tkz+K7zEnUsBgrX1OeSQcbdBxsq4tFeqbHadTTakfFUaj46k
a8Oy3E+TlzR+g0PacJkFBs9hRoXqXpta19DHlDR7wjl/G6nGrRkAsm3HhVazMfD0jHJZhV6mVaK8
M7CqcXCjZa0AGhJ+xkV5agJ61oz20HTFKi/VBe2uX9zQH6yyXmXdu8PmK2G7pg8uaxRt7QYgxpSY
XlAGLUUuUsqJC61eMez1w9mXB0WR6958idUAuF68KIrk5EXaolZerFrZ+sxgncPlgoxZFkG4iOn6
UyZGX762aE/N9cnP6K1j803m6qrjNRMAENDepEC8qreY9yCjWMdxNDdGB6WYYPxZ4GurJZwRFSNS
mSnwO9R1ZJibEID56L3n0VUbko9B729iQyUPy9LSPGec2GWMtym4E2W0sTvK86Ko3hnifbBwY3l5
AHYNOnJfimNew2jshHOB57y2bO89qY256LOSiuhuXOS1fSlq+dYN5rlHy2tbFGk1uDHK4UCu/gC+
fhPy+Fu2fJcW2/zObo81O+damidDRJs+jp7q6OzlRCEA4Lgen78ERtQIN9810+efZ53/ggFw+hL/
DVvaTby4ZNlNFihsSyZ4xd8e7TZ/0RT2wZ/+5bvZ7scv8222m7rPdWGSYSMu/6vZDjFUTC2omMBs
VI2/ygk/1lD852hn/0Sr6pSGg5L6ZxLI79jckKz7frT78fv+paGnzRHJnbTQtrqQ5w6b2Swv9Lth
sLkVpgU4jRJHRk7fMXv57ETzEjUojg75q0igfbY5sJnKMhZDNg5YS+hr8bwCVrHtPGWOBMYp0LW9
jMqKCO0t8odoLgpBo0yf3ZixgUcwyjYqvj3iKdS2pHHPAdsWC7rLzr1B5ZJPnyeisP6sgS3f9Mhx
z0WDxdRRh2YTFxEniJ2JreskJYB/PaLTAL28N5OYLvEGN3KP9ZTfQcVHmyRAocI77zu/W3k9p2KX
M60VTfDV5rCl7aym4wbO1DWLMFT3bR9AKgGoinwNppiKhxmnWz7Xcw0rtpcNy4ZC9wjw+lDWYpOA
W+3dQr3ofaEeIo1LegCCgwm9mzZVVHgIfQ2nxccWqLYb0QwctK0yfGL9g1XEL4GjCihoaRvVvV81
w31WlY/AkLz3thw6zLYIp6Ch6EHTLYpoh75e55oDeqRuD7xPeGfV6U3UGKA5lIImICt+8mP17Nrt
hx4SmIv4DhmJype6iO6txnwolBqKmgq2cWi1ejFK++gNrrnwAv7mbH/ESjHyYYFf7S4HQg5Wvi/n
Zm7fi1xhnu6VS9dRVxUOJG2kH8XcZLVsUWUxgNioYn08YkdPtVBuRCVofDX9Q6NiNw5FQFNoLcsl
qQwVl3bUzePAPzOlNqvMKUASTSVW+IofnFHpiObzIvaahEZTjfGy0I1z141vThXgt8JvE+fNV48P
d9ak2rOXjqd4wqMacZbMbSP9rAaNCLGXDps0cymmU3EdS9qd9urQupuqIXYvw2Hr5EW01aT/Ho7y
oYrja5wbYsmdDRcQljRHtW5By1cLrYCkMGqMOv3gGsvMyd602t6aGS9kJaYMxYc4val8JV+2ttqs
TDfnd/YHP2U5YN0pSaHq0xmrcQj+7VP2rgr/49/+Z/vbeKTvv8y3U5bZmS/OrffPWMlvF2jSlsQ6
HEpEf8gcu1QqsB8nBqwh+v7yAs1XI8RMTNp0NKGrv+cCbYiJgPTrGjkdydbkIm4Bvsapyf//C9uk
V1LjMqS6u81IOLlNsA80zByEGDl03PypSTT60jg8fUJWRlycBovUvAo2TrCJmDlQKPkgLnK/vKPI
Z9bpDw3VI7GunsFVrzTSxyadwGV5O1rM7epdDxLALwnVEolHmsThDVvefUdY9hf6yPW7kvPUIMfq
4hAaU7zOhQWCt9xU7FQHroSVou0LXS7IEgwwAcZ15lafdrSygnqLU3qnt+nSB9tbhIAIZbcwOQUi
NX62CdWliMYSWKXLWN4lySKNiOBJZq8httd9BatE965Ep7YiCEa668VWwYJE9x0RwGRu6LeNfe4t
0Hp6uzAse9HmtMBgQ3EUdTWwbLHtYm1rmNVcXO253Elmd5hkR6cTM37PLyamS9ujpaYmUJbQjjFw
a+cS2mv5dvS1I9mz+dhT8cMPo5cNNZbarGr6ucr3jltwrvQKSE91aXJiphXVQmNHyYOk7HjYdCE4
JHx3kfkap+mt0tRr8FvrOug3lLQ9EHTGeF1vctvjd4CyORZ3SpMygnZfhc9P8qCiF3AZrgdmQ2XX
kxhpDpQU4NkqLBpgoSfwQuqalyQsTkkk1wRAcrN9McpjHlsnkRWHQtGhbAQXJ7rxO+tQq7eKoLw7
QJbVoX2YVgdAztnVtiTAOokGfuWeBCqC4GemWPxT+VNYPxXBc8HdKVBpZAXrjQ6BM+2W+BzZlW6V
c6iiPc2U8dFCvdC8FxstA3m0QtkwjK8GocOm9brjriDSxxAZREUOCVs23tcKiaTTgUJ0L6FN+gAB
pSiBkozKGT6Yz3ReTMFveWwRXQrEl9ZtLxIxpiCowj7bp9OWpnT9xUay9aZiCJ7/CjEnF8YytaaZ
QN8zLbxJhnUX8cdGBLL4ychrptxE0l+5UTnngcuTYT8iHpXWcOoRk2yXX49uzUVk31JoyBsOZGBt
siOE6qPDOPSr8dQjTxUG0YQhIOervFrIV5362iFmsRaaeXF38vN4r7gm+v3kf8oXRP02aTBC7wzw
reb6MYraKxGCg++9Snax9Oge4unaXTXd2iklgVUsen0giKS7B4f7Xpu5xHeRtoRcdGxirAjvlkVg
tfcxGLCIIFRiTGmONj/25FvjKejaTZFXk+xrpsR0YWGbjBXeu4gnhLgyQWKSzKzWkoSxhoVsn0sg
aKVNqKmm9YgISQ4cKJxSt+hjpYWZr6DdpUk3FgldHv5FZ8arEFm+x+imEU7EZTCzSfb6TrdoXVZI
gmsRyV8K4F9tksDlQNcCyeCOhHBAUnhqu5VWuYxJq5YkiUeqEMe+XPkkjNMBa2piv6GurQotmJck
kR1t3Lskk0stvgxZtGiTBxNgYkp+OcJ7XEYpZ025Tcg3x+ScZX5XZJfET4lYl1uNlKhtRxsLzTt1
MD7HDwmka6/8tIqpGSUBDENRRkd6WNt7k3ngYYwY4PjzAIfmPh5b4thDPp5sl2tz26hrJdU/1Cm5
XRLhHvCUN1K7K8FYh9jfSsI+6djPMqLfjtUtIQMuHSLhGvbeYIyXDVHxnsh4RXSc+tuH2mTHD6E7
YatAOEkQNFcksWWC55IAel9ol5JAullNud8po05meucRWs+m9Ho45dhbAu3llGy3p4z7H36eQC7n
WmWrpDA0++8K8g//F7LZb7ZUTO/iX3+VX4wTlskV6+cO2Z9JJd/mCfjVEK81iziG+osYBoI8Cr5G
T6xjGjZqEt/UN0HeRbwH+Mm/Z4CP/V1hUc34UZD/4Rv/5TwR5sgRttopWxlzi2lAKSnm0ULnyD3G
isyAlVMCC+EN1C49+VxC8i/U8mQ61Kho0aKyzwDJXv2ifC1geoXYpove7Gb+QP1RpuOqdfO5bMd5
ga1t8luZZCxG0otjQKV55SjnPKnWWKkJYsXRZ5UYD6o5zERT3NiGd8u9jSK2TcCCaiL2j9JDhmOZ
V1c0xKZ9MG/a+CNunLOiyn3XNVRdMwnoeYxpolzqxXiOnAFGin6TyfBDbeqjFDifBdpG5QRXcM+b
noDaFKom6l7fOiGUCrKNGC1S2F2V9TQK7VFSaOtQqEPvDYpwBra5XpWFcwwkvdu9u01dZWeXqFVD
DzVYsWhANLZlY62DBO+6G0qW40Y72ZDvA2NYDhHH73Ad6vFW6eNyBgDvJasaZGjThYmt7VP8/Uid
bNarDXwX7puMZVZIPg/jdeDNLOqXPHq9NNRMvyWtwQK2Hbn4YUgJcONb5EequwTWh4c5ruQ23PRc
feoPtUyueFteQpIGTqg9ePiyxiRbpKYKaxjNOXiujWbeaTrbWh399a5SnmOcX536WPQkP49juC7i
O0uJIWs9Zyz321Bc1IzbTk0kAxVbD5x5aI84zojsVpRDRO8U7mGrxhCZg8lycuXOC7HtjNXRHtj2
duF4P1okIFz+urNcssFHn2szAJkdi31TZjOlUO7LkjEXkQCwjsOOHWPjZ5/jhvN8u17mkFmwxpRs
2vuavBA/F2S8Q2nqMOgU8z73IUwE/bYwraPTDLvS++hDqFNcPZm1gYzH+WNDv4+PfaGraT1KkOa1
EZ2249aVkAoZ+xAMgklEUZenViSXeLA3iktFi9/USIvArqo2hhBTTak5etkHUh+0l83MnJiNuVYb
/DxNzOvORKLF5ASRvZ0ZOX4AXPLUWdBfj8mJ3HA58x3zLVO6S9zi8h8aXgGVQ/WvTkQ3lysv9J+T
REfMxTs/Ru5ioAo08PU36RMQsRXURqc3TlExtWIV4R+9NdbAlzJd2ChiRbKa7MR/+7b4/Kd/yf5h
qo79Xz8gqn78Mr863lHR2JCiuFi/8vgYvBN+w+Mz7Vs59lmDkr0jCztVB/3ieOdfwf/MMpZbrvhd
xztb5d+4LlI2wBEuYFgK8d11seEoSz2ZK9tmZFfn4nLuFRdPq/Cvo1EfBKFzkdiHJM9uggFermOj
UdfbfhCLqt07ZX+j1P0+Lg1UeB4olyfLmR4xMT1sIU/dyNMneQrjgaqzlOdS4fkULu8SgBWXcXp6
k+k5znmgAx5sOT3h6fSs8+lZd0SNOa2XJRpNMn0qNL/mdsdkNPjeRjH1NX7v+QRIRM7iQyVAg9vT
B63kExdNHz2Wh68Jn8WOz2ToDKeKz6icPqwpn9qeT6/mV6xbJsVNaNGO1QTNSuMnfQQw//j8d5wD
hfdRAOfnuNk04Avc6aTgxMgjNnKq0Ia5O6DA4Vui8KizsYNbPezd/tUMPOpBQ1Jk4zHouVNS+1r6
N5nBK47dX2naKzuw2F2+x2TgmfG5sJYHilhnDg01aSNuxrFlDd551VLj4Mi6sx9Xy1Te1klrQcHt
NobWnwcYBrMKE04nHfofEt6BZRvc5pVyrpLhmrjhtgJNrzcU/RiCBXp3pm1t7tT1Dbcr6hocWitG
G+ew4J+OhoUmri2r4lCUM53i8MrN7nlM9lz5N57+qAX6ZZAyXOV0RtjESDi2V01DEkTAAjSDjxZj
U8fO1q3f7InVabNo01m4ef2w51e8VuL6uZ02cqFEJiVLrwBUDrNyNyhffhSsjJiVdwatnnLt/lbi
kRbpU1QDwtGGhRefFVZWDdtAHQa7y3aQHiW20817HsNIYnvoqdUubRiCU5HdBewXafhDDrCYy+O1
UQ0oAMDUY41dVrzMQuoVaJnVTLEFCgSAhaecOLjeUWnvyrNulfOQ/WZCi5109rrREQTt1iNbUJVt
aG1Hc2XajrIlxR1G7NNaRypOcraoengfslNNHP4nO9aeIJ7WfXjyGEkWd3hrUvaxLXtZlz6G1L4z
ZEhTlDqzub9XbHFTtrnooPPCxRzFltcCrc8naF8ZLDOZoaIpM4WJmrcqu4C5Hzwlusb2+9QN4Pwp
BhpLxEhSVJn3OUkBnn4uIjzCPjFNg4xVmG5FNC5HNtNtC7eVOquejbXJ5lqywdZAT2odBiI228Dm
Zql8a7snLXiAuDEWFJGEz8jWK1VRlrmevGJXmAV2vLXYm1fsz3N5SceXKr0f2KwrMpgP3EjZtxeE
Lhy5HjV9XbGNT9jKSwm0lCU9LCiNnb1oravGDl+FWIVtaKax27fZ8ccEBqZfVwxWNraTTW2xEKd1
qYqLeeLGe7WdGiJxWEyTCrlR8C+LIOtWwgbXqXgLG81eCek2AaCUQiGLx2TV9xnGK3fBhM7BwUbL
2IUqbn/foeyMzH4Jqx59t4LCBZrIrHRIU2Lu9BHsvQTnMokpE4aB1e0sfzjBL5isVU+SqU0C+e/e
CT4sUqJXdqRsNPL+ne7PR8QADuONg2U97HQ+dtc8Gi5lwckXYkzHwnIM0iv078Xo9E8AbPPSYdP5
6Fjlo1oC/qYy2ps6k9Ij1jQCbOpyikulUt3q5ACN+GHgmOotdRdF5sFjh2L0DtQ6QCY/G/cUV17C
IFupvXo/9APX6ZehgOkvnlOnWo8qE3lG2rDtj2NdzQuUMMCB68zUtlrg/j/2ziQ5juTM91eRaR+w
mAezlhbICTkASEwkwE0YCIAxz3Ocpt9SV+j9O0jfpH8OkCoik0UVC7D30mRdVpKsBBaYdES4f/4f
r33A+n/zKyFMlkVHoEVQD8Jd+6cQ8+S//+sfCRqtgeFhn8jb+TbfhgbziB57IFyH6x85Qq+GBq58
Imjfea4n/k2kJeoJ0W4JdZZmItcSxq1vQ4ONfosBh0h/YHGujcavYMx7I4P404NWq6aqi+ztHQdW
WMYdcv+WYdRYu8lKGxAMZJ9MdzGY14h6XugHCFrvKdu+INd/SRtKZ4K0rv72V020J79GtGEzBXZO
9aLN/wot9Pc30MoZcAUFjrbUvIRoRbzjg2VPFOk2Sc4YHbgxPMUuJvp8rrifW6VZ1yW52hnClhFV
ku0v0DMSYosxvclNio9DTCwfXFVkb8iEGX8aKAcxw7k1YD996MorGW9Gn90EkT7xSxmb1lnfnUEE
zSO8Un7fTwM6LhquKJThTG09wOdfTPz2ti+vRjLvo8CdBkQKWs680NSbmlReNbW3regPzPBmo/Ca
kPE2IRh0UaXO2hqzpZekqLn4zZ0LNVW5qGKAiAyaj3yXHaVVHLII801MyiGaYkKD0GJHNVHAbboK
zPrCNdR171i3UEJrqwgQkmVT1f4ITUYOdz98IejsUVGKh5pgPC5ZJIlZmnQuFw0dTSlG/LFU2OPG
iArp2OJmy6BGGI0XVNuiqqcBhvuBZpeIo9v2iA4eiiuVY0lu+KP7/Wcl76llTM9Dorxrpf9Ezy81
OMGagp5NaIS3thI8REnhT8YRG0dpkLo5xjNjwKcXa9aT67YhQTEZKDvZKJAWg05kunGfWhcp+jis
NTfcb2dER2IARkODCZnup1lgZRsGZOjdh6oGRSwbRis44Z5W6Cbl+h6TcGOE412TqnQEm/YXta1u
Ks+dgs4TIfiF+ulzJXuIRr69Dzh8WleACGZ4npoXhfcx8Mylpt/G9fWYqBf82tjYqLJxKmwcNEz0
WCi8lLjpOH2AKA7dG4sTJlA2AdnuWZTQDgMICCoM7zHtRSEOwVpUG5L33Bo3vkTuZqEltNSSJ4GT
bGYnVPANyslomCdqOJwV/kikdsJpGpVXJsaRmcHpxxtiESR+5Rve3LOxRpvBdNCe1FoPJja6XFUv
LhjPj+WGgiydKIMu/aCW1XVp5+eN/TDUnnWsdfSE5fY6i7Zmdt0TPi9Oa/C/FeWTp5KDZoRaAxo8
G4b4cp2m/bK20PJaI/wIskvEwnIFGNFE+V2s0iOtmytAotPScGbe0NMQpJEnzcW+zSeedd7k7lqq
HwdQSDNcxZROQXPzcJOECzOt9rcazaFojsZUmY2jnGNWa/vJaMGsR+p0HET2YnESS7e2/jh6xGMT
pnQsW9I5mWEzu9WvlR7uvraU864473NqdfVU2eQOkIchZ3dR3E9cno/GfyTOiwKLZNKRf+6KeAwQ
WpngMZwwBI7mi9qLbtDYTZ22fSoSnYgv687U0tmYOydx4CvHhPu0IL5KexYE3pM0yhJYOAEIrUWc
QIdbTVD8nd6QLittsdUwAevJWar6xSxU8WHWwxyIUZRT38pjPdVy9WMoNAOpkO8T65do+skYWmgW
KUylCaMhkCRF2d346kWCsjK3KoRKwSW2x0uXNC7GLeI7WulzpTPBteaFJA1PfdSekPgyrWg6Hnm4
hI3TjQdCDq2HnOpQo3RmvNU3UWheVt6dJg+nEY2WeRZeRzoWy24QSQIZVgp4famGY6+0kySnaMtD
0SOheHPJCiNUFhy7SKt/+0kAJ7Rh4J2hUxqK8Kfg8DdJj3Bj/55XyNj7ft9GAuMIMJiWCRuBDwy3
/r1uGzWRCX6M3NN+Pvd/E/eQIEQJC+gEhRdcRb8fCUCV+RL1y6iRUFL/ykig6wwXO4c0hnQk0TJA
gqXCgr8+pGs5sAKj7hVxhzIAweiAiDyukDEHB5ZiQnHDWQhbiBQaCU1DBotv8N6l40i0nrYa2Kwp
xCvm2I2IyKhFe+4HBxGjXhbX9E19IqLwXnPNVYPEVpPTdSA6CApCB/R1ExjbRiKIPQnuvYLTUObG
HlHha4SnJaHNMhwNDt7Psk4Qma3zvus1tK1/Ykbapd/jl3OEI/VYk5ZZtfGCXp94IgjasC89bJxK
Q2Zn7l9QAHNi6ZkNgko4tSmvSqe4b/wBGZJx07fwKN2onyPxXJS6vcmb4sF2pZsU4NFQqHIYOhKN
XYnhxddvasfahgOTvuxeZFp04RY9N5Jy6Tr6NqF4JqFqz697B0whekyKFmGNP1Vp9Gmh/UwTcW+H
d4jcbL28LM3kRB+Yg1Q1wNNUXHRqxLmUWE+9l83NlCSHnEgSRV6kCd0HbbK1K+JmszbfDlpym9Ym
jXNS50+tLNl6qbNopOzMzUqyHlRUm94EgZNHTI4pgvcWkprps8bUSCDJLGJoCfVWumalDPp16liP
bkNPmSNUK5ndcktVu7USc6vqi4eKbJjGIoEDLT8C4QfZCKam601Srzyr5WJpd6QU5vFiVMg6pIBe
a5q7urt1+n4eGNilSoU2hsza9joUZQ4ZN0uQFScewSoalpnRvkk9aHlVmddszHV7Zds+aL53IhXZ
VG/yiVwYM9XtPxexhLzSk46bwluEYfvoVNjXLeo0zdy7kNVHPTWnsnZVVYgsZSgxh+Rpuin1T/og
z01dnYddurHI4ytM41S4zgyjWKVs3gVVH+y5N6NVf8RMfzYS/0LAJsF5rvKxKwgu78s7S+J6WsfD
DRW1l7I7nJkheUV+Rh5Nirpp3rb2VRQ5t6GRLZTki4uTy9PMa60JyB6I60nSZPPYvfJKZaXVT2rT
o6NuoUDNbBlG8kM2qA91raMVK84HU7ojrBLZlOI8aXF0lVceZb80XTdDShJweV6M+qrrzGtU/Jd5
XmwZ/e99zzu3c3VTDUE8Mfp8rabVthvTxyxST4vMvJGJxvNdwsCN9kpVrqLEDo5bmhbSyjl3U+vc
qtzHIFZWcliuSBu/awrqoMKovhsV45wLL5poY25F4yx0q1kT04OTVadaXxHpE21kxz0hAfC2a/Qn
ounm6kAITqMve4+E9gFPcJlP3PyT0SRANMD3pSgRxeBqlc6aqHtAdPLqGwoYumCLtoMCaTToZnZZ
SO4H/As1Ode419RwXnZE+eQdhg+MTE4UXkl2dVGG/iRENhdVxdoMiawGnUCsu0RGd16E6bUdlrMx
COYjEIWShyvM41MzHE5TiWSwhB5Mj/x1pChgiJQwRjnoO6mAo2TN3Lq50IAcR1mMu3G5TVP0NX4H
K1PQ11FX1578BeXOaQECUhPYbLXBJqRePQAprBJpWQ3OWZsPd1XQnJRRc5khVtHtYSnnwbXcawRP
EFiJEd4vEx4k2Ow+zz+oxMiP6ieHYrKwMU9ih96uUF+XjTHPuv5ew5ptNv7HAh7Pa+S1Q1ZhDBiI
mv3OKOHYW3OOm22TqBgXZITESd1PM1deEVi/TNp2FirlEm/CvDdkpAxwxYOCAd2TFmnonQ72sMgo
3PHD4FZzWlh3fW6Q15R0T0xH20qO7tRypSOyaYfTKh/PFbmnAiV2EAqSmhPAZtG6ftm3xolMxnWu
+R8M5wv33JXqEDnZhyf4Er6Y3JCinB+4065KRDqxYqwokd+mkobFMpxZefhBlstzrSnAn3reBWNp
GcN96ISLQtM3pSY/scZXg+U9elq3rj2wFgnHqxZkM4cQOdRctKRp8sYbxjWbgjUr0+RDaag8wyqW
hG7WayMi+UhbJGZ36youMpP0vCgNdI46SatUJ4Cx0vVZV1/eCzj5XgD9949BFORPj8H9f7wSRv/9
9T9WL//MtXx6X9+/+odZWgf1cNE8lcPlU8Uu800ILH7lH/3iX4gm57tcD/nT3/56/5gE6Te/NGPJ
y9eWj3/7q2UzltAuSBGHrqjElBo/1UmfUXv04oD7/ZFq97v9NlI5JjXQFlY7kVfIx/iNeecfhY6O
TpEX0ua3kYr2EP5vQBTZfN0eQjai+OCUI1L4IaR+vzJSKQx0OxMVKYuMe1gB4fj3qg6DpnU9ySlN
MoOHj7XlXNtJd9LWhXGsJSCDbmc/plZ/HqVEP6lQB51HxXDCRd4yyI7RDcrgv+O6foDEKAyz+5/I
kAn+IedRVUX+z/dATG9wdMVWbi5Nr/s0hONA2pq/LaMuJrgD8qepccAagUreU1hsisCHvC37yy7j
+MzL5vZffBx+PPsfx4a3MrDOA2yJj/ud0lGvuQJZSWgtHZVcEi25Crzh8wgaZXr6tukTtnlvXVr1
fUk/vFbAUks6nOq/+BQ/mnzRYhgKlTHM56a+M/lqmZ+VfVQby3jQTyWXW1MUDxHSS4+owTAnggG3
4m2U4kNHLGacUERYX8BEureBXhrTzpa7FVx782RVMSI0Jv1TZHYE2ynpo0ftPageFpsTr4y5Wq9C
pVnlnvE0Ghh625LjMrj2NeNhiNwv7E/jPLSyz8VoXFdedNoyzxAf+zR6JYS6jEa5bHCcJIWNiKFv
hlmhFyMUDkw9nRZDT2/RaALWaMMW1SijSxOfJwFC+gFGjADd+eiXn7wyvE5r9TIq2+3guipV2dQv
unIKrE9No4mer7WNT5ZHp5wRX8o1o2obc32uDaSIWtZtgiS9DEbfOo4t9FoSOYkx0rNG9tckk69y
t3rIy36SmNqp0xZztW3PCx+FXOsjPfHWShGdua2FSMBbj6gBu0BZQPASrFzoCPBKl/TgQr4zLX2J
+WeKCXCGLWLmO+oGdc8jeOYVE+6iJcUw6ckmcxtCbUmT86r8NI/6dfbiSZx3dn6px966xR7kk+VG
78KxbtcbTTE/yL03i2F5ihyBQs8r6dTtmW6OZwy8t2k3wL6XPp7CuN7ECRyBG4oImPzcC69lL6GA
Okue5NI89TLmPSzhUtt/HFRoh8Q+8RMycfLkmOLykzp153lDejqi0yBVCX5r6zNMsFf/e4w8HyOK
RXQuN2DQbzw3373Z4tz6euac3SecRzip/+v/PPjE/P/n3mG0+12+HR/mkcwZge1BFRm54vv/dnxY
WLjZk0DqFSw039ttRLWUSiEWULal6ez6v4H0pKPhiCbz92vmx7dT9uvmzAH9u7A5JcB72yO/BbgE
onOmdvjq19tjIAdBZjeSvhxyQG3DTJEkK1vVHc9anjLJVU9kFWkS2CMFFMeFXOJV1ixSaWXZRqyp
rKviWnTGa4lFWc2V5n4O2/azVfbHNmE1ofHgV1RQtInxcWzc4xaQlZ0sI1fX3AyRD9BuxMFJ27sQ
pjgp2o2iUY2dVsUHf5RPg8qeN224yG1U0R5Eq7oezbsCqUuqyFPbAzmWl7w5OKAVQnNy9Fhp25wX
FjnfPlfMcYiv8Tieeo3/OUmNk5zIrUWUtgvT1U+9uL1wbTxoBQi0ERDW2IlucQbuWUVUZRXye0f2
XS8HKx9DRg4eiJrpCt3xpUZmQ1WTx+TkCDud6irKihvZ02eR9+D3dAR78nnpbmSDKCm3+dKTaW7R
q6mT1W+RA0xvEXwBAqseqsxBDjvqa9CBsU08NMoEVRFJ10WEYMm9Mvecq7Kwlx6qBrKuPnv9Ex0M
SB/SbSpXEymIti5oZmIYK9W4D0BcJZfAxzpY+Ha9yE2xoeYTc8QJggC0F0gviK9NLFYNAoyM6KJK
ZfJxgYYL0l1BivWeQE2Q47i8tgWQHBsdvDLQ8ncvzg/mBGKi9x49XSYmkPhohjjwp52TOeNqH0Di
aks187qztkJEkggAlWKYk0jTp2BZx9WQ3dciUzUbnuKcEiPQ18IX7CP62b6EUHFAPNDK8tOx1FQE
jB/X/qOKuzYE05WTKz/vLpWkAecF8IWQptJAOTd07dwXZeUO0HAmY7Xn6g1DxKT1MAAfV9lTJN2W
VnkyAC0jAphKdXFslhjF8PwisSi4SgJHl/GN0t96qO3lALM7kHUCdF1YyCBJ+qwfG1da+9a5D8g9
tAikAb19wO8KEDyLNJLXe2AgZWopl7ESfyzIWIpb9yIHpqnzYKr6mOcdiqKpgMsA2EOjXqL/L2U0
fiQI+5WHsr6ZSAa0VDIShYrMvjRjPtUtrRETxGJ4NlSSjtNm1qFv8YdzY6iPO46WerTngVts5Uao
WrQHuXp0TGo0ZPcmyEiRTREhRBFYsk3oIArugeq4LspPeuW2xyXmVtQ6hfZs8O05spMJlNvcZ0yh
6ojnrVtVNrdO6aoKSyz2pXdsRQ3aDqLlbApsAqQu6rJEJFdF8n0YZBtJsR4NPMiD1dPwRfzwkFxV
QTujyAHLiHMGfLnpm5QJA1yBtjCEoU5oHmtWfdIPKusN/hy2F10qbxSXqhwZ2yoe8SEDQFQ0Ddon
OfWCkIa6YKaQD0oW/WpQuMFmHukCVj5ryIoN8FerSXlv6d2Z29dLv8lmlHlPK7O4qhA++nZ+g65m
3hbdh1by5uxWcyUhyCVV7u0smovYg9ikksRNluGI7FDWT6gWEGXe+ENa4lgkgqXV8tShHTIjD2HU
L/LYuNTrZErDNIzQCc77uRS7x15dr1OXzDTaK20rvfFVzZt6SQfPQxhjSOckgWlh+ui3Eg5I0mu5
TPoqmg2aTZG8LOXkkx88sZ3BHvn0UKyqmjZKrRV+PEpeaT/KaRyiTU9Lr4nMW40+KtDklkkRdc49
cj8SVKNpb2/j8RPD00lkDbTA2FNHR18uZaskNT/3njTNUciGUkiRJ9ltTrlqUEtCQc7cBvoLWbsX
Batcuc96Z9MQKBBK5AUUdHkrxNwk0ZR/DXgJEjQkr5dY3Bpn4+jdGvqVJcXTOiYwYyRfGPcLvwWK
J/0mM7dxg3zdmqaFdKxUDyWeG7Ra08i9q4NTuWX/NoAyRTG41XEdZ++8y4dmHoXGpOjIKOwWBsaR
QosWPl1WlnxRNQ6IIf+iPywH3pJRlpBGiM44L7xDSDmzkE4UMllJ+rykBjjtCOrQ+LFWtrVIhnTr
1TaJQ7mroIsr9VmFjXBiKf4DeN1NFLHxpHm8dQ1tha+RWOokx1e/yc1g5TbmXLF9JP/6ItFCSomV
z7GXbaMKmVjteneBcGzWWXCV1P6qHYqF7Mgrs4Y+kmveUc85aeB/LGc48zqQiyjb8kO5pmblOtGd
xdD7pNnDW4Z03fphtK6jhk/XPpaEBTgSYYyW5GzYBCn6Y9MyepEU4H+E/cHb5W9Vhd8zy9a9C+dp
hh+1rNeOaeNg+Pfgu22nqydKKS18eiQNsGIyNdyNJhEWZEpS+nJ/+jf2cGP8U6kVR46vck5xtP2+
XvTD//3HX0T+rrc7Uu59j28jpXFkwu3Ypgaj9HqgVAEdmA41nbHy1Tgp/IaOkJF+LUf/bpxE7EF7
IblyqEzUXxKKkryzd6a//tA746RsI8WsUk1Z9kW3VChj5iMNk8S1PtbI1soG04rUkNRNvLlfugtP
qS8cyZomvb7RbZTGZnsZ5S59PeXcLZ9q096oSnKrut5Fja+pIISzqbpFTEAu5+lkpKA5l9plQhBJ
XhNwj94sQp4ZmB5jjLQyu/BRkQZkII64fNrSArj81qcKb96mRcdWyslhu8Y5bZIUKtTLwsTTFMpn
Kd4xYHykaf4l3Ssfq6QA5cWZFdOAqoZKOLE9dRUO4SU/jmu7Sg1opmSNauV+4GiaRLp5zgF3FcXI
WnP0VKHfWccUsm5GLM1cdkXz4Bp+/dYSZmczpV5YFOC0Cp7k4BxnA6J6ZZHF49Rp6k9D0G1kLZgP
eUpnJMLbfuDPQ0DPecwpqmfA1aFyPijdqY/ePXKkG+rEN7Leri2A/uMeFzbShrkdV0QHNxvdKy6B
pk5ryRRLRbYFKUpS3U7ypDnVi25eZsnnVBkmVefCFZkf/SAqyZ5hqAKUGG2XzWeURDZ786UiuWRd
ELWWDe5NmaRLupruhiikR6FZ1TQG0SJ5auU0NBd+duyauUZ2O2k8bjGshs4EwHY6bHoloRMGR229
NofkJEeV2WvOdtCVTYuq0iFfY6gcqk6tUzsPz01IsSQY5o5+Azy/iQbj3u/xaZXDSlVEJzoQeznO
VZbUqfKTLJQWte/MQ/BvUjOWnD0nbm9f2Zp5WZbuQEGZESLnHO9GS5nJ3HkSkPdwcECC9Vme5KQ8
5wSZexMFNgqe7iEW9FTSXonGodJOHzCLTnxYLC/kGbEFseWCvh1bsfEow3n1Eu0YggQLYMNcBEEU
ggT6rIYpG2DMYlAAyAYmxkC+dASnFqdnFK0uTLg2yYV0G3Mi6IaCqDpiChxBzGkwdBlMnQtjZ8Dc
WTB4jpXMQ8HoCWovN7MLDa4v4xA5rmD/RgWkIv9MONXExLPewRFqcIUunGEKdyjBIQbPZGKdrpO4
u2xcdeuWxVKCdfS04AIs6iJi4RtYyZGz2CHWY5IrXAjjuPxEAslMVpybDEYz9a1NBMPZ8oB2gvJ0
uN3UcKAFXCi+HDrHwqtUCiFJDQV9o7TNu3grtfKUa/JlN0abriRxpIrvnbFd5jXp9XCwNlwsqCOf
2td5hvK1pyifbcpHNaqJSGg5rWUuqnI8y/LyQpGlT+ogfXQDbQuTocABmybL7idrVVGmY2Ws7Dq4
dy33roup3fIgNMP0g5ZAMVX2Kh2LYt7DNqNNh4fqvjjqABdd40TpYaZTm7KPEVYkz+l7N9MK7kim
Sq2OjCsPubMXW9tAAz6rSxpjq5J68YCqiaLaDLBHNmIOyCQzlq8LYiAT+d7rPzU1XIyJebFxi5Oh
95ZmV9zUlQPBc6JI3jmJEySAN9OUGi8EHJPah+nSmPkym9GbsixacJ70IJ2HuvXZiDzm1apCvDIu
fAc0kdywQcacmljbykcfThqNMpQzjWtklWVXumedDb66qGzjrOm0y6x0SMeklUJKDYyhWfU0DtVW
c9zLJuWNKK0N/h/iLaKLigBzu+suTZUNLmvVWUf5sZfVp5Wnrc1Su6SQjuo4ZeXU1MyLh9sN0qfE
keeVVN6OsDO1q01TKZ43CEqNKlsXvXGlW/6i0nqcsL43AEKmq6arV/04YDvtbnQoNZLP7yN9OLHQ
0pGh8aBa4wqw+TJoeQvzfqo17t1owC5R2qbGA/Gc0VVFn8R7QWKvKJRf40y+TkU/JE3+Ce6Irz6L
Ia9JdtqhXf7QL/qGEv34G/0CC6OQAyiGCgUnoS3iAF9NOs+f8ZkS+um3jO/5MzSPQGyKc6QiksHV
Yomx5FmNgm/E+/ZlmeFHxiYJTIHK8znzlt/wuzX7vVX5+R94n7Da/z6v/gQPWZPWgujyguyVYhed
zB9bg53v8N0SaEc68J6DGkcjWhdU7q9/ebUE9pFqkD+MUVQUcgkG5v/LEvycnRMjJZAqlAcWpT1Y
9c88FzLCJVnoqR0ihwUP92pRjCOYQNMxFcpaX1KNDm9RqJB1VEPmbsCDvY81/5lF0bln2ArhywoT
vFjmV4uiH3Gc6bJqE/dEdvTLk/n//mX5F0+KoqmCQaUBhD/Lrkz+zywKULaQscOLmqTggJ6/WhQD
35ywI/NjELsWXz68JwWxnUoqjS5ef9YEtTuf8QXX/+eO/Uvbqn1k0jXMk8KtlEFMXEl3FgW2mkfz
NzLiABcFgMPmIUfByH+Jy+ebF+XZH4lJAemjIFr2FgXuhZ+EIes2p9thvj6KJlpuZLHbYn5gB3jj
ojhHPCBC66DC4RNhtP+kEPJLcrz1ldI6zNfHRskucuk4DZS97qNf31PsI4vhhu+n4TDhaN7daEni
B3txSO3D6MOhfJCLwmnMcUFpAScoW8E7PCkcPuJRUYRn2TD3nxTwLwX3MRQj2+3L+3popw8POC8Q
dCvpGvqeNPvXnxTmVzYVvqeYiW0Bw+3ss8xsvDtiPZ5BukPcZsEK2U2EsklnZHmH54R9ROcFQhPF
dursj2646n9LpOTLh7coZLbZ6HZstFskqbzDjkJDB/0bMrKkryfyzoOiHzG0MceQbk6fmvYyARza
y6OqnBUmfgITR6Hy9icFC6LJI2c69AM//7WzKDgeeYh4hr5+/RCfFEM22GdlRgbF4lx+jwMZUF1G
5ahzvpMNy8b9akvRj1h+fgzP6T9fb1oH9qDA7/8sbfHP7LKEF/H6aM8EyKvlwAJjCVEk0hpeHzHT
Hd5uYsg4eDgCmFJEoNN7PCPoLRU0sQR0YNxit9hZExAFk63LkRVMQAe5w/LZLYcuC/oqGaPeZTNh
zuEg1jXn5Xq8tyimDC6LqUXQdC8/g0N6b5A2m1zZuOgwYTHO8kC/w1EsVGjYv77ur8xkOw8KRxLv
DuCN+OswbzxciTGok0LGcMm5/A6LIoJQ2S0o09KIvt5dFI5iEtI0Gk8snbP4QHcUjgcgU8Pm/KEW
5s2LYh+hXUeizgBoy2Ap+3djxhfcjGw4X52Gh7jNMkIxPjF92s63+/vbUBS2UFIGDHBZbsAihWDn
9QELx3kLKnuAG8qz2pVRgg9HQY94Tl7uqW9bEUY/2wTOtMUNWIRQ7awIZjp2FBADJhgxuxzgYyJ2
V+OZUBBHz7vgSmwlIEq4PAhXFq6NnUWBw0AWjF1QHHYHejHmc3NZ02FbbFlMFPzg3vikCJsOChQw
RhoGOMx2FwX4lxFXZavlGT3EJwVdDdSLRdEhR7MuXv83Lgq3QFwhUFm8i89Tyt6isJ1YWHsYVPTn
robDe31g47gYc9VRwVLASt9hUWi6fM7K+wos7S0K+Al5pwYPpv1scj/ERRGgLIofKB+Nv9+6KM9p
f+xNHPH4mPAS7G+04Cv8GAxcDGwsL6PiIY2z4vRB7gWxCYwPhMKW+9ZFgSwWVPBzRd2PoDaLlQcq
gCw+1IugLu6BDFIaefxMW+/xmHDUmvz9FRHYf0ygjeGV8KNiRBNlsof37kDvkhyF+wVnCheRl5Pg
LUePc8RYzElL9O03MG3n6AG7553iWXme8A9xUcR+iCJN5/omSMs3DykiHVqcOD+BDHZyRw/vQdmP
y+YzvuFBEZssq8wAT3Ib3OsPuC+T/5OrJ8MiN8WD3GRZFEQXDmAQNxVTpLm8bVHYZNlFBU0iy7yQ
4l6z8/Kg0xHclwpoI5LED3BHeR4mfj+/95fxR/Gg8Be0EYk5nPFCRLCzKKZQv3AZZLx7Fqsc5tvD
uQOjrmPkevtpLBaFiQzUiMugAPL2+UD7JUXoQC/HvDnPGKrgZGBI37zF8uYIRtgQa/wsyt+HC6DZ
+QWMQ88E6mG+Ohb6HEE8KIbz7J9/83YC3SoLbgSGnjdn/9VhppchY1k3fufD3E+QHyLR4RICH/MO
iyIOYxB6nJDKM8MoXsad/YSeJsBgCo/pfj3QTRbhJig1gyyQAajPWw8eFoUtFFgTKAURDvb8nUXR
j8SYiEVaFbDsgVKkuKp/0ub4yycPAa68Opi1BSXwY8CN2x8JrzjOD1bdxkYLqoGElbPiPQA3cfKw
VXC5ZGP5OoTsvD4OjyY4JU8JO+1h3nrg+pkVOAkEH/Uu8hwhhuX6yy7FiaztXwXRWKOTBB2n6/sw
1W18Mu5lMBuQ/sDubybAxJMCayTUfJYGTy/yj3eeFBYFbQ75BWQiHOz9GBwIyR9YKdeU95hTTM4d
ZH3oKgmVoS5id1HE2yrz5cPdaAXBbXIYI/h7F9USTwp3bUMxBGHOXrt7IutHjgDaGBgFWHGY4jax
JiRu8mMj3QSJ2zucyBwq7FJQr8/GhF0lF0yp/k9VxkHeeDhzBB0FDEQk1FvXgwFfQK2ChLaIZAGX
2XtxeECefbWHe+UB8aDchjuqiVDzrSvCW8N5wrYEWvCcivYjloe3Ce0OTNCBKlEYT5Ba4UkgWp8B
/82gLI+JuOhwiAn9raBB9x4T2CSeEDaar/7sA3x3OIb5qSItILlO2bO0//ogy+VY6Ph5+PB9/FA9
LGZcQT1Cowpn+iHiSqImgf+IAetddObiSRHNDKzHy7ax96TwQIoF+yfsdHhPCle/nyVq/fqTQmeF
iDRgRSwEW5Che4si9AVchjByCOnFIT4pLAqaK5Ae/JIgBm8/elgUwaOjR+bu+0OoGg8lQDXvD9vO
VzDr0PhA5IocFXx+EtgMYap4I7ZEuCYR62Lb4BYottK9J0VgTpgISYQ8yEURmj+hzxPKEX6wcJtv
P31Erws7FNvKi+hvd0gxj5icLaAlkLiD3E1In2euZ2bgMHjzDRAARXi68KuQscehq7Bd7NwAYWMV
LkGIUQ8Vf0RfzvGAJOTH1UJ/ZouFFEZ2882Zsv+MCLaDSZcbM3q6wwRQ2O04Bn6vZeHPLAqmFWTV
Nn4Y9IM/UPsx5CJkwLsiWnQPVFUNxCOsPOyGyFHeYzcBf8YoSmYktMCP/PnY7iyVZwkRwqFajkUC
8+9HR/+ZJ4V7JVGGJOAjOPmRto39RnhMCQE+VCkKJycQ6jP4+KPMqj+zKMwfvB84evjDa7tYgTDs
gyJQUYp6DI3hHz98/sAU8zVy4yF+ui///j8AAAD//w==</cx:binary>
              </cx:geoCache>
            </cx:geography>
          </cx:layoutPr>
          <cx:valueColors>
            <cx:minColor>
              <a:srgbClr val="00B0F0"/>
            </cx:minColor>
            <cx:midColor>
              <a:srgbClr val="FFFF00"/>
            </cx:midColor>
            <cx:maxColor>
              <a:srgbClr val="FFC000"/>
            </cx:maxColor>
          </cx:valueColors>
          <cx:valueColorPositions count="3"/>
        </cx:series>
      </cx:plotAreaRegion>
    </cx:plotArea>
    <cx:legend pos="r" align="ctr" overlay="1">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effectLst>
      <a:outerShdw blurRad="25400" dist="50800" dir="5400000" algn="ctr" rotWithShape="0">
        <a:srgbClr val="000000">
          <a:alpha val="43137"/>
        </a:srgbClr>
      </a:outerShdw>
    </a:effectLst>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444501</xdr:colOff>
      <xdr:row>2</xdr:row>
      <xdr:rowOff>182563</xdr:rowOff>
    </xdr:from>
    <xdr:to>
      <xdr:col>3</xdr:col>
      <xdr:colOff>301625</xdr:colOff>
      <xdr:row>2</xdr:row>
      <xdr:rowOff>190499</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flipV="1">
          <a:off x="444501" y="573088"/>
          <a:ext cx="1600199" cy="793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555625</xdr:colOff>
      <xdr:row>2</xdr:row>
      <xdr:rowOff>39688</xdr:rowOff>
    </xdr:from>
    <xdr:to>
      <xdr:col>8</xdr:col>
      <xdr:colOff>87313</xdr:colOff>
      <xdr:row>2</xdr:row>
      <xdr:rowOff>39689</xdr:rowOff>
    </xdr:to>
    <xdr:cxnSp macro="">
      <xdr:nvCxnSpPr>
        <xdr:cNvPr id="3" name="Straight Connector 2">
          <a:extLst>
            <a:ext uri="{FF2B5EF4-FFF2-40B4-BE49-F238E27FC236}">
              <a16:creationId xmlns:a16="http://schemas.microsoft.com/office/drawing/2014/main" id="{00000000-0008-0000-0000-000003000000}"/>
            </a:ext>
          </a:extLst>
        </xdr:cNvPr>
        <xdr:cNvCxnSpPr/>
      </xdr:nvCxnSpPr>
      <xdr:spPr>
        <a:xfrm flipV="1">
          <a:off x="3670300" y="430213"/>
          <a:ext cx="1274763"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95250</xdr:colOff>
          <xdr:row>7</xdr:row>
          <xdr:rowOff>0</xdr:rowOff>
        </xdr:from>
        <xdr:to>
          <xdr:col>12</xdr:col>
          <xdr:colOff>438150</xdr:colOff>
          <xdr:row>9</xdr:row>
          <xdr:rowOff>152400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10</xdr:row>
          <xdr:rowOff>0</xdr:rowOff>
        </xdr:from>
        <xdr:to>
          <xdr:col>12</xdr:col>
          <xdr:colOff>457200</xdr:colOff>
          <xdr:row>11</xdr:row>
          <xdr:rowOff>238125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555625</xdr:colOff>
      <xdr:row>2</xdr:row>
      <xdr:rowOff>39688</xdr:rowOff>
    </xdr:from>
    <xdr:to>
      <xdr:col>8</xdr:col>
      <xdr:colOff>87313</xdr:colOff>
      <xdr:row>2</xdr:row>
      <xdr:rowOff>39689</xdr:rowOff>
    </xdr:to>
    <xdr:cxnSp macro="">
      <xdr:nvCxnSpPr>
        <xdr:cNvPr id="4" name="Straight Connector 3">
          <a:extLst>
            <a:ext uri="{FF2B5EF4-FFF2-40B4-BE49-F238E27FC236}">
              <a16:creationId xmlns:a16="http://schemas.microsoft.com/office/drawing/2014/main" id="{00000000-0008-0000-0000-000004000000}"/>
            </a:ext>
          </a:extLst>
        </xdr:cNvPr>
        <xdr:cNvCxnSpPr/>
      </xdr:nvCxnSpPr>
      <xdr:spPr>
        <a:xfrm flipV="1">
          <a:off x="3670300" y="430213"/>
          <a:ext cx="1274763"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59893</xdr:colOff>
      <xdr:row>20</xdr:row>
      <xdr:rowOff>43963</xdr:rowOff>
    </xdr:from>
    <xdr:to>
      <xdr:col>8</xdr:col>
      <xdr:colOff>41210</xdr:colOff>
      <xdr:row>24</xdr:row>
      <xdr:rowOff>125132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45335" y="6945925"/>
          <a:ext cx="1138971" cy="8944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444501</xdr:colOff>
      <xdr:row>2</xdr:row>
      <xdr:rowOff>182563</xdr:rowOff>
    </xdr:from>
    <xdr:to>
      <xdr:col>3</xdr:col>
      <xdr:colOff>301625</xdr:colOff>
      <xdr:row>2</xdr:row>
      <xdr:rowOff>190499</xdr:rowOff>
    </xdr:to>
    <xdr:cxnSp macro="">
      <xdr:nvCxnSpPr>
        <xdr:cNvPr id="4" name="Straight Connector 3">
          <a:extLst>
            <a:ext uri="{FF2B5EF4-FFF2-40B4-BE49-F238E27FC236}">
              <a16:creationId xmlns:a16="http://schemas.microsoft.com/office/drawing/2014/main" id="{00000000-0008-0000-0200-000004000000}"/>
            </a:ext>
          </a:extLst>
        </xdr:cNvPr>
        <xdr:cNvCxnSpPr/>
      </xdr:nvCxnSpPr>
      <xdr:spPr>
        <a:xfrm flipV="1">
          <a:off x="444501" y="571501"/>
          <a:ext cx="1595437" cy="793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555625</xdr:colOff>
      <xdr:row>2</xdr:row>
      <xdr:rowOff>39688</xdr:rowOff>
    </xdr:from>
    <xdr:to>
      <xdr:col>8</xdr:col>
      <xdr:colOff>87313</xdr:colOff>
      <xdr:row>2</xdr:row>
      <xdr:rowOff>39689</xdr:rowOff>
    </xdr:to>
    <xdr:cxnSp macro="">
      <xdr:nvCxnSpPr>
        <xdr:cNvPr id="5" name="Straight Connector 4">
          <a:extLst>
            <a:ext uri="{FF2B5EF4-FFF2-40B4-BE49-F238E27FC236}">
              <a16:creationId xmlns:a16="http://schemas.microsoft.com/office/drawing/2014/main" id="{00000000-0008-0000-0200-000005000000}"/>
            </a:ext>
          </a:extLst>
        </xdr:cNvPr>
        <xdr:cNvCxnSpPr/>
      </xdr:nvCxnSpPr>
      <xdr:spPr>
        <a:xfrm flipV="1">
          <a:off x="3452813" y="428626"/>
          <a:ext cx="1270000"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95250</xdr:colOff>
          <xdr:row>7</xdr:row>
          <xdr:rowOff>0</xdr:rowOff>
        </xdr:from>
        <xdr:to>
          <xdr:col>12</xdr:col>
          <xdr:colOff>342900</xdr:colOff>
          <xdr:row>9</xdr:row>
          <xdr:rowOff>66675</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10</xdr:row>
          <xdr:rowOff>76200</xdr:rowOff>
        </xdr:from>
        <xdr:to>
          <xdr:col>12</xdr:col>
          <xdr:colOff>361950</xdr:colOff>
          <xdr:row>11</xdr:row>
          <xdr:rowOff>371475</xdr:rowOff>
        </xdr:to>
        <xdr:sp macro="" textlink="">
          <xdr:nvSpPr>
            <xdr:cNvPr id="1028" name="CommandButton2"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555625</xdr:colOff>
      <xdr:row>2</xdr:row>
      <xdr:rowOff>39688</xdr:rowOff>
    </xdr:from>
    <xdr:to>
      <xdr:col>8</xdr:col>
      <xdr:colOff>87313</xdr:colOff>
      <xdr:row>2</xdr:row>
      <xdr:rowOff>39689</xdr:rowOff>
    </xdr:to>
    <xdr:cxnSp macro="">
      <xdr:nvCxnSpPr>
        <xdr:cNvPr id="7" name="Straight Connector 6">
          <a:extLst>
            <a:ext uri="{FF2B5EF4-FFF2-40B4-BE49-F238E27FC236}">
              <a16:creationId xmlns:a16="http://schemas.microsoft.com/office/drawing/2014/main" id="{00000000-0008-0000-0200-000007000000}"/>
            </a:ext>
          </a:extLst>
        </xdr:cNvPr>
        <xdr:cNvCxnSpPr/>
      </xdr:nvCxnSpPr>
      <xdr:spPr>
        <a:xfrm flipV="1">
          <a:off x="3670300" y="430213"/>
          <a:ext cx="1274763"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213756</xdr:colOff>
      <xdr:row>38</xdr:row>
      <xdr:rowOff>168520</xdr:rowOff>
    </xdr:from>
    <xdr:to>
      <xdr:col>8</xdr:col>
      <xdr:colOff>195073</xdr:colOff>
      <xdr:row>42</xdr:row>
      <xdr:rowOff>154439</xdr:rowOff>
    </xdr:to>
    <xdr:pic>
      <xdr:nvPicPr>
        <xdr:cNvPr id="3" name="Picture 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99198" y="9715501"/>
          <a:ext cx="1138971" cy="894457"/>
        </a:xfrm>
        <a:prstGeom prst="rect">
          <a:avLst/>
        </a:prstGeom>
      </xdr:spPr>
    </xdr:pic>
    <xdr:clientData/>
  </xdr:twoCellAnchor>
  <xdr:twoCellAnchor editAs="absolute">
    <xdr:from>
      <xdr:col>2</xdr:col>
      <xdr:colOff>103909</xdr:colOff>
      <xdr:row>19</xdr:row>
      <xdr:rowOff>60613</xdr:rowOff>
    </xdr:from>
    <xdr:to>
      <xdr:col>6</xdr:col>
      <xdr:colOff>471932</xdr:colOff>
      <xdr:row>28</xdr:row>
      <xdr:rowOff>978478</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65959" y="5127913"/>
              <a:ext cx="2901673" cy="308956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112568</xdr:colOff>
          <xdr:row>12</xdr:row>
          <xdr:rowOff>123825</xdr:rowOff>
        </xdr:from>
        <xdr:to>
          <xdr:col>12</xdr:col>
          <xdr:colOff>381000</xdr:colOff>
          <xdr:row>13</xdr:row>
          <xdr:rowOff>389660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188B5C8A-E37C-4120-9132-2BFE6E6F55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UPLOAD_BANTIN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918882</xdr:colOff>
      <xdr:row>1</xdr:row>
      <xdr:rowOff>224118</xdr:rowOff>
    </xdr:from>
    <xdr:to>
      <xdr:col>2</xdr:col>
      <xdr:colOff>100853</xdr:colOff>
      <xdr:row>1</xdr:row>
      <xdr:rowOff>224118</xdr:rowOff>
    </xdr:to>
    <xdr:cxnSp macro="">
      <xdr:nvCxnSpPr>
        <xdr:cNvPr id="2" name="Straight Connector 1">
          <a:extLst>
            <a:ext uri="{FF2B5EF4-FFF2-40B4-BE49-F238E27FC236}">
              <a16:creationId xmlns:a16="http://schemas.microsoft.com/office/drawing/2014/main" id="{00000000-0008-0000-0400-000002000000}"/>
            </a:ext>
          </a:extLst>
        </xdr:cNvPr>
        <xdr:cNvCxnSpPr/>
      </xdr:nvCxnSpPr>
      <xdr:spPr>
        <a:xfrm>
          <a:off x="918882" y="560294"/>
          <a:ext cx="1467971"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8</xdr:col>
      <xdr:colOff>975756</xdr:colOff>
      <xdr:row>38</xdr:row>
      <xdr:rowOff>45255</xdr:rowOff>
    </xdr:from>
    <xdr:to>
      <xdr:col>10</xdr:col>
      <xdr:colOff>151930</xdr:colOff>
      <xdr:row>41</xdr:row>
      <xdr:rowOff>218872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844" y="10466726"/>
          <a:ext cx="1148410" cy="879588"/>
        </a:xfrm>
        <a:prstGeom prst="rect">
          <a:avLst/>
        </a:prstGeom>
      </xdr:spPr>
    </xdr:pic>
    <xdr:clientData/>
  </xdr:twoCellAnchor>
  <xdr:twoCellAnchor>
    <xdr:from>
      <xdr:col>9</xdr:col>
      <xdr:colOff>224117</xdr:colOff>
      <xdr:row>2</xdr:row>
      <xdr:rowOff>22412</xdr:rowOff>
    </xdr:from>
    <xdr:to>
      <xdr:col>10</xdr:col>
      <xdr:colOff>1120588</xdr:colOff>
      <xdr:row>2</xdr:row>
      <xdr:rowOff>22412</xdr:rowOff>
    </xdr:to>
    <xdr:cxnSp macro="">
      <xdr:nvCxnSpPr>
        <xdr:cNvPr id="5" name="Straight Connector 4">
          <a:extLst>
            <a:ext uri="{FF2B5EF4-FFF2-40B4-BE49-F238E27FC236}">
              <a16:creationId xmlns:a16="http://schemas.microsoft.com/office/drawing/2014/main" id="{00000000-0008-0000-0400-000005000000}"/>
            </a:ext>
          </a:extLst>
        </xdr:cNvPr>
        <xdr:cNvCxnSpPr/>
      </xdr:nvCxnSpPr>
      <xdr:spPr>
        <a:xfrm>
          <a:off x="6521823" y="593912"/>
          <a:ext cx="1848971"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504825</xdr:colOff>
          <xdr:row>5</xdr:row>
          <xdr:rowOff>200025</xdr:rowOff>
        </xdr:from>
        <xdr:to>
          <xdr:col>24</xdr:col>
          <xdr:colOff>323850</xdr:colOff>
          <xdr:row>6</xdr:row>
          <xdr:rowOff>581025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7</xdr:row>
          <xdr:rowOff>0</xdr:rowOff>
        </xdr:from>
        <xdr:to>
          <xdr:col>24</xdr:col>
          <xdr:colOff>323850</xdr:colOff>
          <xdr:row>7</xdr:row>
          <xdr:rowOff>638175</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martmet\Desktop\Ve%20ban%20do%20DB\Map%20Chart%20samples%20mu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TBO_MLDR&amp;DL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ẽ huyện"/>
      <sheetName val="Vẽ Tỉnh"/>
    </sheetNames>
    <sheetDataSet>
      <sheetData sheetId="0">
        <row r="3">
          <cell r="F3" t="str">
            <v>Vinh</v>
          </cell>
          <cell r="G3">
            <v>30</v>
          </cell>
        </row>
        <row r="4">
          <cell r="F4" t="str">
            <v>Cửa Lò</v>
          </cell>
          <cell r="G4">
            <v>30</v>
          </cell>
        </row>
        <row r="5">
          <cell r="F5" t="str">
            <v>Thái Hoà</v>
          </cell>
          <cell r="G5">
            <v>50</v>
          </cell>
        </row>
        <row r="6">
          <cell r="F6" t="str">
            <v>Quế Phong</v>
          </cell>
          <cell r="G6">
            <v>50</v>
          </cell>
        </row>
        <row r="7">
          <cell r="F7" t="str">
            <v>Quỳ Châu</v>
          </cell>
          <cell r="G7">
            <v>50</v>
          </cell>
        </row>
        <row r="8">
          <cell r="F8" t="str">
            <v>Kỳ Sơn</v>
          </cell>
          <cell r="G8">
            <v>50</v>
          </cell>
        </row>
        <row r="9">
          <cell r="F9" t="str">
            <v>Tương Dương</v>
          </cell>
          <cell r="G9">
            <v>50</v>
          </cell>
        </row>
        <row r="10">
          <cell r="F10" t="str">
            <v>Nghĩa Đàn</v>
          </cell>
          <cell r="G10">
            <v>50</v>
          </cell>
        </row>
        <row r="11">
          <cell r="F11" t="str">
            <v>Quỳ Hợp</v>
          </cell>
          <cell r="G11">
            <v>50</v>
          </cell>
        </row>
        <row r="12">
          <cell r="F12" t="str">
            <v>Hoàng Mai</v>
          </cell>
          <cell r="G12">
            <v>60</v>
          </cell>
        </row>
        <row r="13">
          <cell r="F13" t="str">
            <v>Quỳnh Lưu</v>
          </cell>
          <cell r="G13">
            <v>60</v>
          </cell>
        </row>
        <row r="14">
          <cell r="F14" t="str">
            <v>Con Cuông</v>
          </cell>
          <cell r="G14">
            <v>40</v>
          </cell>
        </row>
        <row r="15">
          <cell r="F15" t="str">
            <v>Tân Kỳ</v>
          </cell>
          <cell r="G15">
            <v>40</v>
          </cell>
        </row>
        <row r="16">
          <cell r="F16" t="str">
            <v>Anh Sơn</v>
          </cell>
          <cell r="G16">
            <v>40</v>
          </cell>
        </row>
        <row r="17">
          <cell r="F17" t="str">
            <v>Diễn Châu</v>
          </cell>
          <cell r="G17">
            <v>50</v>
          </cell>
        </row>
        <row r="18">
          <cell r="F18" t="str">
            <v>Yên Thành</v>
          </cell>
          <cell r="G18">
            <v>40</v>
          </cell>
        </row>
        <row r="19">
          <cell r="F19" t="str">
            <v>Đô Lương</v>
          </cell>
          <cell r="G19">
            <v>40</v>
          </cell>
        </row>
        <row r="20">
          <cell r="F20" t="str">
            <v>Thanh Chương</v>
          </cell>
          <cell r="G20">
            <v>40</v>
          </cell>
        </row>
        <row r="21">
          <cell r="F21" t="str">
            <v>Nghi Lộc</v>
          </cell>
          <cell r="G21">
            <v>30</v>
          </cell>
        </row>
        <row r="22">
          <cell r="F22" t="str">
            <v>Nam Đàn</v>
          </cell>
          <cell r="G22">
            <v>40</v>
          </cell>
        </row>
        <row r="23">
          <cell r="F23" t="str">
            <v>Hưng Nguyên</v>
          </cell>
          <cell r="G23">
            <v>40</v>
          </cell>
        </row>
        <row r="24">
          <cell r="F24" t="str">
            <v>Sầm Sơn</v>
          </cell>
          <cell r="G24">
            <v>60</v>
          </cell>
        </row>
        <row r="25">
          <cell r="F25" t="str">
            <v>Thanh Hóa</v>
          </cell>
          <cell r="G25">
            <v>60</v>
          </cell>
        </row>
        <row r="26">
          <cell r="F26" t="str">
            <v>Bỉm Sơn</v>
          </cell>
          <cell r="G26">
            <v>50</v>
          </cell>
        </row>
        <row r="27">
          <cell r="F27" t="str">
            <v>Nghi Sơn</v>
          </cell>
          <cell r="G27">
            <v>50</v>
          </cell>
        </row>
        <row r="28">
          <cell r="F28" t="str">
            <v>Bá Thước</v>
          </cell>
          <cell r="G28">
            <v>40</v>
          </cell>
        </row>
        <row r="29">
          <cell r="F29" t="str">
            <v>Cẩm Thủy</v>
          </cell>
          <cell r="G29">
            <v>40</v>
          </cell>
        </row>
        <row r="30">
          <cell r="F30" t="str">
            <v>Đông Sơn</v>
          </cell>
          <cell r="G30">
            <v>40</v>
          </cell>
        </row>
        <row r="31">
          <cell r="F31" t="str">
            <v>Hà Trung</v>
          </cell>
          <cell r="G31">
            <v>40</v>
          </cell>
        </row>
        <row r="32">
          <cell r="F32" t="str">
            <v>Hậu Lộc</v>
          </cell>
          <cell r="G32">
            <v>50</v>
          </cell>
        </row>
        <row r="33">
          <cell r="F33" t="str">
            <v>Hoằng Hóa</v>
          </cell>
          <cell r="G33">
            <v>50</v>
          </cell>
        </row>
        <row r="34">
          <cell r="F34" t="str">
            <v>Lang Chánh</v>
          </cell>
          <cell r="G34">
            <v>50</v>
          </cell>
        </row>
        <row r="35">
          <cell r="F35" t="str">
            <v>Mường Lát</v>
          </cell>
          <cell r="G35">
            <v>70</v>
          </cell>
        </row>
        <row r="36">
          <cell r="F36" t="str">
            <v>Nga Sơn</v>
          </cell>
          <cell r="G36">
            <v>60</v>
          </cell>
        </row>
        <row r="37">
          <cell r="F37" t="str">
            <v>Ngọc Lặc</v>
          </cell>
          <cell r="G37">
            <v>40</v>
          </cell>
        </row>
        <row r="38">
          <cell r="F38" t="str">
            <v>Như Thanh</v>
          </cell>
          <cell r="G38">
            <v>40</v>
          </cell>
        </row>
        <row r="39">
          <cell r="F39" t="str">
            <v>Như Xuân</v>
          </cell>
          <cell r="G39">
            <v>40</v>
          </cell>
        </row>
        <row r="40">
          <cell r="F40" t="str">
            <v>Nông Cống</v>
          </cell>
          <cell r="G40">
            <v>50</v>
          </cell>
        </row>
        <row r="41">
          <cell r="F41" t="str">
            <v>Quan Hóa</v>
          </cell>
          <cell r="G41">
            <v>70</v>
          </cell>
        </row>
        <row r="42">
          <cell r="F42" t="str">
            <v>Quan Sơn</v>
          </cell>
          <cell r="G42">
            <v>70</v>
          </cell>
        </row>
        <row r="43">
          <cell r="F43" t="str">
            <v>Quảng Xương</v>
          </cell>
          <cell r="G43">
            <v>50</v>
          </cell>
        </row>
        <row r="44">
          <cell r="F44" t="str">
            <v>Thạch Thành</v>
          </cell>
          <cell r="G44">
            <v>40</v>
          </cell>
        </row>
        <row r="45">
          <cell r="F45" t="str">
            <v>Thiệu Hóa</v>
          </cell>
          <cell r="G45">
            <v>40</v>
          </cell>
        </row>
        <row r="46">
          <cell r="F46" t="str">
            <v>Thọ Xuân</v>
          </cell>
          <cell r="G46">
            <v>40</v>
          </cell>
        </row>
        <row r="47">
          <cell r="F47" t="str">
            <v>Thường Xuân</v>
          </cell>
          <cell r="G47">
            <v>40</v>
          </cell>
        </row>
        <row r="48">
          <cell r="F48" t="str">
            <v>Triệu Sơn</v>
          </cell>
          <cell r="G48">
            <v>40</v>
          </cell>
        </row>
        <row r="49">
          <cell r="F49" t="str">
            <v>Vĩnh Lộc</v>
          </cell>
          <cell r="G49">
            <v>50</v>
          </cell>
        </row>
        <row r="50">
          <cell r="F50" t="str">
            <v>Yên Định</v>
          </cell>
          <cell r="G50">
            <v>50</v>
          </cell>
        </row>
        <row r="51">
          <cell r="F51" t="str">
            <v>Hà Tĩnh</v>
          </cell>
          <cell r="G51">
            <v>50</v>
          </cell>
        </row>
        <row r="52">
          <cell r="F52" t="str">
            <v>Hồng Lĩnh</v>
          </cell>
          <cell r="G52">
            <v>30</v>
          </cell>
        </row>
        <row r="53">
          <cell r="F53" t="str">
            <v>Thị xã Kỳ Anh</v>
          </cell>
          <cell r="G53">
            <v>50</v>
          </cell>
        </row>
        <row r="54">
          <cell r="F54" t="str">
            <v>Can Lộc</v>
          </cell>
          <cell r="G54">
            <v>40</v>
          </cell>
        </row>
        <row r="55">
          <cell r="F55" t="str">
            <v>Cẩm Xuyên</v>
          </cell>
          <cell r="G55">
            <v>30</v>
          </cell>
        </row>
        <row r="56">
          <cell r="F56" t="str">
            <v>Đức Thọ</v>
          </cell>
          <cell r="G56">
            <v>40</v>
          </cell>
        </row>
        <row r="57">
          <cell r="F57" t="str">
            <v>Hương Khê</v>
          </cell>
          <cell r="G57">
            <v>60</v>
          </cell>
        </row>
        <row r="58">
          <cell r="F58" t="str">
            <v>Hương Sơn</v>
          </cell>
          <cell r="G58">
            <v>60</v>
          </cell>
        </row>
        <row r="59">
          <cell r="F59" t="str">
            <v>Lộc Hà</v>
          </cell>
          <cell r="G59">
            <v>50</v>
          </cell>
        </row>
        <row r="60">
          <cell r="F60" t="str">
            <v>Nghi Xuân</v>
          </cell>
          <cell r="G60">
            <v>30</v>
          </cell>
        </row>
        <row r="61">
          <cell r="F61" t="str">
            <v>Thạch Hà</v>
          </cell>
          <cell r="G61">
            <v>50</v>
          </cell>
        </row>
        <row r="62">
          <cell r="F62" t="str">
            <v>Vũ Quang</v>
          </cell>
          <cell r="G62">
            <v>60</v>
          </cell>
        </row>
        <row r="63">
          <cell r="F63" t="str">
            <v>Huyện Kỳ Anh</v>
          </cell>
          <cell r="G63">
            <v>50</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TBO_MLDR&amp;DL_V3"/>
    </sheetNames>
    <definedNames>
      <definedName name="upload_bantin"/>
    </defined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7"/>
  <sheetViews>
    <sheetView zoomScale="130" zoomScaleNormal="130" workbookViewId="0">
      <selection activeCell="A12" sqref="A12:J12"/>
    </sheetView>
  </sheetViews>
  <sheetFormatPr defaultRowHeight="15" x14ac:dyDescent="0.25"/>
  <cols>
    <col min="1" max="3" width="8.7109375" customWidth="1"/>
    <col min="4" max="4" width="12.42578125" customWidth="1"/>
    <col min="5" max="5" width="8.140625" customWidth="1"/>
    <col min="6" max="8" width="8.7109375" customWidth="1"/>
    <col min="9" max="9" width="8.28515625" customWidth="1"/>
    <col min="10" max="10" width="4.42578125" customWidth="1"/>
    <col min="11" max="12" width="9.140625" customWidth="1"/>
  </cols>
  <sheetData>
    <row r="1" spans="1:12" ht="15.75" customHeight="1" x14ac:dyDescent="0.25">
      <c r="A1" s="69" t="s">
        <v>0</v>
      </c>
      <c r="B1" s="69"/>
      <c r="C1" s="69"/>
      <c r="D1" s="69"/>
      <c r="E1" s="70" t="s">
        <v>1</v>
      </c>
      <c r="F1" s="70"/>
      <c r="G1" s="70"/>
      <c r="H1" s="70"/>
      <c r="I1" s="70"/>
      <c r="J1" s="70"/>
      <c r="K1" t="str">
        <f>LEFT(C17,2)&amp;RIGHT(C17,2)</f>
        <v>0330</v>
      </c>
    </row>
    <row r="2" spans="1:12" x14ac:dyDescent="0.25">
      <c r="A2" s="71" t="s">
        <v>2</v>
      </c>
      <c r="B2" s="71"/>
      <c r="C2" s="71"/>
      <c r="D2" s="71"/>
      <c r="E2" s="72" t="s">
        <v>3</v>
      </c>
      <c r="F2" s="72"/>
      <c r="G2" s="72"/>
      <c r="H2" s="72"/>
      <c r="I2" s="72"/>
      <c r="J2" s="72"/>
    </row>
    <row r="3" spans="1:12" x14ac:dyDescent="0.25">
      <c r="A3" s="71" t="s">
        <v>4</v>
      </c>
      <c r="B3" s="71"/>
      <c r="C3" s="71"/>
      <c r="D3" s="71"/>
      <c r="E3" s="1"/>
      <c r="F3" s="1"/>
      <c r="G3" s="1"/>
      <c r="H3" s="1"/>
      <c r="I3" s="1"/>
      <c r="J3" s="1"/>
    </row>
    <row r="4" spans="1:12" ht="17.25" customHeight="1" x14ac:dyDescent="0.25">
      <c r="A4" s="69" t="s">
        <v>154</v>
      </c>
      <c r="B4" s="69"/>
      <c r="C4" s="69"/>
      <c r="D4" s="69"/>
      <c r="E4" s="1"/>
      <c r="F4" s="6" t="str">
        <f ca="1">"TP Vinh, ngày "&amp; TEXT(TODAY(),"dd")&amp; " tháng "&amp;TEXT(TODAY(),"mm")&amp;" năm "&amp;TEXT(TODAY(),"yyyy")</f>
        <v>TP Vinh, ngày 20 tháng 09 năm 2023</v>
      </c>
      <c r="G4" s="1"/>
      <c r="H4" s="1"/>
      <c r="I4" s="1"/>
      <c r="J4" s="1"/>
    </row>
    <row r="5" spans="1:12" ht="10.5" customHeight="1" x14ac:dyDescent="0.25">
      <c r="A5" s="1"/>
      <c r="B5" s="1"/>
      <c r="C5" s="1"/>
      <c r="D5" s="1"/>
      <c r="E5" s="1"/>
      <c r="F5" s="1"/>
      <c r="G5" s="1"/>
      <c r="H5" s="1"/>
      <c r="I5" s="1"/>
      <c r="J5" s="1"/>
    </row>
    <row r="6" spans="1:12" ht="15" customHeight="1" x14ac:dyDescent="0.25">
      <c r="A6" s="1"/>
      <c r="B6" s="10"/>
      <c r="C6" s="73" t="s">
        <v>137</v>
      </c>
      <c r="D6" s="73"/>
      <c r="E6" s="73"/>
      <c r="F6" s="73"/>
      <c r="G6" s="73"/>
      <c r="H6" s="73"/>
      <c r="I6" s="1"/>
      <c r="J6" s="1"/>
    </row>
    <row r="7" spans="1:12" ht="15" customHeight="1" x14ac:dyDescent="0.25">
      <c r="A7" s="1"/>
      <c r="B7" s="1"/>
      <c r="C7" s="73"/>
      <c r="D7" s="73"/>
      <c r="E7" s="73"/>
      <c r="F7" s="73"/>
      <c r="G7" s="73"/>
      <c r="H7" s="73"/>
      <c r="I7" s="1"/>
      <c r="J7" s="1"/>
    </row>
    <row r="8" spans="1:12" ht="12" customHeight="1" x14ac:dyDescent="0.25">
      <c r="A8" s="81" t="s">
        <v>145</v>
      </c>
      <c r="B8" s="81"/>
      <c r="C8" s="81"/>
      <c r="D8" s="81"/>
      <c r="E8" s="81"/>
      <c r="F8" s="81"/>
      <c r="G8" s="81"/>
      <c r="H8" s="81"/>
      <c r="I8" s="81"/>
      <c r="J8" s="81"/>
    </row>
    <row r="9" spans="1:12" ht="18" customHeight="1" x14ac:dyDescent="0.25">
      <c r="A9" s="81"/>
      <c r="B9" s="81"/>
      <c r="C9" s="81"/>
      <c r="D9" s="81"/>
      <c r="E9" s="81"/>
      <c r="F9" s="81"/>
      <c r="G9" s="81"/>
      <c r="H9" s="81"/>
      <c r="I9" s="81"/>
      <c r="J9" s="81"/>
    </row>
    <row r="10" spans="1:12" ht="20.25" customHeight="1" x14ac:dyDescent="0.25">
      <c r="A10" s="79" t="s">
        <v>132</v>
      </c>
      <c r="B10" s="79"/>
      <c r="C10" s="79"/>
      <c r="D10" s="79"/>
      <c r="E10" s="79"/>
      <c r="F10" s="79"/>
      <c r="G10" s="79"/>
      <c r="H10" s="79"/>
      <c r="I10" s="79"/>
      <c r="J10" s="79"/>
    </row>
    <row r="11" spans="1:12" ht="25.5" customHeight="1" x14ac:dyDescent="0.25">
      <c r="A11" s="82" t="s">
        <v>153</v>
      </c>
      <c r="B11" s="82"/>
      <c r="C11" s="82"/>
      <c r="D11" s="82"/>
      <c r="E11" s="82"/>
      <c r="F11" s="82"/>
      <c r="G11" s="82"/>
      <c r="H11" s="82"/>
      <c r="I11" s="82"/>
      <c r="J11" s="82"/>
    </row>
    <row r="12" spans="1:12" ht="109.5" customHeight="1" x14ac:dyDescent="0.25">
      <c r="A12" s="82" t="s">
        <v>152</v>
      </c>
      <c r="B12" s="82"/>
      <c r="C12" s="82"/>
      <c r="D12" s="82"/>
      <c r="E12" s="82"/>
      <c r="F12" s="82"/>
      <c r="G12" s="82"/>
      <c r="H12" s="82"/>
      <c r="I12" s="82"/>
      <c r="J12" s="82"/>
    </row>
    <row r="13" spans="1:12" ht="19.5" customHeight="1" x14ac:dyDescent="0.25">
      <c r="A13" s="75" t="s">
        <v>141</v>
      </c>
      <c r="B13" s="75"/>
      <c r="C13" s="75"/>
      <c r="D13" s="75"/>
      <c r="E13" s="75"/>
      <c r="F13" s="75"/>
      <c r="G13" s="75"/>
      <c r="H13" s="75"/>
      <c r="I13" s="75"/>
      <c r="J13" s="75"/>
    </row>
    <row r="14" spans="1:12" ht="50.25" customHeight="1" x14ac:dyDescent="0.25">
      <c r="A14" s="76" t="s">
        <v>151</v>
      </c>
      <c r="B14" s="77"/>
      <c r="C14" s="77"/>
      <c r="D14" s="77"/>
      <c r="E14" s="77"/>
      <c r="F14" s="77"/>
      <c r="G14" s="77"/>
      <c r="H14" s="77"/>
      <c r="I14" s="77"/>
      <c r="J14" s="77"/>
      <c r="L14" s="67" t="s">
        <v>146</v>
      </c>
    </row>
    <row r="15" spans="1:12" ht="21" customHeight="1" x14ac:dyDescent="0.25">
      <c r="A15" s="77"/>
      <c r="B15" s="77"/>
      <c r="C15" s="77"/>
      <c r="D15" s="77"/>
      <c r="E15" s="77"/>
      <c r="F15" s="77"/>
      <c r="G15" s="77"/>
      <c r="H15" s="77"/>
      <c r="I15" s="77"/>
      <c r="J15" s="77"/>
    </row>
    <row r="16" spans="1:12" ht="17.25" customHeight="1" x14ac:dyDescent="0.25">
      <c r="A16" s="60" t="s">
        <v>155</v>
      </c>
      <c r="B16" s="60"/>
      <c r="C16" s="60"/>
      <c r="D16" s="60"/>
      <c r="E16" s="60"/>
      <c r="F16" s="60"/>
      <c r="G16" s="1"/>
      <c r="H16" s="1"/>
      <c r="I16" s="1"/>
      <c r="J16" s="1"/>
    </row>
    <row r="17" spans="1:13" ht="18" customHeight="1" x14ac:dyDescent="0.25">
      <c r="A17" s="59" t="s">
        <v>136</v>
      </c>
      <c r="B17" s="50"/>
      <c r="C17" s="50" t="str">
        <f>MID(A4,13,5)</f>
        <v>03h30</v>
      </c>
      <c r="D17" s="1"/>
      <c r="E17" s="1"/>
      <c r="F17" s="1"/>
      <c r="G17" s="1"/>
      <c r="H17" s="1"/>
      <c r="I17" s="1"/>
      <c r="J17" s="1"/>
    </row>
    <row r="18" spans="1:13" ht="22.5" customHeight="1" x14ac:dyDescent="0.25">
      <c r="A18" s="50" t="s">
        <v>138</v>
      </c>
      <c r="B18" s="50"/>
      <c r="C18" s="80" t="s">
        <v>6</v>
      </c>
      <c r="D18" s="80"/>
      <c r="E18" s="1"/>
      <c r="F18" s="1"/>
      <c r="G18" s="1"/>
      <c r="H18" s="1"/>
      <c r="I18" s="1"/>
      <c r="J18" s="1"/>
    </row>
    <row r="19" spans="1:13" ht="22.5" customHeight="1" x14ac:dyDescent="0.25">
      <c r="A19" s="78" t="s">
        <v>144</v>
      </c>
      <c r="B19" s="78"/>
      <c r="C19" s="78"/>
      <c r="D19" s="78"/>
      <c r="E19" s="1"/>
      <c r="F19" s="74" t="s">
        <v>134</v>
      </c>
      <c r="G19" s="74"/>
      <c r="H19" s="74"/>
      <c r="I19" s="74"/>
      <c r="J19" s="74"/>
    </row>
    <row r="20" spans="1:13" ht="22.5" customHeight="1" x14ac:dyDescent="0.25">
      <c r="A20" s="78"/>
      <c r="B20" s="78"/>
      <c r="C20" s="78"/>
      <c r="D20" s="78"/>
      <c r="E20" s="1"/>
      <c r="F20" s="74"/>
      <c r="G20" s="74"/>
      <c r="H20" s="74"/>
      <c r="I20" s="74"/>
      <c r="J20" s="74"/>
    </row>
    <row r="21" spans="1:13" ht="22.5" customHeight="1" x14ac:dyDescent="0.25">
      <c r="A21" s="78"/>
      <c r="B21" s="78"/>
      <c r="C21" s="78"/>
      <c r="D21" s="78"/>
      <c r="E21" s="1"/>
      <c r="F21" s="74"/>
      <c r="G21" s="74"/>
      <c r="H21" s="74"/>
      <c r="I21" s="74"/>
      <c r="J21" s="74"/>
    </row>
    <row r="22" spans="1:13" ht="11.25" customHeight="1" x14ac:dyDescent="0.25">
      <c r="A22" s="78"/>
      <c r="B22" s="78"/>
      <c r="C22" s="78"/>
      <c r="D22" s="78"/>
      <c r="E22" s="1"/>
      <c r="F22" s="74"/>
      <c r="G22" s="74"/>
      <c r="H22" s="74"/>
      <c r="I22" s="74"/>
      <c r="J22" s="74"/>
    </row>
    <row r="23" spans="1:13" ht="15" customHeight="1" x14ac:dyDescent="0.25">
      <c r="A23" s="78"/>
      <c r="B23" s="78"/>
      <c r="C23" s="78"/>
      <c r="D23" s="78"/>
      <c r="E23" s="1"/>
      <c r="F23" s="74"/>
      <c r="G23" s="74"/>
      <c r="H23" s="74"/>
      <c r="I23" s="74"/>
      <c r="J23" s="74"/>
    </row>
    <row r="24" spans="1:13" ht="15" customHeight="1" x14ac:dyDescent="0.25">
      <c r="A24" s="78"/>
      <c r="B24" s="78"/>
      <c r="C24" s="78"/>
      <c r="D24" s="78"/>
      <c r="E24" s="7"/>
      <c r="F24" s="74"/>
      <c r="G24" s="74"/>
      <c r="H24" s="74"/>
      <c r="I24" s="74"/>
      <c r="J24" s="74"/>
      <c r="K24" s="9"/>
      <c r="L24" s="9"/>
      <c r="M24" s="9"/>
    </row>
    <row r="25" spans="1:13" ht="15" customHeight="1" x14ac:dyDescent="0.25">
      <c r="A25" s="78"/>
      <c r="B25" s="78"/>
      <c r="C25" s="78"/>
      <c r="D25" s="78"/>
      <c r="E25" s="7"/>
      <c r="F25" s="74"/>
      <c r="G25" s="74"/>
      <c r="H25" s="74"/>
      <c r="I25" s="74"/>
      <c r="J25" s="74"/>
    </row>
    <row r="26" spans="1:13" ht="42" customHeight="1" x14ac:dyDescent="0.25">
      <c r="A26" s="78"/>
      <c r="B26" s="78"/>
      <c r="C26" s="78"/>
      <c r="D26" s="78"/>
      <c r="E26" s="9"/>
      <c r="F26" s="74"/>
      <c r="G26" s="74"/>
      <c r="H26" s="74"/>
      <c r="I26" s="74"/>
      <c r="J26" s="74"/>
    </row>
    <row r="27" spans="1:13" x14ac:dyDescent="0.25">
      <c r="A27" s="8"/>
      <c r="B27" s="9"/>
      <c r="C27" s="9"/>
      <c r="D27" s="9"/>
      <c r="E27" s="9"/>
      <c r="F27" s="9"/>
      <c r="G27" s="9"/>
      <c r="H27" s="9"/>
      <c r="I27" s="9"/>
      <c r="J27" s="9"/>
    </row>
    <row r="28" spans="1:13" x14ac:dyDescent="0.25">
      <c r="A28" s="9"/>
      <c r="B28" s="9"/>
      <c r="C28" s="9"/>
      <c r="D28" s="9"/>
      <c r="E28" s="9"/>
      <c r="F28" s="9"/>
      <c r="G28" s="9"/>
      <c r="H28" s="9"/>
      <c r="I28" s="9"/>
      <c r="J28" s="9"/>
    </row>
    <row r="29" spans="1:13" x14ac:dyDescent="0.25">
      <c r="A29" s="9"/>
      <c r="B29" s="9"/>
      <c r="C29" s="9"/>
      <c r="D29" s="9"/>
      <c r="E29" s="9"/>
      <c r="F29" s="9"/>
      <c r="G29" s="9"/>
      <c r="H29" s="9"/>
      <c r="I29" s="9"/>
      <c r="J29" s="9"/>
    </row>
    <row r="30" spans="1:13" x14ac:dyDescent="0.25">
      <c r="A30" s="7"/>
      <c r="B30" s="7"/>
      <c r="C30" s="7"/>
      <c r="D30" s="7"/>
      <c r="E30" s="7"/>
      <c r="F30" s="7"/>
      <c r="G30" s="7"/>
      <c r="H30" s="7"/>
      <c r="I30" s="7"/>
      <c r="J30" s="7"/>
    </row>
    <row r="31" spans="1:13" ht="17.25" customHeight="1" x14ac:dyDescent="0.25">
      <c r="A31" s="10"/>
      <c r="B31" s="10"/>
      <c r="C31" s="10"/>
      <c r="D31" s="10"/>
      <c r="E31" s="10"/>
      <c r="F31" s="10"/>
      <c r="G31" s="10"/>
      <c r="H31" s="10"/>
      <c r="I31" s="10"/>
      <c r="J31" s="10"/>
    </row>
    <row r="32" spans="1:13" x14ac:dyDescent="0.25">
      <c r="A32" s="5"/>
      <c r="B32" s="5"/>
      <c r="C32" s="5"/>
      <c r="D32" s="5"/>
      <c r="E32" s="5"/>
      <c r="F32" s="5"/>
      <c r="G32" s="5"/>
      <c r="H32" s="5"/>
      <c r="I32" s="5"/>
      <c r="J32" s="5"/>
    </row>
    <row r="33" spans="1:10" x14ac:dyDescent="0.25">
      <c r="A33" s="1"/>
      <c r="B33" s="1"/>
      <c r="C33" s="1"/>
      <c r="D33" s="1"/>
      <c r="E33" s="1"/>
      <c r="F33" s="1"/>
      <c r="G33" s="1"/>
      <c r="H33" s="72"/>
      <c r="I33" s="72"/>
      <c r="J33" s="72"/>
    </row>
    <row r="34" spans="1:10" x14ac:dyDescent="0.25">
      <c r="A34" s="1"/>
      <c r="B34" s="1"/>
      <c r="C34" s="1"/>
      <c r="D34" s="1"/>
      <c r="E34" s="1"/>
      <c r="F34" s="1"/>
      <c r="G34" s="1"/>
      <c r="H34" s="1"/>
      <c r="I34" s="1"/>
      <c r="J34" s="1"/>
    </row>
    <row r="35" spans="1:10" x14ac:dyDescent="0.25">
      <c r="A35" s="1"/>
      <c r="B35" s="1"/>
      <c r="C35" s="1"/>
      <c r="D35" s="1"/>
      <c r="E35" s="1"/>
      <c r="F35" s="1"/>
      <c r="G35" s="1"/>
      <c r="H35" s="72"/>
      <c r="I35" s="72"/>
      <c r="J35" s="72"/>
    </row>
    <row r="36" spans="1:10" x14ac:dyDescent="0.25">
      <c r="A36" s="1"/>
      <c r="B36" s="1"/>
      <c r="C36" s="1"/>
      <c r="D36" s="1"/>
      <c r="E36" s="1"/>
      <c r="F36" s="1"/>
      <c r="G36" s="1"/>
      <c r="H36" s="1"/>
      <c r="I36" s="1"/>
      <c r="J36" s="1"/>
    </row>
    <row r="37" spans="1:10" x14ac:dyDescent="0.25">
      <c r="A37" s="1"/>
      <c r="B37" s="1"/>
      <c r="C37" s="1"/>
      <c r="D37" s="1"/>
      <c r="E37" s="1"/>
      <c r="F37" s="1"/>
      <c r="G37" s="1"/>
      <c r="H37" s="1"/>
      <c r="I37" s="1"/>
      <c r="J37" s="1"/>
    </row>
  </sheetData>
  <dataConsolidate link="1"/>
  <mergeCells count="18">
    <mergeCell ref="H35:J35"/>
    <mergeCell ref="C6:H7"/>
    <mergeCell ref="F19:J26"/>
    <mergeCell ref="A13:J13"/>
    <mergeCell ref="A14:J15"/>
    <mergeCell ref="A19:D26"/>
    <mergeCell ref="H33:J33"/>
    <mergeCell ref="A10:J10"/>
    <mergeCell ref="C18:D18"/>
    <mergeCell ref="A8:J9"/>
    <mergeCell ref="A11:J11"/>
    <mergeCell ref="A12:J12"/>
    <mergeCell ref="A4:D4"/>
    <mergeCell ref="A1:D1"/>
    <mergeCell ref="E1:J1"/>
    <mergeCell ref="A2:D2"/>
    <mergeCell ref="E2:J2"/>
    <mergeCell ref="A3:D3"/>
  </mergeCells>
  <pageMargins left="0.98425196850393704" right="0.59055118110236227" top="0.39370078740157483" bottom="0.39370078740157483" header="0.31496062992125984" footer="0.31496062992125984"/>
  <pageSetup orientation="portrait" r:id="rId1"/>
  <headerFooter>
    <oddFooter>&amp;C&amp;P</oddFooter>
  </headerFooter>
  <drawing r:id="rId2"/>
  <legacyDrawing r:id="rId3"/>
  <controls>
    <mc:AlternateContent xmlns:mc="http://schemas.openxmlformats.org/markup-compatibility/2006">
      <mc:Choice Requires="x14">
        <control shapeId="7170" r:id="rId4" name="CommandButton2">
          <controlPr defaultSize="0" autoLine="0" r:id="rId5">
            <anchor moveWithCells="1">
              <from>
                <xdr:col>10</xdr:col>
                <xdr:colOff>114300</xdr:colOff>
                <xdr:row>10</xdr:row>
                <xdr:rowOff>0</xdr:rowOff>
              </from>
              <to>
                <xdr:col>12</xdr:col>
                <xdr:colOff>457200</xdr:colOff>
                <xdr:row>11</xdr:row>
                <xdr:rowOff>238125</xdr:rowOff>
              </to>
            </anchor>
          </controlPr>
        </control>
      </mc:Choice>
      <mc:Fallback>
        <control shapeId="7170" r:id="rId4" name="CommandButton2"/>
      </mc:Fallback>
    </mc:AlternateContent>
    <mc:AlternateContent xmlns:mc="http://schemas.openxmlformats.org/markup-compatibility/2006">
      <mc:Choice Requires="x14">
        <control shapeId="7169" r:id="rId6" name="CommandButton1">
          <controlPr defaultSize="0" autoLine="0" r:id="rId7">
            <anchor moveWithCells="1">
              <from>
                <xdr:col>10</xdr:col>
                <xdr:colOff>95250</xdr:colOff>
                <xdr:row>7</xdr:row>
                <xdr:rowOff>0</xdr:rowOff>
              </from>
              <to>
                <xdr:col>12</xdr:col>
                <xdr:colOff>438150</xdr:colOff>
                <xdr:row>9</xdr:row>
                <xdr:rowOff>152400</xdr:rowOff>
              </to>
            </anchor>
          </controlPr>
        </control>
      </mc:Choice>
      <mc:Fallback>
        <control shapeId="7169" r:id="rId6"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HSDB_CBMLDR!$L$4:$L$10</xm:f>
          </x14:formula1>
          <xm:sqref>H35:J35</xm:sqref>
        </x14:dataValidation>
        <x14:dataValidation type="list" allowBlank="1" showInputMessage="1" showErrorMessage="1" xr:uid="{00000000-0002-0000-0000-000001000000}">
          <x14:formula1>
            <xm:f>HSDB_CBMLDR!$L$4:$L$9</xm:f>
          </x14:formula1>
          <xm:sqref>C18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44"/>
  <sheetViews>
    <sheetView zoomScale="115" zoomScaleNormal="115" workbookViewId="0">
      <selection activeCell="Q9" sqref="Q9"/>
    </sheetView>
  </sheetViews>
  <sheetFormatPr defaultRowHeight="15" x14ac:dyDescent="0.25"/>
  <cols>
    <col min="1" max="1" width="9.28515625" customWidth="1"/>
    <col min="2" max="2" width="7.5703125" customWidth="1"/>
    <col min="3" max="3" width="11.7109375" customWidth="1"/>
    <col min="4" max="4" width="7.85546875" customWidth="1"/>
    <col min="8" max="8" width="9.85546875" customWidth="1"/>
    <col min="9" max="9" width="6.140625" customWidth="1"/>
    <col min="10" max="10" width="7.5703125" customWidth="1"/>
    <col min="12" max="12" width="9.140625" hidden="1" customWidth="1"/>
  </cols>
  <sheetData>
    <row r="1" spans="1:15" ht="27" customHeight="1" x14ac:dyDescent="0.25">
      <c r="A1" s="103" t="s">
        <v>23</v>
      </c>
      <c r="B1" s="103"/>
      <c r="C1" s="103"/>
      <c r="D1" s="103"/>
      <c r="E1" s="103"/>
      <c r="F1" s="103"/>
      <c r="G1" s="103"/>
      <c r="H1" s="103"/>
      <c r="I1" s="103"/>
      <c r="J1" s="103"/>
    </row>
    <row r="2" spans="1:15" ht="15.75" x14ac:dyDescent="0.25">
      <c r="A2" s="104" t="s">
        <v>17</v>
      </c>
      <c r="B2" s="104"/>
      <c r="C2" s="104"/>
      <c r="D2" s="104"/>
      <c r="E2" s="2" t="str">
        <f>CBML!K1</f>
        <v>0330</v>
      </c>
      <c r="F2" s="4" t="str">
        <f ca="1">MID(MLDR!F4,9,30)</f>
        <v xml:space="preserve"> ngày 20 tháng 09 năm 2023</v>
      </c>
      <c r="G2" s="4"/>
      <c r="H2" s="2"/>
      <c r="I2" s="2"/>
    </row>
    <row r="3" spans="1:15" ht="15.75" x14ac:dyDescent="0.25">
      <c r="A3" s="2" t="s">
        <v>10</v>
      </c>
      <c r="B3" s="2"/>
      <c r="C3" s="3"/>
      <c r="D3" s="2"/>
      <c r="E3" s="2"/>
      <c r="F3" s="2"/>
      <c r="G3" s="2"/>
      <c r="H3" s="2"/>
      <c r="I3" s="2"/>
    </row>
    <row r="4" spans="1:15" ht="15.75" x14ac:dyDescent="0.25">
      <c r="A4" s="2" t="s">
        <v>11</v>
      </c>
      <c r="B4" s="2"/>
      <c r="C4" s="105" t="s">
        <v>100</v>
      </c>
      <c r="D4" s="105"/>
      <c r="E4" s="2" t="s">
        <v>12</v>
      </c>
      <c r="F4" s="2"/>
      <c r="G4" s="106" t="s">
        <v>98</v>
      </c>
      <c r="H4" s="106"/>
      <c r="I4" s="2"/>
      <c r="L4" t="s">
        <v>5</v>
      </c>
    </row>
    <row r="5" spans="1:15" x14ac:dyDescent="0.25">
      <c r="L5" t="s">
        <v>6</v>
      </c>
    </row>
    <row r="6" spans="1:15" ht="21" customHeight="1" x14ac:dyDescent="0.25">
      <c r="A6" s="97" t="s">
        <v>13</v>
      </c>
      <c r="B6" s="97"/>
      <c r="C6" s="97"/>
      <c r="D6" s="97"/>
      <c r="E6" s="97"/>
      <c r="F6" s="97"/>
      <c r="G6" s="97"/>
      <c r="H6" s="97"/>
      <c r="I6" s="97"/>
      <c r="J6" s="97"/>
      <c r="L6" t="s">
        <v>7</v>
      </c>
    </row>
    <row r="7" spans="1:15" ht="23.25" customHeight="1" x14ac:dyDescent="0.25">
      <c r="A7" s="92" t="s">
        <v>25</v>
      </c>
      <c r="B7" s="92"/>
      <c r="C7" s="92"/>
      <c r="D7" s="92" t="s">
        <v>37</v>
      </c>
      <c r="E7" s="92"/>
      <c r="F7" s="92"/>
      <c r="G7" s="92"/>
      <c r="H7" s="92"/>
      <c r="I7" s="92"/>
      <c r="J7" s="92"/>
      <c r="L7" t="s">
        <v>8</v>
      </c>
    </row>
    <row r="8" spans="1:15" ht="31.5" customHeight="1" x14ac:dyDescent="0.25">
      <c r="A8" s="92"/>
      <c r="B8" s="92" t="s">
        <v>18</v>
      </c>
      <c r="C8" s="92"/>
      <c r="D8" s="92" t="s">
        <v>40</v>
      </c>
      <c r="E8" s="92"/>
      <c r="F8" s="92"/>
      <c r="G8" s="92"/>
      <c r="H8" s="92"/>
      <c r="I8" s="92"/>
      <c r="J8" s="92"/>
      <c r="L8" t="s">
        <v>9</v>
      </c>
    </row>
    <row r="9" spans="1:15" ht="31.5" customHeight="1" x14ac:dyDescent="0.25">
      <c r="A9" s="92"/>
      <c r="B9" s="92" t="s">
        <v>14</v>
      </c>
      <c r="C9" s="92"/>
      <c r="D9" s="92" t="s">
        <v>24</v>
      </c>
      <c r="E9" s="92"/>
      <c r="F9" s="92"/>
      <c r="G9" s="92"/>
      <c r="H9" s="92"/>
      <c r="I9" s="92"/>
      <c r="J9" s="92"/>
      <c r="L9" t="s">
        <v>98</v>
      </c>
    </row>
    <row r="10" spans="1:15" ht="15" customHeight="1" x14ac:dyDescent="0.25">
      <c r="A10" s="107" t="s">
        <v>26</v>
      </c>
      <c r="B10" s="95"/>
      <c r="C10" s="95"/>
      <c r="D10" s="95" t="s">
        <v>43</v>
      </c>
      <c r="E10" s="95"/>
      <c r="F10" s="95"/>
      <c r="G10" s="95"/>
      <c r="H10" s="95"/>
      <c r="I10" s="95"/>
      <c r="J10" s="96"/>
    </row>
    <row r="11" spans="1:15" ht="17.25" customHeight="1" x14ac:dyDescent="0.25">
      <c r="A11" s="97" t="s">
        <v>15</v>
      </c>
      <c r="B11" s="97"/>
      <c r="C11" s="97"/>
      <c r="D11" s="97"/>
      <c r="E11" s="97"/>
      <c r="F11" s="97"/>
      <c r="G11" s="97"/>
      <c r="H11" s="97"/>
      <c r="I11" s="97"/>
      <c r="J11" s="97"/>
    </row>
    <row r="12" spans="1:15" ht="63.75" customHeight="1" x14ac:dyDescent="0.25">
      <c r="A12" s="92" t="s">
        <v>27</v>
      </c>
      <c r="B12" s="92" t="s">
        <v>28</v>
      </c>
      <c r="C12" s="92"/>
      <c r="D12" s="98" t="str">
        <f>CBML!A11</f>
        <v xml:space="preserve">      Hiện nay (17/7), rãnh thấp có trục qua Bắc bộ nối với tâm cơn bão số 1.</v>
      </c>
      <c r="E12" s="98"/>
      <c r="F12" s="98"/>
      <c r="G12" s="98"/>
      <c r="H12" s="98"/>
      <c r="I12" s="98"/>
      <c r="J12" s="98"/>
      <c r="K12" s="86"/>
      <c r="L12" s="87"/>
    </row>
    <row r="13" spans="1:15" ht="78.599999999999994" customHeight="1" x14ac:dyDescent="0.25">
      <c r="A13" s="92"/>
      <c r="B13" s="92" t="s">
        <v>29</v>
      </c>
      <c r="C13" s="92"/>
      <c r="D13" s="92" t="s">
        <v>156</v>
      </c>
      <c r="E13" s="92"/>
      <c r="F13" s="92"/>
      <c r="G13" s="92"/>
      <c r="H13" s="92"/>
      <c r="I13" s="92"/>
      <c r="J13" s="92"/>
      <c r="K13" s="94"/>
      <c r="L13" s="86"/>
      <c r="M13" s="86"/>
    </row>
    <row r="14" spans="1:15" ht="45.75" customHeight="1" x14ac:dyDescent="0.25">
      <c r="A14" s="92"/>
      <c r="B14" s="92" t="s">
        <v>30</v>
      </c>
      <c r="C14" s="92"/>
      <c r="D14" s="92" t="str">
        <f>CBML!A11</f>
        <v xml:space="preserve">      Hiện nay (17/7), rãnh thấp có trục qua Bắc bộ nối với tâm cơn bão số 1.</v>
      </c>
      <c r="E14" s="92"/>
      <c r="F14" s="92"/>
      <c r="G14" s="92"/>
      <c r="H14" s="92"/>
      <c r="I14" s="92"/>
      <c r="J14" s="92"/>
      <c r="K14" s="94"/>
      <c r="L14" s="86"/>
      <c r="M14" s="86"/>
      <c r="O14" s="56"/>
    </row>
    <row r="15" spans="1:15" ht="19.5" customHeight="1" x14ac:dyDescent="0.25">
      <c r="A15" s="97" t="s">
        <v>19</v>
      </c>
      <c r="B15" s="97"/>
      <c r="C15" s="97"/>
      <c r="D15" s="97"/>
      <c r="E15" s="97"/>
      <c r="F15" s="97"/>
      <c r="G15" s="97"/>
      <c r="H15" s="97"/>
      <c r="I15" s="97"/>
      <c r="J15" s="97"/>
    </row>
    <row r="16" spans="1:15" ht="141.75" customHeight="1" x14ac:dyDescent="0.25">
      <c r="A16" s="91" t="s">
        <v>31</v>
      </c>
      <c r="B16" s="92" t="s">
        <v>36</v>
      </c>
      <c r="C16" s="92"/>
      <c r="D16" s="93" t="str">
        <f>CBML!A12</f>
        <v xml:space="preserve">     Cảnh báo: Do ảnh hưởng của rãnh áp thấp có trục qua Bắc bộ kết hợp với hoàn lưu cơn bão số 1 nên:
      Tỉnh Thanh Hóa: từ đêm 17 - 20/7 có mưa vừa, mưa to, có nơi mưa rất to và dông với lượng mưa dự báo phổ biến 100-200mm, có nơi trên 300mm. 
      Tỉnh Nghệ An: từ đêm 17 - 20/7 có mưa vừa, mưa to, có nơi mưa rất to và dông với lượng mưa dự báo phổ biến 60-120mm, có nơi trên 150mm. </v>
      </c>
      <c r="E16" s="93"/>
      <c r="F16" s="93"/>
      <c r="G16" s="93"/>
      <c r="H16" s="93"/>
      <c r="I16" s="93"/>
      <c r="J16" s="93"/>
    </row>
    <row r="17" spans="1:10" ht="46.5" customHeight="1" x14ac:dyDescent="0.25">
      <c r="A17" s="91"/>
      <c r="B17" s="92" t="s">
        <v>32</v>
      </c>
      <c r="C17" s="92"/>
      <c r="D17" s="92" t="s">
        <v>106</v>
      </c>
      <c r="E17" s="92"/>
      <c r="F17" s="92"/>
      <c r="G17" s="92"/>
      <c r="H17" s="92"/>
      <c r="I17" s="92"/>
      <c r="J17" s="92"/>
    </row>
    <row r="18" spans="1:10" ht="23.25" customHeight="1" x14ac:dyDescent="0.25">
      <c r="A18" s="91"/>
      <c r="B18" s="92" t="s">
        <v>38</v>
      </c>
      <c r="C18" s="92"/>
      <c r="D18" s="92" t="s">
        <v>108</v>
      </c>
      <c r="E18" s="92"/>
      <c r="F18" s="92"/>
      <c r="G18" s="92"/>
      <c r="H18" s="92"/>
      <c r="I18" s="92"/>
      <c r="J18" s="92"/>
    </row>
    <row r="19" spans="1:10" ht="125.25" customHeight="1" x14ac:dyDescent="0.25">
      <c r="A19" s="111" t="s">
        <v>33</v>
      </c>
      <c r="B19" s="112"/>
      <c r="C19" s="108" t="str">
        <f>CBML!A12</f>
        <v xml:space="preserve">     Cảnh báo: Do ảnh hưởng của rãnh áp thấp có trục qua Bắc bộ kết hợp với hoàn lưu cơn bão số 1 nên:
      Tỉnh Thanh Hóa: từ đêm 17 - 20/7 có mưa vừa, mưa to, có nơi mưa rất to và dông với lượng mưa dự báo phổ biến 100-200mm, có nơi trên 300mm. 
      Tỉnh Nghệ An: từ đêm 17 - 20/7 có mưa vừa, mưa to, có nơi mưa rất to và dông với lượng mưa dự báo phổ biến 60-120mm, có nơi trên 150mm. </v>
      </c>
      <c r="D19" s="109"/>
      <c r="E19" s="109"/>
      <c r="F19" s="109"/>
      <c r="G19" s="109"/>
      <c r="H19" s="109"/>
      <c r="I19" s="109"/>
      <c r="J19" s="110"/>
    </row>
    <row r="20" spans="1:10" s="43" customFormat="1" ht="21" customHeight="1" x14ac:dyDescent="0.25">
      <c r="A20" s="113"/>
      <c r="B20" s="114"/>
      <c r="C20" s="83" t="s">
        <v>142</v>
      </c>
      <c r="D20" s="84"/>
      <c r="E20" s="84"/>
      <c r="F20" s="84"/>
      <c r="G20" s="84"/>
      <c r="H20" s="84"/>
      <c r="I20" s="84"/>
      <c r="J20" s="85"/>
    </row>
    <row r="21" spans="1:10" s="43" customFormat="1" ht="24" hidden="1" customHeight="1" x14ac:dyDescent="0.25">
      <c r="A21" s="113"/>
      <c r="B21" s="114"/>
      <c r="C21" s="83"/>
      <c r="D21" s="84"/>
      <c r="E21" s="84"/>
      <c r="F21" s="84"/>
      <c r="G21" s="84"/>
      <c r="H21" s="84"/>
      <c r="I21" s="84"/>
      <c r="J21" s="85"/>
    </row>
    <row r="22" spans="1:10" s="43" customFormat="1" ht="20.25" hidden="1" customHeight="1" x14ac:dyDescent="0.25">
      <c r="A22" s="113"/>
      <c r="B22" s="114"/>
      <c r="C22" s="100"/>
      <c r="D22" s="101"/>
      <c r="E22" s="101"/>
      <c r="F22" s="101"/>
      <c r="G22" s="101"/>
      <c r="H22" s="101"/>
      <c r="I22" s="101"/>
      <c r="J22" s="102"/>
    </row>
    <row r="23" spans="1:10" ht="21.75" customHeight="1" x14ac:dyDescent="0.25">
      <c r="A23" s="88" t="s">
        <v>20</v>
      </c>
      <c r="B23" s="89"/>
      <c r="C23" s="90"/>
      <c r="D23" s="91" t="s">
        <v>21</v>
      </c>
      <c r="E23" s="91"/>
      <c r="F23" s="91"/>
      <c r="G23" s="91"/>
      <c r="H23" s="91"/>
      <c r="I23" s="91"/>
      <c r="J23" s="91"/>
    </row>
    <row r="24" spans="1:10" ht="25.5" customHeight="1" x14ac:dyDescent="0.25">
      <c r="A24" s="88" t="s">
        <v>34</v>
      </c>
      <c r="B24" s="89"/>
      <c r="C24" s="90"/>
      <c r="D24" s="91" t="s">
        <v>16</v>
      </c>
      <c r="E24" s="91"/>
      <c r="F24" s="91"/>
      <c r="G24" s="91"/>
      <c r="H24" s="91"/>
      <c r="I24" s="91"/>
      <c r="J24" s="91"/>
    </row>
    <row r="25" spans="1:10" ht="21" customHeight="1" x14ac:dyDescent="0.25">
      <c r="A25" s="88" t="s">
        <v>35</v>
      </c>
      <c r="B25" s="89"/>
      <c r="C25" s="90"/>
      <c r="D25" s="116" t="s">
        <v>41</v>
      </c>
      <c r="E25" s="117"/>
      <c r="F25" s="16" t="str">
        <f>E2</f>
        <v>0330</v>
      </c>
      <c r="G25" s="118" t="s">
        <v>42</v>
      </c>
      <c r="H25" s="118"/>
      <c r="I25" s="118"/>
      <c r="J25" s="119"/>
    </row>
    <row r="26" spans="1:10" ht="17.25" customHeight="1" x14ac:dyDescent="0.25">
      <c r="A26" s="88" t="s">
        <v>22</v>
      </c>
      <c r="B26" s="89"/>
      <c r="C26" s="90"/>
      <c r="D26" s="92" t="s">
        <v>51</v>
      </c>
      <c r="E26" s="92"/>
      <c r="F26" s="92"/>
      <c r="G26" s="92"/>
      <c r="H26" s="92"/>
      <c r="I26" s="92"/>
      <c r="J26" s="92"/>
    </row>
    <row r="27" spans="1:10" ht="18" customHeight="1" x14ac:dyDescent="0.25">
      <c r="A27" s="17" t="s">
        <v>45</v>
      </c>
      <c r="B27" s="17"/>
      <c r="C27" s="17"/>
      <c r="D27" s="120" t="s">
        <v>46</v>
      </c>
      <c r="E27" s="121"/>
      <c r="F27" s="120" t="s">
        <v>47</v>
      </c>
      <c r="G27" s="121"/>
      <c r="H27" s="120" t="s">
        <v>50</v>
      </c>
      <c r="I27" s="122"/>
      <c r="J27" s="121"/>
    </row>
    <row r="28" spans="1:10" ht="14.25" customHeight="1" x14ac:dyDescent="0.25">
      <c r="A28" s="18" t="str">
        <f>E2</f>
        <v>0330</v>
      </c>
      <c r="B28" s="18" t="s">
        <v>48</v>
      </c>
      <c r="C28" s="19">
        <f ca="1">TODAY()</f>
        <v>45189</v>
      </c>
      <c r="D28" s="120" t="s">
        <v>109</v>
      </c>
      <c r="E28" s="121"/>
      <c r="F28" s="120" t="s">
        <v>109</v>
      </c>
      <c r="G28" s="121"/>
      <c r="H28" s="123" t="s">
        <v>139</v>
      </c>
      <c r="I28" s="122"/>
      <c r="J28" s="121"/>
    </row>
    <row r="29" spans="1:10" ht="11.25" customHeight="1" x14ac:dyDescent="0.25">
      <c r="A29" s="8"/>
      <c r="B29" s="8"/>
      <c r="C29" s="20"/>
      <c r="D29" s="21"/>
      <c r="E29" s="21"/>
      <c r="F29" s="21"/>
      <c r="G29" s="21"/>
      <c r="H29" s="21"/>
      <c r="I29" s="21"/>
      <c r="J29" s="21"/>
    </row>
    <row r="30" spans="1:10" ht="16.5" customHeight="1" x14ac:dyDescent="0.25">
      <c r="A30" s="12"/>
      <c r="B30" s="12"/>
      <c r="C30" s="124" t="s">
        <v>39</v>
      </c>
      <c r="D30" s="124"/>
      <c r="E30" s="124"/>
      <c r="F30" s="124"/>
      <c r="G30" s="124"/>
      <c r="H30" s="13"/>
      <c r="I30" s="13"/>
      <c r="J30" s="13"/>
    </row>
    <row r="31" spans="1:10" x14ac:dyDescent="0.25">
      <c r="A31" s="13"/>
      <c r="B31" s="13"/>
      <c r="C31" s="124"/>
      <c r="D31" s="124"/>
      <c r="E31" s="124"/>
      <c r="F31" s="124"/>
      <c r="G31" s="124"/>
      <c r="H31" s="13"/>
      <c r="I31" s="13"/>
      <c r="J31" s="13"/>
    </row>
    <row r="32" spans="1:10" ht="20.25" customHeight="1" x14ac:dyDescent="0.25">
      <c r="A32" s="2" t="s">
        <v>11</v>
      </c>
      <c r="B32" s="2"/>
      <c r="C32" s="105" t="str">
        <f>C4</f>
        <v>Đào Anh Công</v>
      </c>
      <c r="D32" s="105"/>
      <c r="E32" s="2" t="s">
        <v>12</v>
      </c>
      <c r="F32" s="2"/>
      <c r="G32" s="105" t="str">
        <f>G4</f>
        <v>Phan Văn Vinh</v>
      </c>
      <c r="H32" s="105"/>
      <c r="I32" s="2"/>
      <c r="J32" s="11"/>
    </row>
    <row r="33" spans="1:10" ht="20.25" customHeight="1" x14ac:dyDescent="0.25">
      <c r="A33" s="2"/>
      <c r="B33" s="2"/>
      <c r="C33" s="15"/>
      <c r="D33" s="15"/>
      <c r="E33" s="2"/>
      <c r="F33" s="2"/>
      <c r="G33" s="15"/>
      <c r="H33" s="15"/>
      <c r="I33" s="2"/>
      <c r="J33" s="11"/>
    </row>
    <row r="34" spans="1:10" ht="17.25" customHeight="1" x14ac:dyDescent="0.25">
      <c r="A34" s="99" t="s">
        <v>44</v>
      </c>
      <c r="B34" s="99"/>
      <c r="C34" s="99"/>
      <c r="D34" s="99"/>
      <c r="E34" s="99"/>
      <c r="F34" s="99"/>
      <c r="G34" s="99"/>
      <c r="H34" s="99"/>
      <c r="I34" s="11"/>
      <c r="J34" s="11"/>
    </row>
    <row r="35" spans="1:10" ht="4.5" hidden="1" customHeight="1" x14ac:dyDescent="0.25"/>
    <row r="36" spans="1:10" ht="1.5" hidden="1" customHeight="1" x14ac:dyDescent="0.25">
      <c r="A36" s="78"/>
      <c r="B36" s="78"/>
      <c r="C36" s="78"/>
      <c r="D36" s="78"/>
      <c r="E36" s="78"/>
      <c r="F36" s="78"/>
      <c r="G36" s="78"/>
      <c r="H36" s="78"/>
      <c r="I36" s="78"/>
      <c r="J36" s="78"/>
    </row>
    <row r="37" spans="1:10" ht="93" customHeight="1" x14ac:dyDescent="0.25">
      <c r="A37" s="78" t="str">
        <f>HSDB_CBMLDR!C19</f>
        <v xml:space="preserve">     Cảnh báo: Do ảnh hưởng của rãnh áp thấp có trục qua Bắc bộ kết hợp với hoàn lưu cơn bão số 1 nên:
      Tỉnh Thanh Hóa: từ đêm 17 - 20/7 có mưa vừa, mưa to, có nơi mưa rất to và dông với lượng mưa dự báo phổ biến 100-200mm, có nơi trên 300mm. 
      Tỉnh Nghệ An: từ đêm 17 - 20/7 có mưa vừa, mưa to, có nơi mưa rất to và dông với lượng mưa dự báo phổ biến 60-120mm, có nơi trên 150mm. </v>
      </c>
      <c r="B37" s="78"/>
      <c r="C37" s="78"/>
      <c r="D37" s="78"/>
      <c r="E37" s="78"/>
      <c r="F37" s="78"/>
      <c r="G37" s="78"/>
      <c r="H37" s="78"/>
      <c r="I37" s="78"/>
      <c r="J37" s="78"/>
    </row>
    <row r="38" spans="1:10" ht="16.5" customHeight="1" x14ac:dyDescent="0.25">
      <c r="A38" s="78" t="s">
        <v>142</v>
      </c>
      <c r="B38" s="78"/>
      <c r="C38" s="78"/>
      <c r="D38" s="78"/>
      <c r="E38" s="78"/>
      <c r="F38" s="78"/>
      <c r="G38" s="78"/>
      <c r="H38" s="78"/>
      <c r="I38" s="78"/>
      <c r="J38" s="78"/>
    </row>
    <row r="39" spans="1:10" ht="33" customHeight="1" x14ac:dyDescent="0.25">
      <c r="A39" s="78"/>
      <c r="B39" s="78"/>
      <c r="C39" s="78"/>
      <c r="D39" s="78"/>
      <c r="E39" s="78"/>
      <c r="F39" s="78"/>
      <c r="G39" s="78"/>
      <c r="H39" s="78"/>
      <c r="I39" s="78"/>
      <c r="J39" s="78"/>
    </row>
    <row r="40" spans="1:10" ht="20.25" customHeight="1" x14ac:dyDescent="0.25">
      <c r="A40" s="115"/>
      <c r="B40" s="115"/>
      <c r="C40" s="115"/>
      <c r="D40" s="115"/>
      <c r="E40" s="115"/>
      <c r="F40" s="115"/>
      <c r="G40" s="115"/>
      <c r="H40" s="115"/>
      <c r="I40" s="115"/>
      <c r="J40" s="115"/>
    </row>
    <row r="41" spans="1:10" x14ac:dyDescent="0.25">
      <c r="A41" s="14"/>
      <c r="B41" s="14"/>
      <c r="C41" s="14"/>
      <c r="D41" s="14"/>
      <c r="E41" s="14"/>
      <c r="F41" s="14"/>
      <c r="G41" s="14"/>
      <c r="H41" s="14"/>
      <c r="I41" s="14"/>
      <c r="J41" s="14"/>
    </row>
    <row r="42" spans="1:10" x14ac:dyDescent="0.25">
      <c r="A42" s="14"/>
      <c r="B42" s="14"/>
      <c r="C42" s="14"/>
      <c r="D42" s="14"/>
      <c r="E42" s="14"/>
      <c r="F42" s="14"/>
      <c r="G42" s="14"/>
      <c r="H42" s="14"/>
      <c r="I42" s="14"/>
      <c r="J42" s="14"/>
    </row>
    <row r="43" spans="1:10" x14ac:dyDescent="0.25">
      <c r="A43" s="14"/>
      <c r="B43" s="14"/>
      <c r="C43" s="14"/>
      <c r="D43" s="14"/>
      <c r="E43" s="14"/>
      <c r="F43" s="14"/>
      <c r="G43" s="14"/>
      <c r="H43" s="14"/>
      <c r="I43" s="14"/>
      <c r="J43" s="14"/>
    </row>
    <row r="44" spans="1:10" x14ac:dyDescent="0.25">
      <c r="A44" s="14"/>
      <c r="B44" s="14"/>
      <c r="C44" s="14"/>
      <c r="D44" s="14"/>
      <c r="E44" s="14"/>
      <c r="F44" s="14"/>
      <c r="G44" s="14"/>
      <c r="H44" s="14"/>
      <c r="I44" s="14"/>
      <c r="J44" s="14"/>
    </row>
  </sheetData>
  <mergeCells count="62">
    <mergeCell ref="A39:J39"/>
    <mergeCell ref="D18:J18"/>
    <mergeCell ref="A19:B22"/>
    <mergeCell ref="A40:J40"/>
    <mergeCell ref="D25:E25"/>
    <mergeCell ref="G25:J25"/>
    <mergeCell ref="C32:D32"/>
    <mergeCell ref="D27:E27"/>
    <mergeCell ref="F27:G27"/>
    <mergeCell ref="H27:J27"/>
    <mergeCell ref="D28:E28"/>
    <mergeCell ref="F28:G28"/>
    <mergeCell ref="H28:J28"/>
    <mergeCell ref="A37:J37"/>
    <mergeCell ref="C30:G31"/>
    <mergeCell ref="G32:H32"/>
    <mergeCell ref="A34:H34"/>
    <mergeCell ref="A36:J36"/>
    <mergeCell ref="C22:J22"/>
    <mergeCell ref="A1:J1"/>
    <mergeCell ref="A2:D2"/>
    <mergeCell ref="A7:A9"/>
    <mergeCell ref="B7:C7"/>
    <mergeCell ref="C4:D4"/>
    <mergeCell ref="G4:H4"/>
    <mergeCell ref="A6:J6"/>
    <mergeCell ref="D7:J7"/>
    <mergeCell ref="D8:J8"/>
    <mergeCell ref="D9:J9"/>
    <mergeCell ref="B8:C8"/>
    <mergeCell ref="A10:C10"/>
    <mergeCell ref="C19:J19"/>
    <mergeCell ref="D10:J10"/>
    <mergeCell ref="C20:J20"/>
    <mergeCell ref="B9:C9"/>
    <mergeCell ref="K14:M14"/>
    <mergeCell ref="A11:J11"/>
    <mergeCell ref="D12:J12"/>
    <mergeCell ref="D13:J13"/>
    <mergeCell ref="D14:J14"/>
    <mergeCell ref="A15:J15"/>
    <mergeCell ref="A12:A14"/>
    <mergeCell ref="B12:C12"/>
    <mergeCell ref="B13:C13"/>
    <mergeCell ref="B14:C14"/>
    <mergeCell ref="D17:J17"/>
    <mergeCell ref="A38:J38"/>
    <mergeCell ref="C21:J21"/>
    <mergeCell ref="K12:L12"/>
    <mergeCell ref="A26:C26"/>
    <mergeCell ref="D24:J24"/>
    <mergeCell ref="D26:J26"/>
    <mergeCell ref="A25:C25"/>
    <mergeCell ref="A24:C24"/>
    <mergeCell ref="B16:C16"/>
    <mergeCell ref="D16:J16"/>
    <mergeCell ref="A16:A18"/>
    <mergeCell ref="B17:C17"/>
    <mergeCell ref="B18:C18"/>
    <mergeCell ref="D23:J23"/>
    <mergeCell ref="A23:C23"/>
    <mergeCell ref="K13:M13"/>
  </mergeCells>
  <pageMargins left="0.98425196850393704" right="0.59055118110236227" top="0.78740157480314965" bottom="0.78740157480314965" header="0.31496062992125984" footer="0.31496062992125984"/>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Sheet1!$B$3:$B$22</xm:f>
          </x14:formula1>
          <xm:sqref>G4:H4 C4:D4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56"/>
  <sheetViews>
    <sheetView tabSelected="1" zoomScale="110" zoomScaleNormal="110" workbookViewId="0">
      <selection activeCell="K2" sqref="K2"/>
    </sheetView>
  </sheetViews>
  <sheetFormatPr defaultRowHeight="15" x14ac:dyDescent="0.25"/>
  <cols>
    <col min="1" max="3" width="8.7109375" customWidth="1"/>
    <col min="4" max="4" width="12.42578125" customWidth="1"/>
    <col min="5" max="5" width="8.140625" customWidth="1"/>
    <col min="6" max="8" width="8.7109375" customWidth="1"/>
    <col min="9" max="9" width="8.28515625" customWidth="1"/>
    <col min="10" max="10" width="4.42578125" customWidth="1"/>
    <col min="11" max="12" width="9.140625" customWidth="1"/>
  </cols>
  <sheetData>
    <row r="1" spans="1:16" ht="15.75" customHeight="1" x14ac:dyDescent="0.25">
      <c r="A1" s="69" t="s">
        <v>0</v>
      </c>
      <c r="B1" s="69"/>
      <c r="C1" s="69"/>
      <c r="D1" s="69"/>
      <c r="E1" s="70" t="s">
        <v>1</v>
      </c>
      <c r="F1" s="70"/>
      <c r="G1" s="70"/>
      <c r="H1" s="70"/>
      <c r="I1" s="70"/>
      <c r="J1" s="70"/>
      <c r="K1" t="str">
        <f ca="1">TEXT(TODAY(),"yyyymmdd")&amp;"_"&amp;LEFT(C36,2)&amp;RIGHT(C36,2)</f>
        <v>20230920_2100</v>
      </c>
    </row>
    <row r="2" spans="1:16" x14ac:dyDescent="0.25">
      <c r="A2" s="71" t="s">
        <v>2</v>
      </c>
      <c r="B2" s="71"/>
      <c r="C2" s="71"/>
      <c r="D2" s="71"/>
      <c r="E2" s="72" t="s">
        <v>3</v>
      </c>
      <c r="F2" s="72"/>
      <c r="G2" s="72"/>
      <c r="H2" s="72"/>
      <c r="I2" s="72"/>
      <c r="J2" s="72"/>
    </row>
    <row r="3" spans="1:16" x14ac:dyDescent="0.25">
      <c r="A3" s="71" t="s">
        <v>4</v>
      </c>
      <c r="B3" s="71"/>
      <c r="C3" s="71"/>
      <c r="D3" s="71"/>
      <c r="E3" s="1"/>
      <c r="F3" s="1"/>
      <c r="G3" s="1"/>
      <c r="H3" s="1"/>
      <c r="I3" s="1"/>
      <c r="J3" s="1"/>
      <c r="K3" t="str">
        <f>RIGHT(A4,4)</f>
        <v>BTBO</v>
      </c>
    </row>
    <row r="4" spans="1:16" ht="17.25" customHeight="1" x14ac:dyDescent="0.25">
      <c r="A4" s="69" t="s">
        <v>169</v>
      </c>
      <c r="B4" s="69"/>
      <c r="C4" s="69"/>
      <c r="D4" s="69"/>
      <c r="E4" s="1"/>
      <c r="F4" s="6" t="str">
        <f ca="1">"TP Vinh, ngày "&amp; TEXT(TODAY(),"dd")&amp; " tháng "&amp;TEXT(TODAY(),"mm")&amp;" năm "&amp;TEXT(TODAY(),"yyyy")</f>
        <v>TP Vinh, ngày 20 tháng 09 năm 2023</v>
      </c>
      <c r="G4" s="1"/>
      <c r="H4" s="1"/>
      <c r="I4" s="1"/>
      <c r="J4" s="1"/>
      <c r="K4" t="str">
        <f>MID(A4,5,4)</f>
        <v>MLDR</v>
      </c>
    </row>
    <row r="5" spans="1:16" ht="1.5" customHeight="1" x14ac:dyDescent="0.25">
      <c r="A5" s="1"/>
      <c r="B5" s="1"/>
      <c r="C5" s="1"/>
      <c r="D5" s="1"/>
      <c r="E5" s="1"/>
      <c r="F5" s="1"/>
      <c r="G5" s="1"/>
      <c r="H5" s="1"/>
      <c r="I5" s="1"/>
      <c r="J5" s="1"/>
    </row>
    <row r="6" spans="1:16" ht="15" customHeight="1" x14ac:dyDescent="0.25">
      <c r="A6" s="1"/>
      <c r="B6" s="132" t="s">
        <v>133</v>
      </c>
      <c r="C6" s="132"/>
      <c r="D6" s="132"/>
      <c r="E6" s="132"/>
      <c r="F6" s="132"/>
      <c r="G6" s="132"/>
      <c r="H6" s="132"/>
      <c r="I6" s="132"/>
      <c r="J6" s="1"/>
    </row>
    <row r="7" spans="1:16" ht="20.25" customHeight="1" x14ac:dyDescent="0.25">
      <c r="A7" s="1"/>
      <c r="B7" s="132"/>
      <c r="C7" s="132"/>
      <c r="D7" s="132"/>
      <c r="E7" s="132"/>
      <c r="F7" s="132"/>
      <c r="G7" s="132"/>
      <c r="H7" s="132"/>
      <c r="I7" s="132"/>
      <c r="J7" s="1"/>
    </row>
    <row r="8" spans="1:16" ht="14.25" customHeight="1" x14ac:dyDescent="0.25">
      <c r="A8" s="133" t="s">
        <v>161</v>
      </c>
      <c r="B8" s="133"/>
      <c r="C8" s="133"/>
      <c r="D8" s="133"/>
      <c r="E8" s="133"/>
      <c r="F8" s="133"/>
      <c r="G8" s="133"/>
      <c r="H8" s="133"/>
      <c r="I8" s="133"/>
      <c r="J8" s="133"/>
    </row>
    <row r="9" spans="1:16" ht="20.25" customHeight="1" x14ac:dyDescent="0.25">
      <c r="A9" s="133"/>
      <c r="B9" s="133"/>
      <c r="C9" s="133"/>
      <c r="D9" s="133"/>
      <c r="E9" s="133"/>
      <c r="F9" s="133"/>
      <c r="G9" s="133"/>
      <c r="H9" s="133"/>
      <c r="I9" s="133"/>
      <c r="J9" s="133"/>
    </row>
    <row r="10" spans="1:16" ht="17.25" customHeight="1" x14ac:dyDescent="0.25">
      <c r="A10" s="127" t="s">
        <v>170</v>
      </c>
      <c r="B10" s="127"/>
      <c r="C10" s="127"/>
      <c r="D10" s="127"/>
      <c r="E10" s="127"/>
      <c r="F10" s="127"/>
      <c r="G10" s="127"/>
      <c r="H10" s="127"/>
      <c r="I10" s="127"/>
      <c r="J10" s="127"/>
    </row>
    <row r="11" spans="1:16" ht="18.75" customHeight="1" x14ac:dyDescent="0.25">
      <c r="A11" s="127"/>
      <c r="B11" s="127"/>
      <c r="C11" s="127"/>
      <c r="D11" s="127"/>
      <c r="E11" s="127"/>
      <c r="F11" s="127"/>
      <c r="G11" s="127"/>
      <c r="H11" s="127"/>
      <c r="I11" s="127"/>
      <c r="J11" s="127"/>
    </row>
    <row r="12" spans="1:16" ht="31.5" customHeight="1" x14ac:dyDescent="0.25">
      <c r="A12" s="125" t="s">
        <v>171</v>
      </c>
      <c r="B12" s="125"/>
      <c r="C12" s="125"/>
      <c r="D12" s="125"/>
      <c r="E12" s="125"/>
      <c r="F12" s="125"/>
      <c r="G12" s="125"/>
      <c r="H12" s="125"/>
      <c r="I12" s="125"/>
      <c r="J12" s="125"/>
    </row>
    <row r="13" spans="1:16" ht="30.75" customHeight="1" x14ac:dyDescent="0.25">
      <c r="A13" s="125"/>
      <c r="B13" s="125"/>
      <c r="C13" s="125"/>
      <c r="D13" s="125"/>
      <c r="E13" s="125"/>
      <c r="F13" s="125"/>
      <c r="G13" s="125"/>
      <c r="H13" s="125"/>
      <c r="I13" s="125"/>
      <c r="J13" s="125"/>
    </row>
    <row r="14" spans="1:16" ht="39" customHeight="1" x14ac:dyDescent="0.25">
      <c r="A14" s="125" t="s">
        <v>172</v>
      </c>
      <c r="B14" s="125"/>
      <c r="C14" s="125"/>
      <c r="D14" s="125"/>
      <c r="E14" s="125"/>
      <c r="F14" s="125"/>
      <c r="G14" s="125"/>
      <c r="H14" s="125"/>
      <c r="I14" s="125"/>
      <c r="J14" s="125"/>
      <c r="P14" s="49"/>
    </row>
    <row r="15" spans="1:16" s="48" customFormat="1" ht="23.25" customHeight="1" x14ac:dyDescent="0.25">
      <c r="A15" s="126" t="s">
        <v>122</v>
      </c>
      <c r="B15" s="126"/>
      <c r="C15" s="126"/>
      <c r="D15" s="126"/>
      <c r="E15" s="126"/>
      <c r="F15" s="126"/>
      <c r="G15" s="126"/>
      <c r="H15" s="126"/>
      <c r="I15" s="126"/>
      <c r="J15" s="126"/>
    </row>
    <row r="16" spans="1:16" s="43" customFormat="1" ht="30" customHeight="1" x14ac:dyDescent="0.25">
      <c r="A16" s="128" t="s">
        <v>113</v>
      </c>
      <c r="B16" s="128"/>
      <c r="C16" s="128" t="s">
        <v>114</v>
      </c>
      <c r="D16" s="128"/>
      <c r="E16" s="128"/>
      <c r="F16" s="128" t="s">
        <v>115</v>
      </c>
      <c r="G16" s="128"/>
      <c r="H16" s="128"/>
      <c r="I16" s="128"/>
      <c r="J16" s="128"/>
    </row>
    <row r="17" spans="1:10" s="43" customFormat="1" ht="36" customHeight="1" x14ac:dyDescent="0.25">
      <c r="A17" s="129" t="s">
        <v>143</v>
      </c>
      <c r="B17" s="129"/>
      <c r="C17" s="129" t="s">
        <v>173</v>
      </c>
      <c r="D17" s="129"/>
      <c r="E17" s="129"/>
      <c r="F17" s="129" t="s">
        <v>167</v>
      </c>
      <c r="G17" s="129"/>
      <c r="H17" s="129"/>
      <c r="I17" s="129"/>
      <c r="J17" s="129"/>
    </row>
    <row r="18" spans="1:10" s="43" customFormat="1" ht="38.25" customHeight="1" x14ac:dyDescent="0.25">
      <c r="A18" s="129" t="s">
        <v>148</v>
      </c>
      <c r="B18" s="129"/>
      <c r="C18" s="129" t="s">
        <v>173</v>
      </c>
      <c r="D18" s="129"/>
      <c r="E18" s="129"/>
      <c r="F18" s="129" t="s">
        <v>167</v>
      </c>
      <c r="G18" s="129"/>
      <c r="H18" s="129"/>
      <c r="I18" s="129"/>
      <c r="J18" s="129"/>
    </row>
    <row r="19" spans="1:10" ht="36.75" hidden="1" customHeight="1" x14ac:dyDescent="0.25">
      <c r="A19" s="129" t="s">
        <v>162</v>
      </c>
      <c r="B19" s="129"/>
      <c r="C19" s="129" t="s">
        <v>168</v>
      </c>
      <c r="D19" s="129"/>
      <c r="E19" s="129"/>
      <c r="F19" s="129" t="s">
        <v>167</v>
      </c>
      <c r="G19" s="129"/>
      <c r="H19" s="129"/>
      <c r="I19" s="129"/>
      <c r="J19" s="129"/>
    </row>
    <row r="20" spans="1:10" ht="18.75" customHeight="1" x14ac:dyDescent="0.25">
      <c r="A20" s="136"/>
      <c r="B20" s="136"/>
      <c r="C20" s="136"/>
      <c r="D20" s="136"/>
      <c r="E20" s="136"/>
      <c r="F20" s="136"/>
      <c r="G20" s="136"/>
      <c r="H20" s="136"/>
      <c r="I20" s="136"/>
      <c r="J20" s="136"/>
    </row>
    <row r="21" spans="1:10" ht="26.25" customHeight="1" x14ac:dyDescent="0.25">
      <c r="A21" s="137"/>
      <c r="B21" s="137"/>
      <c r="C21" s="137"/>
      <c r="D21" s="137"/>
      <c r="E21" s="137"/>
      <c r="F21" s="137"/>
      <c r="G21" s="137"/>
      <c r="H21" s="137"/>
      <c r="I21" s="137"/>
      <c r="J21" s="137"/>
    </row>
    <row r="22" spans="1:10" ht="26.25" customHeight="1" x14ac:dyDescent="0.25">
      <c r="A22" s="137"/>
      <c r="B22" s="137"/>
      <c r="C22" s="137"/>
      <c r="D22" s="137"/>
      <c r="E22" s="137"/>
      <c r="F22" s="137"/>
      <c r="G22" s="137"/>
      <c r="H22" s="137"/>
      <c r="I22" s="137"/>
      <c r="J22" s="137"/>
    </row>
    <row r="23" spans="1:10" ht="26.25" customHeight="1" x14ac:dyDescent="0.25">
      <c r="A23" s="137"/>
      <c r="B23" s="137"/>
      <c r="C23" s="137"/>
      <c r="D23" s="137"/>
      <c r="E23" s="137"/>
      <c r="F23" s="137"/>
      <c r="G23" s="137"/>
      <c r="H23" s="137"/>
      <c r="I23" s="137"/>
      <c r="J23" s="137"/>
    </row>
    <row r="24" spans="1:10" ht="26.25" customHeight="1" x14ac:dyDescent="0.25">
      <c r="A24" s="137"/>
      <c r="B24" s="137"/>
      <c r="C24" s="137"/>
      <c r="D24" s="137"/>
      <c r="E24" s="137"/>
      <c r="F24" s="137"/>
      <c r="G24" s="137"/>
      <c r="H24" s="137"/>
      <c r="I24" s="137"/>
      <c r="J24" s="137"/>
    </row>
    <row r="25" spans="1:10" ht="26.25" customHeight="1" x14ac:dyDescent="0.25">
      <c r="A25" s="137"/>
      <c r="B25" s="137"/>
      <c r="C25" s="137"/>
      <c r="D25" s="137"/>
      <c r="E25" s="137"/>
      <c r="F25" s="137"/>
      <c r="G25" s="137"/>
      <c r="H25" s="137"/>
      <c r="I25" s="137"/>
      <c r="J25" s="137"/>
    </row>
    <row r="26" spans="1:10" ht="6.75" customHeight="1" x14ac:dyDescent="0.25">
      <c r="A26" s="137"/>
      <c r="B26" s="137"/>
      <c r="C26" s="137"/>
      <c r="D26" s="137"/>
      <c r="E26" s="137"/>
      <c r="F26" s="137"/>
      <c r="G26" s="137"/>
      <c r="H26" s="137"/>
      <c r="I26" s="137"/>
      <c r="J26" s="137"/>
    </row>
    <row r="27" spans="1:10" ht="6.75" customHeight="1" x14ac:dyDescent="0.25">
      <c r="A27" s="137"/>
      <c r="B27" s="137"/>
      <c r="C27" s="137"/>
      <c r="D27" s="137"/>
      <c r="E27" s="137"/>
      <c r="F27" s="137"/>
      <c r="G27" s="137"/>
      <c r="H27" s="137"/>
      <c r="I27" s="137"/>
      <c r="J27" s="137"/>
    </row>
    <row r="28" spans="1:10" ht="7.5" customHeight="1" x14ac:dyDescent="0.25">
      <c r="A28" s="137"/>
      <c r="B28" s="137"/>
      <c r="C28" s="137"/>
      <c r="D28" s="137"/>
      <c r="E28" s="137"/>
      <c r="F28" s="137"/>
      <c r="G28" s="137"/>
      <c r="H28" s="137"/>
      <c r="I28" s="137"/>
      <c r="J28" s="137"/>
    </row>
    <row r="29" spans="1:10" ht="81.75" customHeight="1" x14ac:dyDescent="0.25">
      <c r="A29" s="137"/>
      <c r="B29" s="137"/>
      <c r="C29" s="137"/>
      <c r="D29" s="137"/>
      <c r="E29" s="137"/>
      <c r="F29" s="137"/>
      <c r="G29" s="137"/>
      <c r="H29" s="137"/>
      <c r="I29" s="137"/>
      <c r="J29" s="137"/>
    </row>
    <row r="30" spans="1:10" ht="21.75" customHeight="1" x14ac:dyDescent="0.25">
      <c r="A30" s="131" t="s">
        <v>149</v>
      </c>
      <c r="B30" s="131"/>
      <c r="C30" s="131"/>
      <c r="D30" s="131"/>
      <c r="E30" s="131"/>
      <c r="F30" s="131"/>
      <c r="G30" s="131"/>
      <c r="H30" s="131"/>
      <c r="I30" s="131"/>
      <c r="J30" s="131"/>
    </row>
    <row r="31" spans="1:10" ht="31.5" customHeight="1" x14ac:dyDescent="0.25">
      <c r="A31" s="125" t="s">
        <v>174</v>
      </c>
      <c r="B31" s="125"/>
      <c r="C31" s="125"/>
      <c r="D31" s="125"/>
      <c r="E31" s="125"/>
      <c r="F31" s="125"/>
      <c r="G31" s="125"/>
      <c r="H31" s="125"/>
      <c r="I31" s="125"/>
      <c r="J31" s="125"/>
    </row>
    <row r="32" spans="1:10" ht="22.5" customHeight="1" x14ac:dyDescent="0.25">
      <c r="A32" s="126" t="s">
        <v>159</v>
      </c>
      <c r="B32" s="126"/>
      <c r="C32" s="126"/>
      <c r="D32" s="126"/>
      <c r="E32" s="126"/>
      <c r="F32" s="126"/>
      <c r="G32" s="126"/>
      <c r="H32" s="126"/>
      <c r="I32" s="126"/>
      <c r="J32" s="126"/>
    </row>
    <row r="33" spans="1:13" ht="38.25" customHeight="1" x14ac:dyDescent="0.25">
      <c r="A33" s="126" t="s">
        <v>157</v>
      </c>
      <c r="B33" s="135"/>
      <c r="C33" s="135"/>
      <c r="D33" s="135"/>
      <c r="E33" s="135"/>
      <c r="F33" s="135"/>
      <c r="G33" s="135"/>
      <c r="H33" s="135"/>
      <c r="I33" s="135"/>
      <c r="J33" s="135"/>
    </row>
    <row r="34" spans="1:13" ht="25.5" customHeight="1" x14ac:dyDescent="0.25">
      <c r="A34" s="135"/>
      <c r="B34" s="135"/>
      <c r="C34" s="135"/>
      <c r="D34" s="135"/>
      <c r="E34" s="135"/>
      <c r="F34" s="135"/>
      <c r="G34" s="135"/>
      <c r="H34" s="135"/>
      <c r="I34" s="135"/>
      <c r="J34" s="135"/>
    </row>
    <row r="35" spans="1:13" ht="19.5" customHeight="1" x14ac:dyDescent="0.25">
      <c r="A35" s="68" t="s">
        <v>175</v>
      </c>
      <c r="B35" s="68"/>
      <c r="C35" s="68"/>
      <c r="D35" s="68"/>
      <c r="E35" s="68"/>
      <c r="F35" s="68"/>
      <c r="G35" s="2"/>
      <c r="H35" s="2"/>
      <c r="I35" s="2"/>
      <c r="J35" s="2"/>
    </row>
    <row r="36" spans="1:13" ht="15" customHeight="1" x14ac:dyDescent="0.25">
      <c r="A36" s="2" t="s">
        <v>135</v>
      </c>
      <c r="B36" s="2"/>
      <c r="C36" s="2" t="str">
        <f>MID(A4,13,5)</f>
        <v>21h00</v>
      </c>
      <c r="D36" s="2"/>
      <c r="E36" s="2"/>
      <c r="F36" s="2"/>
      <c r="G36" s="2"/>
      <c r="H36" s="2"/>
      <c r="I36" s="2"/>
      <c r="J36" s="2"/>
    </row>
    <row r="37" spans="1:13" ht="15.75" x14ac:dyDescent="0.25">
      <c r="A37" s="2" t="s">
        <v>138</v>
      </c>
      <c r="B37" s="2"/>
      <c r="C37" s="2" t="s">
        <v>6</v>
      </c>
      <c r="D37" s="2"/>
      <c r="E37" s="2"/>
      <c r="F37" s="2"/>
      <c r="G37" s="2"/>
      <c r="H37" s="2"/>
      <c r="I37" s="2"/>
      <c r="J37" s="2"/>
    </row>
    <row r="38" spans="1:13" ht="22.5" customHeight="1" x14ac:dyDescent="0.25">
      <c r="A38" s="130" t="s">
        <v>147</v>
      </c>
      <c r="B38" s="130"/>
      <c r="C38" s="130"/>
      <c r="D38" s="130"/>
      <c r="E38" s="1"/>
      <c r="F38" s="134" t="s">
        <v>134</v>
      </c>
      <c r="G38" s="134"/>
      <c r="H38" s="134"/>
      <c r="I38" s="134"/>
      <c r="J38" s="134"/>
    </row>
    <row r="39" spans="1:13" ht="22.5" customHeight="1" x14ac:dyDescent="0.25">
      <c r="A39" s="130"/>
      <c r="B39" s="130"/>
      <c r="C39" s="130"/>
      <c r="D39" s="130"/>
      <c r="E39" s="1"/>
      <c r="F39" s="134"/>
      <c r="G39" s="134"/>
      <c r="H39" s="134"/>
      <c r="I39" s="134"/>
      <c r="J39" s="134"/>
    </row>
    <row r="40" spans="1:13" ht="22.5" customHeight="1" x14ac:dyDescent="0.25">
      <c r="A40" s="130"/>
      <c r="B40" s="130"/>
      <c r="C40" s="130"/>
      <c r="D40" s="130"/>
      <c r="E40" s="1"/>
      <c r="F40" s="134"/>
      <c r="G40" s="134"/>
      <c r="H40" s="134"/>
      <c r="I40" s="134"/>
      <c r="J40" s="134"/>
    </row>
    <row r="41" spans="1:13" ht="11.25" customHeight="1" x14ac:dyDescent="0.25">
      <c r="A41" s="130"/>
      <c r="B41" s="130"/>
      <c r="C41" s="130"/>
      <c r="D41" s="130"/>
      <c r="E41" s="1"/>
      <c r="F41" s="134"/>
      <c r="G41" s="134"/>
      <c r="H41" s="134"/>
      <c r="I41" s="134"/>
      <c r="J41" s="134"/>
    </row>
    <row r="42" spans="1:13" ht="15" customHeight="1" x14ac:dyDescent="0.25">
      <c r="A42" s="130"/>
      <c r="B42" s="130"/>
      <c r="C42" s="130"/>
      <c r="D42" s="130"/>
      <c r="E42" s="1"/>
      <c r="F42" s="134"/>
      <c r="G42" s="134"/>
      <c r="H42" s="134"/>
      <c r="I42" s="134"/>
      <c r="J42" s="134"/>
    </row>
    <row r="43" spans="1:13" ht="15" customHeight="1" x14ac:dyDescent="0.25">
      <c r="A43" s="130"/>
      <c r="B43" s="130"/>
      <c r="C43" s="130"/>
      <c r="D43" s="130"/>
      <c r="E43" s="7"/>
      <c r="F43" s="134"/>
      <c r="G43" s="134"/>
      <c r="H43" s="134"/>
      <c r="I43" s="134"/>
      <c r="J43" s="134"/>
      <c r="K43" s="9"/>
      <c r="L43" s="9"/>
      <c r="M43" s="9"/>
    </row>
    <row r="44" spans="1:13" ht="15" customHeight="1" x14ac:dyDescent="0.25">
      <c r="A44" s="130"/>
      <c r="B44" s="130"/>
      <c r="C44" s="130"/>
      <c r="D44" s="130"/>
      <c r="E44" s="7"/>
      <c r="F44" s="134"/>
      <c r="G44" s="134"/>
      <c r="H44" s="134"/>
      <c r="I44" s="134"/>
      <c r="J44" s="134"/>
    </row>
    <row r="45" spans="1:13" ht="21" customHeight="1" x14ac:dyDescent="0.25">
      <c r="A45" s="130"/>
      <c r="B45" s="130"/>
      <c r="C45" s="130"/>
      <c r="D45" s="130"/>
      <c r="E45" s="9"/>
      <c r="F45" s="134"/>
      <c r="G45" s="134"/>
      <c r="H45" s="134"/>
      <c r="I45" s="134"/>
      <c r="J45" s="134"/>
    </row>
    <row r="46" spans="1:13" x14ac:dyDescent="0.25">
      <c r="A46" s="8"/>
      <c r="B46" s="9"/>
      <c r="C46" s="9"/>
      <c r="D46" s="9"/>
      <c r="E46" s="9"/>
      <c r="F46" s="9"/>
      <c r="G46" s="9"/>
      <c r="H46" s="9"/>
      <c r="I46" s="9"/>
      <c r="J46" s="9"/>
    </row>
    <row r="47" spans="1:13" x14ac:dyDescent="0.25">
      <c r="A47" s="9"/>
      <c r="B47" s="9"/>
      <c r="C47" s="9"/>
      <c r="D47" s="9"/>
      <c r="E47" s="9"/>
      <c r="F47" s="9"/>
      <c r="G47" s="9"/>
      <c r="H47" s="9"/>
      <c r="I47" s="9"/>
      <c r="J47" s="9"/>
    </row>
    <row r="48" spans="1:13" x14ac:dyDescent="0.25">
      <c r="A48" s="9"/>
      <c r="B48" s="9"/>
      <c r="C48" s="9"/>
      <c r="D48" s="9"/>
      <c r="E48" s="9"/>
      <c r="F48" s="9"/>
      <c r="G48" s="9"/>
      <c r="H48" s="9"/>
      <c r="I48" s="9"/>
      <c r="J48" s="9"/>
    </row>
    <row r="49" spans="1:10" x14ac:dyDescent="0.25">
      <c r="A49" s="7"/>
      <c r="B49" s="7"/>
      <c r="C49" s="7"/>
      <c r="D49" s="7"/>
      <c r="E49" s="7"/>
      <c r="F49" s="7"/>
      <c r="G49" s="7"/>
      <c r="H49" s="7"/>
      <c r="I49" s="7"/>
      <c r="J49" s="7"/>
    </row>
    <row r="50" spans="1:10" ht="17.25" customHeight="1" x14ac:dyDescent="0.25">
      <c r="A50" s="10"/>
      <c r="B50" s="10"/>
      <c r="C50" s="10"/>
      <c r="D50" s="10"/>
      <c r="E50" s="10"/>
      <c r="F50" s="10"/>
      <c r="G50" s="10"/>
      <c r="H50" s="10"/>
      <c r="I50" s="10"/>
      <c r="J50" s="10"/>
    </row>
    <row r="51" spans="1:10" x14ac:dyDescent="0.25">
      <c r="A51" s="5"/>
      <c r="B51" s="5"/>
      <c r="C51" s="5"/>
      <c r="D51" s="5"/>
      <c r="E51" s="5"/>
      <c r="F51" s="5"/>
      <c r="G51" s="5"/>
      <c r="H51" s="5"/>
      <c r="I51" s="5"/>
      <c r="J51" s="5"/>
    </row>
    <row r="52" spans="1:10" x14ac:dyDescent="0.25">
      <c r="A52" s="1"/>
      <c r="B52" s="1"/>
      <c r="C52" s="1"/>
      <c r="D52" s="1"/>
      <c r="E52" s="1"/>
      <c r="F52" s="1"/>
      <c r="G52" s="1"/>
      <c r="H52" s="72"/>
      <c r="I52" s="72"/>
      <c r="J52" s="72"/>
    </row>
    <row r="53" spans="1:10" x14ac:dyDescent="0.25">
      <c r="A53" s="1"/>
      <c r="B53" s="1"/>
      <c r="C53" s="1"/>
      <c r="D53" s="1"/>
      <c r="E53" s="1"/>
      <c r="F53" s="1"/>
      <c r="G53" s="1"/>
      <c r="H53" s="1"/>
      <c r="I53" s="1"/>
      <c r="J53" s="1"/>
    </row>
    <row r="54" spans="1:10" x14ac:dyDescent="0.25">
      <c r="A54" s="1"/>
      <c r="B54" s="1"/>
      <c r="C54" s="1"/>
      <c r="D54" s="1"/>
      <c r="E54" s="1"/>
      <c r="F54" s="1"/>
      <c r="G54" s="1"/>
      <c r="H54" s="72"/>
      <c r="I54" s="72"/>
      <c r="J54" s="72"/>
    </row>
    <row r="55" spans="1:10" x14ac:dyDescent="0.25">
      <c r="A55" s="1"/>
      <c r="B55" s="1"/>
      <c r="C55" s="1"/>
      <c r="D55" s="1"/>
      <c r="E55" s="1"/>
      <c r="F55" s="1"/>
      <c r="G55" s="1"/>
      <c r="H55" s="1"/>
      <c r="I55" s="1"/>
      <c r="J55" s="1"/>
    </row>
    <row r="56" spans="1:10" x14ac:dyDescent="0.25">
      <c r="A56" s="1"/>
      <c r="B56" s="1"/>
      <c r="C56" s="1"/>
      <c r="D56" s="1"/>
      <c r="E56" s="1"/>
      <c r="F56" s="1"/>
      <c r="G56" s="1"/>
      <c r="H56" s="1"/>
      <c r="I56" s="1"/>
      <c r="J56" s="1"/>
    </row>
  </sheetData>
  <dataConsolidate link="1"/>
  <mergeCells count="33">
    <mergeCell ref="A8:J9"/>
    <mergeCell ref="F38:J45"/>
    <mergeCell ref="A17:B17"/>
    <mergeCell ref="C17:E17"/>
    <mergeCell ref="F17:J17"/>
    <mergeCell ref="A32:J32"/>
    <mergeCell ref="A33:J34"/>
    <mergeCell ref="F19:J19"/>
    <mergeCell ref="A20:J29"/>
    <mergeCell ref="A18:B18"/>
    <mergeCell ref="C18:E18"/>
    <mergeCell ref="F18:J18"/>
    <mergeCell ref="A1:D1"/>
    <mergeCell ref="A2:D2"/>
    <mergeCell ref="A3:D3"/>
    <mergeCell ref="E1:J1"/>
    <mergeCell ref="E2:J2"/>
    <mergeCell ref="H52:J52"/>
    <mergeCell ref="H54:J54"/>
    <mergeCell ref="A4:D4"/>
    <mergeCell ref="A14:J14"/>
    <mergeCell ref="A15:J15"/>
    <mergeCell ref="A10:J11"/>
    <mergeCell ref="A12:J13"/>
    <mergeCell ref="A16:B16"/>
    <mergeCell ref="A19:B19"/>
    <mergeCell ref="A38:D45"/>
    <mergeCell ref="C16:E16"/>
    <mergeCell ref="C19:E19"/>
    <mergeCell ref="F16:J16"/>
    <mergeCell ref="A30:J30"/>
    <mergeCell ref="A31:J31"/>
    <mergeCell ref="B6:I7"/>
  </mergeCells>
  <pageMargins left="0.9" right="0.3" top="0.3" bottom="0.1" header="0.31496062992126" footer="0.31496062992126"/>
  <pageSetup orientation="portrait" r:id="rId1"/>
  <headerFooter>
    <oddFooter>&amp;C&amp;P</oddFooter>
  </headerFooter>
  <drawing r:id="rId2"/>
  <legacyDrawing r:id="rId3"/>
  <controls>
    <mc:AlternateContent xmlns:mc="http://schemas.openxmlformats.org/markup-compatibility/2006">
      <mc:Choice Requires="x14">
        <control shapeId="1027" r:id="rId4" name="CommandButton1">
          <controlPr defaultSize="0" autoLine="0" r:id="rId5">
            <anchor moveWithCells="1">
              <from>
                <xdr:col>10</xdr:col>
                <xdr:colOff>95250</xdr:colOff>
                <xdr:row>7</xdr:row>
                <xdr:rowOff>0</xdr:rowOff>
              </from>
              <to>
                <xdr:col>12</xdr:col>
                <xdr:colOff>342900</xdr:colOff>
                <xdr:row>9</xdr:row>
                <xdr:rowOff>66675</xdr:rowOff>
              </to>
            </anchor>
          </controlPr>
        </control>
      </mc:Choice>
      <mc:Fallback>
        <control shapeId="1027" r:id="rId4" name="CommandButton1"/>
      </mc:Fallback>
    </mc:AlternateContent>
    <mc:AlternateContent xmlns:mc="http://schemas.openxmlformats.org/markup-compatibility/2006">
      <mc:Choice Requires="x14">
        <control shapeId="1028" r:id="rId6" name="CommandButton2">
          <controlPr defaultSize="0" autoLine="0" r:id="rId7">
            <anchor moveWithCells="1">
              <from>
                <xdr:col>10</xdr:col>
                <xdr:colOff>114300</xdr:colOff>
                <xdr:row>10</xdr:row>
                <xdr:rowOff>76200</xdr:rowOff>
              </from>
              <to>
                <xdr:col>12</xdr:col>
                <xdr:colOff>361950</xdr:colOff>
                <xdr:row>11</xdr:row>
                <xdr:rowOff>371475</xdr:rowOff>
              </to>
            </anchor>
          </controlPr>
        </control>
      </mc:Choice>
      <mc:Fallback>
        <control shapeId="1028" r:id="rId6" name="CommandButton2"/>
      </mc:Fallback>
    </mc:AlternateContent>
    <mc:AlternateContent xmlns:mc="http://schemas.openxmlformats.org/markup-compatibility/2006">
      <mc:Choice Requires="x14">
        <control shapeId="1029" r:id="rId8" name="Button 5">
          <controlPr defaultSize="0" print="0" autoFill="0" autoPict="0" macro="[2]!upload_bantin">
            <anchor moveWithCells="1" sizeWithCells="1">
              <from>
                <xdr:col>10</xdr:col>
                <xdr:colOff>114300</xdr:colOff>
                <xdr:row>12</xdr:row>
                <xdr:rowOff>123825</xdr:rowOff>
              </from>
              <to>
                <xdr:col>12</xdr:col>
                <xdr:colOff>381000</xdr:colOff>
                <xdr:row>13</xdr:row>
                <xdr:rowOff>390525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HSDB_CBMLDR!$L$4:$L$10</xm:f>
          </x14:formula1>
          <xm:sqref>H54:J54</xm:sqref>
        </x14:dataValidation>
        <x14:dataValidation type="list" allowBlank="1" showInputMessage="1" showErrorMessage="1" xr:uid="{00000000-0002-0000-0200-000001000000}">
          <x14:formula1>
            <xm:f>HSDB_CBMLDR!$L$4:$L$9</xm:f>
          </x14:formula1>
          <xm:sqref>C37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44"/>
  <sheetViews>
    <sheetView topLeftCell="A26" zoomScale="115" zoomScaleNormal="115" workbookViewId="0">
      <selection activeCell="P37" sqref="P37"/>
    </sheetView>
  </sheetViews>
  <sheetFormatPr defaultRowHeight="15" x14ac:dyDescent="0.25"/>
  <cols>
    <col min="1" max="1" width="9.28515625" customWidth="1"/>
    <col min="2" max="2" width="7.5703125" customWidth="1"/>
    <col min="3" max="3" width="11.7109375" customWidth="1"/>
    <col min="4" max="4" width="7.85546875" customWidth="1"/>
    <col min="8" max="8" width="9.85546875" customWidth="1"/>
    <col min="9" max="9" width="6.140625" customWidth="1"/>
    <col min="10" max="10" width="7.5703125" customWidth="1"/>
    <col min="12" max="12" width="9.140625" hidden="1" customWidth="1"/>
  </cols>
  <sheetData>
    <row r="1" spans="1:15" ht="27" customHeight="1" x14ac:dyDescent="0.25">
      <c r="A1" s="103" t="s">
        <v>23</v>
      </c>
      <c r="B1" s="103"/>
      <c r="C1" s="103"/>
      <c r="D1" s="103"/>
      <c r="E1" s="103"/>
      <c r="F1" s="103"/>
      <c r="G1" s="103"/>
      <c r="H1" s="103"/>
      <c r="I1" s="103"/>
      <c r="J1" s="103"/>
    </row>
    <row r="2" spans="1:15" ht="15.75" x14ac:dyDescent="0.25">
      <c r="A2" s="104" t="s">
        <v>17</v>
      </c>
      <c r="B2" s="104"/>
      <c r="C2" s="104"/>
      <c r="D2" s="104"/>
      <c r="E2" s="2" t="str">
        <f ca="1">MLDR!K1</f>
        <v>20230920_2100</v>
      </c>
      <c r="F2" s="4" t="str">
        <f ca="1">MID(MLDR!F4,9,30)</f>
        <v xml:space="preserve"> ngày 20 tháng 09 năm 2023</v>
      </c>
      <c r="G2" s="4"/>
      <c r="H2" s="2"/>
      <c r="I2" s="2"/>
    </row>
    <row r="3" spans="1:15" ht="15.75" x14ac:dyDescent="0.25">
      <c r="A3" s="2" t="s">
        <v>10</v>
      </c>
      <c r="B3" s="2"/>
      <c r="C3" s="3"/>
      <c r="D3" s="2"/>
      <c r="E3" s="2"/>
      <c r="F3" s="2"/>
      <c r="G3" s="2"/>
      <c r="H3" s="2"/>
      <c r="I3" s="2"/>
    </row>
    <row r="4" spans="1:15" ht="15.75" x14ac:dyDescent="0.25">
      <c r="A4" s="2" t="s">
        <v>11</v>
      </c>
      <c r="B4" s="2"/>
      <c r="C4" s="105" t="str">
        <f>MLDR!C37</f>
        <v>Đào Anh Công</v>
      </c>
      <c r="D4" s="105"/>
      <c r="E4" s="2" t="s">
        <v>12</v>
      </c>
      <c r="F4" s="2"/>
      <c r="G4" s="106" t="s">
        <v>100</v>
      </c>
      <c r="H4" s="106"/>
      <c r="I4" s="2"/>
      <c r="L4" t="s">
        <v>5</v>
      </c>
    </row>
    <row r="5" spans="1:15" x14ac:dyDescent="0.25">
      <c r="L5" t="s">
        <v>6</v>
      </c>
    </row>
    <row r="6" spans="1:15" ht="21" customHeight="1" x14ac:dyDescent="0.25">
      <c r="A6" s="97" t="s">
        <v>13</v>
      </c>
      <c r="B6" s="97"/>
      <c r="C6" s="97"/>
      <c r="D6" s="97"/>
      <c r="E6" s="97"/>
      <c r="F6" s="97"/>
      <c r="G6" s="97"/>
      <c r="H6" s="97"/>
      <c r="I6" s="97"/>
      <c r="J6" s="97"/>
      <c r="L6" t="s">
        <v>7</v>
      </c>
    </row>
    <row r="7" spans="1:15" ht="23.25" customHeight="1" x14ac:dyDescent="0.25">
      <c r="A7" s="92" t="s">
        <v>25</v>
      </c>
      <c r="B7" s="92"/>
      <c r="C7" s="92"/>
      <c r="D7" s="92" t="s">
        <v>37</v>
      </c>
      <c r="E7" s="92"/>
      <c r="F7" s="92"/>
      <c r="G7" s="92"/>
      <c r="H7" s="92"/>
      <c r="I7" s="92"/>
      <c r="J7" s="92"/>
      <c r="L7" t="s">
        <v>8</v>
      </c>
    </row>
    <row r="8" spans="1:15" ht="31.5" customHeight="1" x14ac:dyDescent="0.25">
      <c r="A8" s="92"/>
      <c r="B8" s="92" t="s">
        <v>18</v>
      </c>
      <c r="C8" s="92"/>
      <c r="D8" s="92" t="s">
        <v>40</v>
      </c>
      <c r="E8" s="92"/>
      <c r="F8" s="92"/>
      <c r="G8" s="92"/>
      <c r="H8" s="92"/>
      <c r="I8" s="92"/>
      <c r="J8" s="92"/>
      <c r="L8" t="s">
        <v>9</v>
      </c>
    </row>
    <row r="9" spans="1:15" ht="31.5" customHeight="1" x14ac:dyDescent="0.25">
      <c r="A9" s="92"/>
      <c r="B9" s="92" t="s">
        <v>14</v>
      </c>
      <c r="C9" s="92"/>
      <c r="D9" s="92" t="s">
        <v>24</v>
      </c>
      <c r="E9" s="92"/>
      <c r="F9" s="92"/>
      <c r="G9" s="92"/>
      <c r="H9" s="92"/>
      <c r="I9" s="92"/>
      <c r="J9" s="92"/>
      <c r="L9" t="s">
        <v>98</v>
      </c>
    </row>
    <row r="10" spans="1:15" ht="15" customHeight="1" x14ac:dyDescent="0.25">
      <c r="A10" s="107" t="s">
        <v>26</v>
      </c>
      <c r="B10" s="95"/>
      <c r="C10" s="95"/>
      <c r="D10" s="95" t="s">
        <v>43</v>
      </c>
      <c r="E10" s="95"/>
      <c r="F10" s="95"/>
      <c r="G10" s="95"/>
      <c r="H10" s="95"/>
      <c r="I10" s="95"/>
      <c r="J10" s="96"/>
    </row>
    <row r="11" spans="1:15" ht="17.25" customHeight="1" x14ac:dyDescent="0.25">
      <c r="A11" s="97" t="s">
        <v>15</v>
      </c>
      <c r="B11" s="97"/>
      <c r="C11" s="97"/>
      <c r="D11" s="97"/>
      <c r="E11" s="97"/>
      <c r="F11" s="97"/>
      <c r="G11" s="97"/>
      <c r="H11" s="97"/>
      <c r="I11" s="97"/>
      <c r="J11" s="97"/>
    </row>
    <row r="12" spans="1:15" ht="78.75" customHeight="1" x14ac:dyDescent="0.25">
      <c r="A12" s="92" t="s">
        <v>27</v>
      </c>
      <c r="B12" s="92" t="s">
        <v>28</v>
      </c>
      <c r="C12" s="92"/>
      <c r="D12" s="98" t="str">
        <f>IF(MLDR!A10="","",MID(MLDR!A10,4,5000))</f>
        <v>Diễn biến mưa trong 24 giờ qua: khu vực Bắc Trung Bộ có mưa, mưa rào và dông rải rác, có nơi mưa vừa đến mưa to như Tương Dương 81mm, Kỳ Sơn 60mm,…</v>
      </c>
      <c r="E12" s="98"/>
      <c r="F12" s="98"/>
      <c r="G12" s="98"/>
      <c r="H12" s="98"/>
      <c r="I12" s="98"/>
      <c r="J12" s="98"/>
      <c r="K12" s="86"/>
      <c r="L12" s="87"/>
    </row>
    <row r="13" spans="1:15" ht="85.5" customHeight="1" x14ac:dyDescent="0.25">
      <c r="A13" s="92"/>
      <c r="B13" s="92" t="s">
        <v>29</v>
      </c>
      <c r="C13" s="92"/>
      <c r="D13" s="92" t="str">
        <f>D12</f>
        <v>Diễn biến mưa trong 24 giờ qua: khu vực Bắc Trung Bộ có mưa, mưa rào và dông rải rác, có nơi mưa vừa đến mưa to như Tương Dương 81mm, Kỳ Sơn 60mm,…</v>
      </c>
      <c r="E13" s="92"/>
      <c r="F13" s="92"/>
      <c r="G13" s="92"/>
      <c r="H13" s="92"/>
      <c r="I13" s="92"/>
      <c r="J13" s="92"/>
      <c r="K13" s="94"/>
      <c r="L13" s="86"/>
      <c r="M13" s="86"/>
    </row>
    <row r="14" spans="1:15" ht="45.75" customHeight="1" x14ac:dyDescent="0.25">
      <c r="A14" s="92"/>
      <c r="B14" s="92" t="s">
        <v>30</v>
      </c>
      <c r="C14" s="92"/>
      <c r="D14" s="92" t="s">
        <v>160</v>
      </c>
      <c r="E14" s="92"/>
      <c r="F14" s="92"/>
      <c r="G14" s="92"/>
      <c r="H14" s="92"/>
      <c r="I14" s="92"/>
      <c r="J14" s="92"/>
      <c r="K14" s="94"/>
      <c r="L14" s="86"/>
      <c r="M14" s="86"/>
      <c r="O14" s="56"/>
    </row>
    <row r="15" spans="1:15" ht="19.5" customHeight="1" x14ac:dyDescent="0.25">
      <c r="A15" s="97" t="s">
        <v>19</v>
      </c>
      <c r="B15" s="97"/>
      <c r="C15" s="97"/>
      <c r="D15" s="97"/>
      <c r="E15" s="97"/>
      <c r="F15" s="97"/>
      <c r="G15" s="97"/>
      <c r="H15" s="97"/>
      <c r="I15" s="97"/>
      <c r="J15" s="97"/>
    </row>
    <row r="16" spans="1:15" ht="89.25" customHeight="1" x14ac:dyDescent="0.25">
      <c r="A16" s="91" t="s">
        <v>31</v>
      </c>
      <c r="B16" s="92" t="s">
        <v>36</v>
      </c>
      <c r="C16" s="92"/>
      <c r="D16" s="93" t="str">
        <f>IF(MLDR!A12="","",MID(MLDR!A12,4,5000))</f>
        <v xml:space="preserve">Dự báo diễn biến mưa lớn trong 24 đến 48 giờ tới: 
      Từ đêm 06/8 đến đêm 08/8, khu vực tỉnh Thanh Hóa và Nghệ An có mưa rào và rải rác có dông, cục bộ có nơi mưa vừa đến mưa to với lượng mưa phổ biến từ 20 - 40mm/24h, có nơi trên 70mm/24h; </v>
      </c>
      <c r="E16" s="93"/>
      <c r="F16" s="93"/>
      <c r="G16" s="93"/>
      <c r="H16" s="93"/>
      <c r="I16" s="93"/>
      <c r="J16" s="93"/>
    </row>
    <row r="17" spans="1:10" ht="46.5" customHeight="1" x14ac:dyDescent="0.25">
      <c r="A17" s="91"/>
      <c r="B17" s="92" t="s">
        <v>32</v>
      </c>
      <c r="C17" s="92"/>
      <c r="D17" s="92" t="s">
        <v>106</v>
      </c>
      <c r="E17" s="92"/>
      <c r="F17" s="92"/>
      <c r="G17" s="92"/>
      <c r="H17" s="92"/>
      <c r="I17" s="92"/>
      <c r="J17" s="92"/>
    </row>
    <row r="18" spans="1:10" ht="23.25" customHeight="1" x14ac:dyDescent="0.25">
      <c r="A18" s="91"/>
      <c r="B18" s="92" t="s">
        <v>38</v>
      </c>
      <c r="C18" s="92"/>
      <c r="D18" s="92" t="s">
        <v>150</v>
      </c>
      <c r="E18" s="92"/>
      <c r="F18" s="92"/>
      <c r="G18" s="92"/>
      <c r="H18" s="92"/>
      <c r="I18" s="92"/>
      <c r="J18" s="92"/>
    </row>
    <row r="19" spans="1:10" ht="88.5" customHeight="1" x14ac:dyDescent="0.25">
      <c r="A19" s="111" t="s">
        <v>33</v>
      </c>
      <c r="B19" s="112"/>
      <c r="C19" s="108" t="str">
        <f>IF(MLDR!A12="","",MID(MLDR!A12,4,5000))&amp;MLDR!A14</f>
        <v>Dự báo diễn biến mưa lớn trong 24 đến 48 giờ tới: 
      Từ đêm 06/8 đến đêm 08/8, khu vực tỉnh Thanh Hóa và Nghệ An có mưa rào và rải rác có dông, cục bộ có nơi mưa vừa đến mưa to với lượng mưa phổ biến từ 20 - 40mm/24h, có nơi trên 70mm/24h;      Tỉnh Nghệ An: Có mưa, mưa vừa, có nơi mưa to và dông với lượng mưa dự báo phổ biến 20 - 40mm/24h, có nơi trên 70mm/24h như: Quỳ Châu, Quỳ Hợp, Tương Dương,…</v>
      </c>
      <c r="D19" s="109"/>
      <c r="E19" s="109"/>
      <c r="F19" s="109"/>
      <c r="G19" s="109"/>
      <c r="H19" s="109"/>
      <c r="I19" s="109"/>
      <c r="J19" s="110"/>
    </row>
    <row r="20" spans="1:10" s="43" customFormat="1" ht="28.5" customHeight="1" x14ac:dyDescent="0.25">
      <c r="A20" s="113"/>
      <c r="B20" s="114"/>
      <c r="C20" s="83" t="str">
        <f>IF(MLDR!A32="","",MID(MLDR!A32,4,5000))</f>
        <v>Cảnh báo cấp độ rủi ro thiên tai do mưa lớn, lốc, sét, mưa đá: Cấp 1.</v>
      </c>
      <c r="D20" s="84"/>
      <c r="E20" s="84"/>
      <c r="F20" s="84"/>
      <c r="G20" s="84"/>
      <c r="H20" s="84"/>
      <c r="I20" s="84"/>
      <c r="J20" s="85"/>
    </row>
    <row r="21" spans="1:10" s="43" customFormat="1" ht="24" hidden="1" customHeight="1" x14ac:dyDescent="0.25">
      <c r="A21" s="113"/>
      <c r="B21" s="114"/>
      <c r="C21" s="83"/>
      <c r="D21" s="84"/>
      <c r="E21" s="84"/>
      <c r="F21" s="84"/>
      <c r="G21" s="84"/>
      <c r="H21" s="84"/>
      <c r="I21" s="84"/>
      <c r="J21" s="85"/>
    </row>
    <row r="22" spans="1:10" s="43" customFormat="1" ht="20.25" hidden="1" customHeight="1" x14ac:dyDescent="0.25">
      <c r="A22" s="113"/>
      <c r="B22" s="114"/>
      <c r="C22" s="100"/>
      <c r="D22" s="101"/>
      <c r="E22" s="101"/>
      <c r="F22" s="101"/>
      <c r="G22" s="101"/>
      <c r="H22" s="101"/>
      <c r="I22" s="101"/>
      <c r="J22" s="102"/>
    </row>
    <row r="23" spans="1:10" ht="21.75" customHeight="1" x14ac:dyDescent="0.25">
      <c r="A23" s="88" t="s">
        <v>20</v>
      </c>
      <c r="B23" s="89"/>
      <c r="C23" s="90"/>
      <c r="D23" s="91" t="s">
        <v>21</v>
      </c>
      <c r="E23" s="91"/>
      <c r="F23" s="91"/>
      <c r="G23" s="91"/>
      <c r="H23" s="91"/>
      <c r="I23" s="91"/>
      <c r="J23" s="91"/>
    </row>
    <row r="24" spans="1:10" ht="25.5" customHeight="1" x14ac:dyDescent="0.25">
      <c r="A24" s="88" t="s">
        <v>34</v>
      </c>
      <c r="B24" s="89"/>
      <c r="C24" s="90"/>
      <c r="D24" s="91" t="s">
        <v>16</v>
      </c>
      <c r="E24" s="91"/>
      <c r="F24" s="91"/>
      <c r="G24" s="91"/>
      <c r="H24" s="91"/>
      <c r="I24" s="91"/>
      <c r="J24" s="91"/>
    </row>
    <row r="25" spans="1:10" ht="21" customHeight="1" x14ac:dyDescent="0.25">
      <c r="A25" s="88" t="s">
        <v>35</v>
      </c>
      <c r="B25" s="89"/>
      <c r="C25" s="90"/>
      <c r="D25" s="116" t="s">
        <v>41</v>
      </c>
      <c r="E25" s="117"/>
      <c r="F25" s="16" t="str">
        <f ca="1">E2</f>
        <v>20230920_2100</v>
      </c>
      <c r="G25" s="118" t="s">
        <v>42</v>
      </c>
      <c r="H25" s="118"/>
      <c r="I25" s="118"/>
      <c r="J25" s="119"/>
    </row>
    <row r="26" spans="1:10" ht="17.25" customHeight="1" x14ac:dyDescent="0.25">
      <c r="A26" s="88" t="s">
        <v>22</v>
      </c>
      <c r="B26" s="89"/>
      <c r="C26" s="90"/>
      <c r="D26" s="92" t="s">
        <v>51</v>
      </c>
      <c r="E26" s="92"/>
      <c r="F26" s="92"/>
      <c r="G26" s="92"/>
      <c r="H26" s="92"/>
      <c r="I26" s="92"/>
      <c r="J26" s="92"/>
    </row>
    <row r="27" spans="1:10" ht="18" customHeight="1" x14ac:dyDescent="0.25">
      <c r="A27" s="17" t="s">
        <v>45</v>
      </c>
      <c r="B27" s="17"/>
      <c r="C27" s="17"/>
      <c r="D27" s="120" t="s">
        <v>46</v>
      </c>
      <c r="E27" s="121"/>
      <c r="F27" s="120" t="s">
        <v>47</v>
      </c>
      <c r="G27" s="121"/>
      <c r="H27" s="120" t="s">
        <v>50</v>
      </c>
      <c r="I27" s="122"/>
      <c r="J27" s="121"/>
    </row>
    <row r="28" spans="1:10" ht="14.25" customHeight="1" x14ac:dyDescent="0.25">
      <c r="A28" s="18" t="str">
        <f ca="1">E2</f>
        <v>20230920_2100</v>
      </c>
      <c r="B28" s="18" t="s">
        <v>48</v>
      </c>
      <c r="C28" s="19">
        <f ca="1">TODAY()</f>
        <v>45189</v>
      </c>
      <c r="D28" s="120" t="s">
        <v>109</v>
      </c>
      <c r="E28" s="121"/>
      <c r="F28" s="120" t="s">
        <v>109</v>
      </c>
      <c r="G28" s="121"/>
      <c r="H28" s="123" t="s">
        <v>139</v>
      </c>
      <c r="I28" s="122"/>
      <c r="J28" s="121"/>
    </row>
    <row r="29" spans="1:10" ht="11.25" customHeight="1" x14ac:dyDescent="0.25">
      <c r="A29" s="8"/>
      <c r="B29" s="8"/>
      <c r="C29" s="20"/>
      <c r="D29" s="21"/>
      <c r="E29" s="21"/>
      <c r="F29" s="21"/>
      <c r="G29" s="21"/>
      <c r="H29" s="21"/>
      <c r="I29" s="21"/>
      <c r="J29" s="21"/>
    </row>
    <row r="30" spans="1:10" ht="16.5" customHeight="1" x14ac:dyDescent="0.25">
      <c r="A30" s="12"/>
      <c r="B30" s="12"/>
      <c r="C30" s="124" t="s">
        <v>39</v>
      </c>
      <c r="D30" s="124"/>
      <c r="E30" s="124"/>
      <c r="F30" s="124"/>
      <c r="G30" s="124"/>
      <c r="H30" s="13"/>
      <c r="I30" s="13"/>
      <c r="J30" s="13"/>
    </row>
    <row r="31" spans="1:10" x14ac:dyDescent="0.25">
      <c r="A31" s="13"/>
      <c r="B31" s="13"/>
      <c r="C31" s="124"/>
      <c r="D31" s="124"/>
      <c r="E31" s="124"/>
      <c r="F31" s="124"/>
      <c r="G31" s="124"/>
      <c r="H31" s="13"/>
      <c r="I31" s="13"/>
      <c r="J31" s="13"/>
    </row>
    <row r="32" spans="1:10" ht="20.25" customHeight="1" x14ac:dyDescent="0.25">
      <c r="A32" s="2" t="s">
        <v>11</v>
      </c>
      <c r="B32" s="2"/>
      <c r="C32" s="105" t="str">
        <f>C4</f>
        <v>Đào Anh Công</v>
      </c>
      <c r="D32" s="105"/>
      <c r="E32" s="2" t="s">
        <v>12</v>
      </c>
      <c r="F32" s="2"/>
      <c r="G32" s="105" t="str">
        <f>G4</f>
        <v>Đào Anh Công</v>
      </c>
      <c r="H32" s="105"/>
      <c r="I32" s="2"/>
      <c r="J32" s="11"/>
    </row>
    <row r="33" spans="1:10" ht="20.25" customHeight="1" x14ac:dyDescent="0.25">
      <c r="A33" s="2"/>
      <c r="B33" s="2"/>
      <c r="C33" s="15"/>
      <c r="D33" s="15"/>
      <c r="E33" s="2"/>
      <c r="F33" s="2"/>
      <c r="G33" s="15"/>
      <c r="H33" s="15"/>
      <c r="I33" s="2"/>
      <c r="J33" s="11"/>
    </row>
    <row r="34" spans="1:10" ht="17.25" customHeight="1" x14ac:dyDescent="0.25">
      <c r="A34" s="99" t="s">
        <v>44</v>
      </c>
      <c r="B34" s="99"/>
      <c r="C34" s="99"/>
      <c r="D34" s="99"/>
      <c r="E34" s="99"/>
      <c r="F34" s="99"/>
      <c r="G34" s="99"/>
      <c r="H34" s="99"/>
      <c r="I34" s="11"/>
      <c r="J34" s="11"/>
    </row>
    <row r="35" spans="1:10" ht="4.5" hidden="1" customHeight="1" x14ac:dyDescent="0.25"/>
    <row r="36" spans="1:10" ht="1.5" hidden="1" customHeight="1" x14ac:dyDescent="0.25">
      <c r="A36" s="78"/>
      <c r="B36" s="78"/>
      <c r="C36" s="78"/>
      <c r="D36" s="78"/>
      <c r="E36" s="78"/>
      <c r="F36" s="78"/>
      <c r="G36" s="78"/>
      <c r="H36" s="78"/>
      <c r="I36" s="78"/>
      <c r="J36" s="78"/>
    </row>
    <row r="37" spans="1:10" ht="68.25" customHeight="1" x14ac:dyDescent="0.25">
      <c r="A37" s="78" t="str">
        <f>HSDB_MLDR!C19</f>
        <v>Dự báo diễn biến mưa lớn trong 24 đến 48 giờ tới: 
      Từ đêm 06/8 đến đêm 08/8, khu vực tỉnh Thanh Hóa và Nghệ An có mưa rào và rải rác có dông, cục bộ có nơi mưa vừa đến mưa to với lượng mưa phổ biến từ 20 - 40mm/24h, có nơi trên 70mm/24h;      Tỉnh Nghệ An: Có mưa, mưa vừa, có nơi mưa to và dông với lượng mưa dự báo phổ biến 20 - 40mm/24h, có nơi trên 70mm/24h như: Quỳ Châu, Quỳ Hợp, Tương Dương,…</v>
      </c>
      <c r="B37" s="78"/>
      <c r="C37" s="78"/>
      <c r="D37" s="78"/>
      <c r="E37" s="78"/>
      <c r="F37" s="78"/>
      <c r="G37" s="78"/>
      <c r="H37" s="78"/>
      <c r="I37" s="78"/>
      <c r="J37" s="78"/>
    </row>
    <row r="38" spans="1:10" ht="18.75" customHeight="1" x14ac:dyDescent="0.25">
      <c r="A38" s="78" t="str">
        <f>C20</f>
        <v>Cảnh báo cấp độ rủi ro thiên tai do mưa lớn, lốc, sét, mưa đá: Cấp 1.</v>
      </c>
      <c r="B38" s="78"/>
      <c r="C38" s="78"/>
      <c r="D38" s="78"/>
      <c r="E38" s="78"/>
      <c r="F38" s="78"/>
      <c r="G38" s="78"/>
      <c r="H38" s="78"/>
      <c r="I38" s="78"/>
      <c r="J38" s="78"/>
    </row>
    <row r="39" spans="1:10" ht="35.25" customHeight="1" x14ac:dyDescent="0.25">
      <c r="A39" s="78"/>
      <c r="B39" s="78"/>
      <c r="C39" s="78"/>
      <c r="D39" s="78"/>
      <c r="E39" s="78"/>
      <c r="F39" s="78"/>
      <c r="G39" s="78"/>
      <c r="H39" s="78"/>
      <c r="I39" s="78"/>
      <c r="J39" s="78"/>
    </row>
    <row r="40" spans="1:10" ht="20.25" customHeight="1" x14ac:dyDescent="0.25">
      <c r="A40" s="115"/>
      <c r="B40" s="115"/>
      <c r="C40" s="115"/>
      <c r="D40" s="115"/>
      <c r="E40" s="115"/>
      <c r="F40" s="115"/>
      <c r="G40" s="115"/>
      <c r="H40" s="115"/>
      <c r="I40" s="115"/>
      <c r="J40" s="115"/>
    </row>
    <row r="41" spans="1:10" x14ac:dyDescent="0.25">
      <c r="A41" s="14"/>
      <c r="B41" s="14"/>
      <c r="C41" s="14"/>
      <c r="D41" s="14"/>
      <c r="E41" s="14"/>
      <c r="F41" s="14"/>
      <c r="G41" s="14"/>
      <c r="H41" s="14"/>
      <c r="I41" s="14"/>
      <c r="J41" s="14"/>
    </row>
    <row r="42" spans="1:10" x14ac:dyDescent="0.25">
      <c r="A42" s="14"/>
      <c r="B42" s="14"/>
      <c r="C42" s="14"/>
      <c r="D42" s="14"/>
      <c r="E42" s="14"/>
      <c r="F42" s="14"/>
      <c r="G42" s="14"/>
      <c r="H42" s="14"/>
      <c r="I42" s="14"/>
      <c r="J42" s="14"/>
    </row>
    <row r="43" spans="1:10" x14ac:dyDescent="0.25">
      <c r="A43" s="14"/>
      <c r="B43" s="14"/>
      <c r="C43" s="14"/>
      <c r="D43" s="14"/>
      <c r="E43" s="14"/>
      <c r="F43" s="14"/>
      <c r="G43" s="14"/>
      <c r="H43" s="14"/>
      <c r="I43" s="14"/>
      <c r="J43" s="14"/>
    </row>
    <row r="44" spans="1:10" x14ac:dyDescent="0.25">
      <c r="A44" s="14"/>
      <c r="B44" s="14"/>
      <c r="C44" s="14"/>
      <c r="D44" s="14"/>
      <c r="E44" s="14"/>
      <c r="F44" s="14"/>
      <c r="G44" s="14"/>
      <c r="H44" s="14"/>
      <c r="I44" s="14"/>
      <c r="J44" s="14"/>
    </row>
  </sheetData>
  <mergeCells count="62">
    <mergeCell ref="A38:J38"/>
    <mergeCell ref="A39:J39"/>
    <mergeCell ref="A40:J40"/>
    <mergeCell ref="C30:G31"/>
    <mergeCell ref="C32:D32"/>
    <mergeCell ref="G32:H32"/>
    <mergeCell ref="A34:H34"/>
    <mergeCell ref="A36:J36"/>
    <mergeCell ref="A37:J37"/>
    <mergeCell ref="D27:E27"/>
    <mergeCell ref="F27:G27"/>
    <mergeCell ref="H27:J27"/>
    <mergeCell ref="D28:E28"/>
    <mergeCell ref="F28:G28"/>
    <mergeCell ref="H28:J28"/>
    <mergeCell ref="A26:C26"/>
    <mergeCell ref="D26:J26"/>
    <mergeCell ref="A19:B22"/>
    <mergeCell ref="C19:J19"/>
    <mergeCell ref="C20:J20"/>
    <mergeCell ref="C21:J21"/>
    <mergeCell ref="C22:J22"/>
    <mergeCell ref="A23:C23"/>
    <mergeCell ref="D23:J23"/>
    <mergeCell ref="A24:C24"/>
    <mergeCell ref="D24:J24"/>
    <mergeCell ref="A25:C25"/>
    <mergeCell ref="D25:E25"/>
    <mergeCell ref="G25:J25"/>
    <mergeCell ref="A15:J15"/>
    <mergeCell ref="A16:A18"/>
    <mergeCell ref="B16:C16"/>
    <mergeCell ref="D16:J16"/>
    <mergeCell ref="B17:C17"/>
    <mergeCell ref="D17:J17"/>
    <mergeCell ref="B18:C18"/>
    <mergeCell ref="D18:J18"/>
    <mergeCell ref="D10:J10"/>
    <mergeCell ref="A11:J11"/>
    <mergeCell ref="K12:L12"/>
    <mergeCell ref="B13:C13"/>
    <mergeCell ref="D13:J13"/>
    <mergeCell ref="K13:M13"/>
    <mergeCell ref="A12:A14"/>
    <mergeCell ref="B12:C12"/>
    <mergeCell ref="D12:J12"/>
    <mergeCell ref="A10:C10"/>
    <mergeCell ref="B14:C14"/>
    <mergeCell ref="D14:J14"/>
    <mergeCell ref="K14:M14"/>
    <mergeCell ref="A1:J1"/>
    <mergeCell ref="A2:D2"/>
    <mergeCell ref="C4:D4"/>
    <mergeCell ref="G4:H4"/>
    <mergeCell ref="A6:J6"/>
    <mergeCell ref="A7:A9"/>
    <mergeCell ref="B7:C7"/>
    <mergeCell ref="D7:J7"/>
    <mergeCell ref="B8:C8"/>
    <mergeCell ref="D8:J8"/>
    <mergeCell ref="B9:C9"/>
    <mergeCell ref="D9:J9"/>
  </mergeCells>
  <pageMargins left="0.98425196850393704" right="0.59055118110236227" top="0.78740157480314965" bottom="0.78740157480314965" header="0.31496062992125984" footer="0.31496062992125984"/>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Sheet1!$B$3:$B$22</xm:f>
          </x14:formula1>
          <xm:sqref>G4:H4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W44"/>
  <sheetViews>
    <sheetView topLeftCell="A4" zoomScale="85" zoomScaleNormal="85" workbookViewId="0">
      <selection activeCell="I11" sqref="I11"/>
    </sheetView>
  </sheetViews>
  <sheetFormatPr defaultRowHeight="18.75" x14ac:dyDescent="0.3"/>
  <cols>
    <col min="1" max="1" width="20.28515625" style="28" customWidth="1"/>
    <col min="2" max="2" width="14" style="28" customWidth="1"/>
    <col min="3" max="4" width="13.85546875" style="28" customWidth="1"/>
    <col min="5" max="5" width="18.85546875" style="28" customWidth="1"/>
    <col min="6" max="6" width="13.85546875" style="28" customWidth="1"/>
    <col min="7" max="7" width="14.28515625" style="28" customWidth="1"/>
    <col min="8" max="8" width="19.5703125" style="28" customWidth="1"/>
    <col min="9" max="11" width="14.7109375" style="28" customWidth="1"/>
    <col min="12" max="12" width="13.85546875" style="28" customWidth="1"/>
    <col min="13" max="13" width="12.140625" style="28" customWidth="1"/>
    <col min="14" max="14" width="19.5703125" style="28" hidden="1" customWidth="1"/>
    <col min="15" max="26" width="5.42578125" style="28" customWidth="1"/>
    <col min="27" max="240" width="9.140625" style="28"/>
    <col min="241" max="241" width="14" style="28" customWidth="1"/>
    <col min="242" max="282" width="5.42578125" style="28" customWidth="1"/>
    <col min="283" max="496" width="9.140625" style="28"/>
    <col min="497" max="497" width="14" style="28" customWidth="1"/>
    <col min="498" max="538" width="5.42578125" style="28" customWidth="1"/>
    <col min="539" max="752" width="9.140625" style="28"/>
    <col min="753" max="753" width="14" style="28" customWidth="1"/>
    <col min="754" max="794" width="5.42578125" style="28" customWidth="1"/>
    <col min="795" max="1008" width="9.140625" style="28"/>
    <col min="1009" max="1009" width="14" style="28" customWidth="1"/>
    <col min="1010" max="1050" width="5.42578125" style="28" customWidth="1"/>
    <col min="1051" max="1264" width="9.140625" style="28"/>
    <col min="1265" max="1265" width="14" style="28" customWidth="1"/>
    <col min="1266" max="1306" width="5.42578125" style="28" customWidth="1"/>
    <col min="1307" max="1520" width="9.140625" style="28"/>
    <col min="1521" max="1521" width="14" style="28" customWidth="1"/>
    <col min="1522" max="1562" width="5.42578125" style="28" customWidth="1"/>
    <col min="1563" max="1776" width="9.140625" style="28"/>
    <col min="1777" max="1777" width="14" style="28" customWidth="1"/>
    <col min="1778" max="1818" width="5.42578125" style="28" customWidth="1"/>
    <col min="1819" max="2032" width="9.140625" style="28"/>
    <col min="2033" max="2033" width="14" style="28" customWidth="1"/>
    <col min="2034" max="2074" width="5.42578125" style="28" customWidth="1"/>
    <col min="2075" max="2288" width="9.140625" style="28"/>
    <col min="2289" max="2289" width="14" style="28" customWidth="1"/>
    <col min="2290" max="2330" width="5.42578125" style="28" customWidth="1"/>
    <col min="2331" max="2544" width="9.140625" style="28"/>
    <col min="2545" max="2545" width="14" style="28" customWidth="1"/>
    <col min="2546" max="2586" width="5.42578125" style="28" customWidth="1"/>
    <col min="2587" max="2800" width="9.140625" style="28"/>
    <col min="2801" max="2801" width="14" style="28" customWidth="1"/>
    <col min="2802" max="2842" width="5.42578125" style="28" customWidth="1"/>
    <col min="2843" max="3056" width="9.140625" style="28"/>
    <col min="3057" max="3057" width="14" style="28" customWidth="1"/>
    <col min="3058" max="3098" width="5.42578125" style="28" customWidth="1"/>
    <col min="3099" max="3312" width="9.140625" style="28"/>
    <col min="3313" max="3313" width="14" style="28" customWidth="1"/>
    <col min="3314" max="3354" width="5.42578125" style="28" customWidth="1"/>
    <col min="3355" max="3568" width="9.140625" style="28"/>
    <col min="3569" max="3569" width="14" style="28" customWidth="1"/>
    <col min="3570" max="3610" width="5.42578125" style="28" customWidth="1"/>
    <col min="3611" max="3824" width="9.140625" style="28"/>
    <col min="3825" max="3825" width="14" style="28" customWidth="1"/>
    <col min="3826" max="3866" width="5.42578125" style="28" customWidth="1"/>
    <col min="3867" max="4080" width="9.140625" style="28"/>
    <col min="4081" max="4081" width="14" style="28" customWidth="1"/>
    <col min="4082" max="4122" width="5.42578125" style="28" customWidth="1"/>
    <col min="4123" max="4336" width="9.140625" style="28"/>
    <col min="4337" max="4337" width="14" style="28" customWidth="1"/>
    <col min="4338" max="4378" width="5.42578125" style="28" customWidth="1"/>
    <col min="4379" max="4592" width="9.140625" style="28"/>
    <col min="4593" max="4593" width="14" style="28" customWidth="1"/>
    <col min="4594" max="4634" width="5.42578125" style="28" customWidth="1"/>
    <col min="4635" max="4848" width="9.140625" style="28"/>
    <col min="4849" max="4849" width="14" style="28" customWidth="1"/>
    <col min="4850" max="4890" width="5.42578125" style="28" customWidth="1"/>
    <col min="4891" max="5104" width="9.140625" style="28"/>
    <col min="5105" max="5105" width="14" style="28" customWidth="1"/>
    <col min="5106" max="5146" width="5.42578125" style="28" customWidth="1"/>
    <col min="5147" max="5360" width="9.140625" style="28"/>
    <col min="5361" max="5361" width="14" style="28" customWidth="1"/>
    <col min="5362" max="5402" width="5.42578125" style="28" customWidth="1"/>
    <col min="5403" max="5616" width="9.140625" style="28"/>
    <col min="5617" max="5617" width="14" style="28" customWidth="1"/>
    <col min="5618" max="5658" width="5.42578125" style="28" customWidth="1"/>
    <col min="5659" max="5872" width="9.140625" style="28"/>
    <col min="5873" max="5873" width="14" style="28" customWidth="1"/>
    <col min="5874" max="5914" width="5.42578125" style="28" customWidth="1"/>
    <col min="5915" max="6128" width="9.140625" style="28"/>
    <col min="6129" max="6129" width="14" style="28" customWidth="1"/>
    <col min="6130" max="6170" width="5.42578125" style="28" customWidth="1"/>
    <col min="6171" max="6384" width="9.140625" style="28"/>
    <col min="6385" max="6385" width="14" style="28" customWidth="1"/>
    <col min="6386" max="6426" width="5.42578125" style="28" customWidth="1"/>
    <col min="6427" max="6640" width="9.140625" style="28"/>
    <col min="6641" max="6641" width="14" style="28" customWidth="1"/>
    <col min="6642" max="6682" width="5.42578125" style="28" customWidth="1"/>
    <col min="6683" max="6896" width="9.140625" style="28"/>
    <col min="6897" max="6897" width="14" style="28" customWidth="1"/>
    <col min="6898" max="6938" width="5.42578125" style="28" customWidth="1"/>
    <col min="6939" max="7152" width="9.140625" style="28"/>
    <col min="7153" max="7153" width="14" style="28" customWidth="1"/>
    <col min="7154" max="7194" width="5.42578125" style="28" customWidth="1"/>
    <col min="7195" max="7408" width="9.140625" style="28"/>
    <col min="7409" max="7409" width="14" style="28" customWidth="1"/>
    <col min="7410" max="7450" width="5.42578125" style="28" customWidth="1"/>
    <col min="7451" max="7664" width="9.140625" style="28"/>
    <col min="7665" max="7665" width="14" style="28" customWidth="1"/>
    <col min="7666" max="7706" width="5.42578125" style="28" customWidth="1"/>
    <col min="7707" max="7920" width="9.140625" style="28"/>
    <col min="7921" max="7921" width="14" style="28" customWidth="1"/>
    <col min="7922" max="7962" width="5.42578125" style="28" customWidth="1"/>
    <col min="7963" max="8176" width="9.140625" style="28"/>
    <col min="8177" max="8177" width="14" style="28" customWidth="1"/>
    <col min="8178" max="8218" width="5.42578125" style="28" customWidth="1"/>
    <col min="8219" max="8432" width="9.140625" style="28"/>
    <col min="8433" max="8433" width="14" style="28" customWidth="1"/>
    <col min="8434" max="8474" width="5.42578125" style="28" customWidth="1"/>
    <col min="8475" max="8688" width="9.140625" style="28"/>
    <col min="8689" max="8689" width="14" style="28" customWidth="1"/>
    <col min="8690" max="8730" width="5.42578125" style="28" customWidth="1"/>
    <col min="8731" max="8944" width="9.140625" style="28"/>
    <col min="8945" max="8945" width="14" style="28" customWidth="1"/>
    <col min="8946" max="8986" width="5.42578125" style="28" customWidth="1"/>
    <col min="8987" max="9200" width="9.140625" style="28"/>
    <col min="9201" max="9201" width="14" style="28" customWidth="1"/>
    <col min="9202" max="9242" width="5.42578125" style="28" customWidth="1"/>
    <col min="9243" max="9456" width="9.140625" style="28"/>
    <col min="9457" max="9457" width="14" style="28" customWidth="1"/>
    <col min="9458" max="9498" width="5.42578125" style="28" customWidth="1"/>
    <col min="9499" max="9712" width="9.140625" style="28"/>
    <col min="9713" max="9713" width="14" style="28" customWidth="1"/>
    <col min="9714" max="9754" width="5.42578125" style="28" customWidth="1"/>
    <col min="9755" max="9968" width="9.140625" style="28"/>
    <col min="9969" max="9969" width="14" style="28" customWidth="1"/>
    <col min="9970" max="10010" width="5.42578125" style="28" customWidth="1"/>
    <col min="10011" max="10224" width="9.140625" style="28"/>
    <col min="10225" max="10225" width="14" style="28" customWidth="1"/>
    <col min="10226" max="10266" width="5.42578125" style="28" customWidth="1"/>
    <col min="10267" max="10480" width="9.140625" style="28"/>
    <col min="10481" max="10481" width="14" style="28" customWidth="1"/>
    <col min="10482" max="10522" width="5.42578125" style="28" customWidth="1"/>
    <col min="10523" max="10736" width="9.140625" style="28"/>
    <col min="10737" max="10737" width="14" style="28" customWidth="1"/>
    <col min="10738" max="10778" width="5.42578125" style="28" customWidth="1"/>
    <col min="10779" max="10992" width="9.140625" style="28"/>
    <col min="10993" max="10993" width="14" style="28" customWidth="1"/>
    <col min="10994" max="11034" width="5.42578125" style="28" customWidth="1"/>
    <col min="11035" max="11248" width="9.140625" style="28"/>
    <col min="11249" max="11249" width="14" style="28" customWidth="1"/>
    <col min="11250" max="11290" width="5.42578125" style="28" customWidth="1"/>
    <col min="11291" max="11504" width="9.140625" style="28"/>
    <col min="11505" max="11505" width="14" style="28" customWidth="1"/>
    <col min="11506" max="11546" width="5.42578125" style="28" customWidth="1"/>
    <col min="11547" max="11760" width="9.140625" style="28"/>
    <col min="11761" max="11761" width="14" style="28" customWidth="1"/>
    <col min="11762" max="11802" width="5.42578125" style="28" customWidth="1"/>
    <col min="11803" max="12016" width="9.140625" style="28"/>
    <col min="12017" max="12017" width="14" style="28" customWidth="1"/>
    <col min="12018" max="12058" width="5.42578125" style="28" customWidth="1"/>
    <col min="12059" max="12272" width="9.140625" style="28"/>
    <col min="12273" max="12273" width="14" style="28" customWidth="1"/>
    <col min="12274" max="12314" width="5.42578125" style="28" customWidth="1"/>
    <col min="12315" max="12528" width="9.140625" style="28"/>
    <col min="12529" max="12529" width="14" style="28" customWidth="1"/>
    <col min="12530" max="12570" width="5.42578125" style="28" customWidth="1"/>
    <col min="12571" max="12784" width="9.140625" style="28"/>
    <col min="12785" max="12785" width="14" style="28" customWidth="1"/>
    <col min="12786" max="12826" width="5.42578125" style="28" customWidth="1"/>
    <col min="12827" max="13040" width="9.140625" style="28"/>
    <col min="13041" max="13041" width="14" style="28" customWidth="1"/>
    <col min="13042" max="13082" width="5.42578125" style="28" customWidth="1"/>
    <col min="13083" max="13296" width="9.140625" style="28"/>
    <col min="13297" max="13297" width="14" style="28" customWidth="1"/>
    <col min="13298" max="13338" width="5.42578125" style="28" customWidth="1"/>
    <col min="13339" max="13552" width="9.140625" style="28"/>
    <col min="13553" max="13553" width="14" style="28" customWidth="1"/>
    <col min="13554" max="13594" width="5.42578125" style="28" customWidth="1"/>
    <col min="13595" max="13808" width="9.140625" style="28"/>
    <col min="13809" max="13809" width="14" style="28" customWidth="1"/>
    <col min="13810" max="13850" width="5.42578125" style="28" customWidth="1"/>
    <col min="13851" max="14064" width="9.140625" style="28"/>
    <col min="14065" max="14065" width="14" style="28" customWidth="1"/>
    <col min="14066" max="14106" width="5.42578125" style="28" customWidth="1"/>
    <col min="14107" max="14320" width="9.140625" style="28"/>
    <col min="14321" max="14321" width="14" style="28" customWidth="1"/>
    <col min="14322" max="14362" width="5.42578125" style="28" customWidth="1"/>
    <col min="14363" max="14576" width="9.140625" style="28"/>
    <col min="14577" max="14577" width="14" style="28" customWidth="1"/>
    <col min="14578" max="14618" width="5.42578125" style="28" customWidth="1"/>
    <col min="14619" max="14832" width="9.140625" style="28"/>
    <col min="14833" max="14833" width="14" style="28" customWidth="1"/>
    <col min="14834" max="14874" width="5.42578125" style="28" customWidth="1"/>
    <col min="14875" max="15088" width="9.140625" style="28"/>
    <col min="15089" max="15089" width="14" style="28" customWidth="1"/>
    <col min="15090" max="15130" width="5.42578125" style="28" customWidth="1"/>
    <col min="15131" max="15344" width="9.140625" style="28"/>
    <col min="15345" max="15345" width="14" style="28" customWidth="1"/>
    <col min="15346" max="15386" width="5.42578125" style="28" customWidth="1"/>
    <col min="15387" max="15600" width="9.140625" style="28"/>
    <col min="15601" max="15601" width="14" style="28" customWidth="1"/>
    <col min="15602" max="15642" width="5.42578125" style="28" customWidth="1"/>
    <col min="15643" max="15856" width="9.140625" style="28"/>
    <col min="15857" max="15857" width="14" style="28" customWidth="1"/>
    <col min="15858" max="15898" width="5.42578125" style="28" customWidth="1"/>
    <col min="15899" max="16112" width="9.140625" style="28"/>
    <col min="16113" max="16113" width="14" style="28" customWidth="1"/>
    <col min="16114" max="16154" width="5.42578125" style="28" customWidth="1"/>
    <col min="16155" max="16384" width="9.140625" style="28"/>
  </cols>
  <sheetData>
    <row r="1" spans="1:23" ht="26.25" customHeight="1" x14ac:dyDescent="0.3">
      <c r="A1" s="148" t="s">
        <v>52</v>
      </c>
      <c r="B1" s="148"/>
      <c r="C1" s="148"/>
      <c r="D1" s="47"/>
      <c r="E1" s="47"/>
      <c r="F1" s="30"/>
      <c r="G1" s="30"/>
      <c r="H1" s="30"/>
      <c r="I1" s="148" t="s">
        <v>53</v>
      </c>
      <c r="J1" s="148"/>
      <c r="K1" s="148"/>
      <c r="L1" s="148"/>
      <c r="M1" s="31"/>
      <c r="N1" s="31" t="str">
        <f>MID(A3,13,2)&amp;MID(A3,16,2)</f>
        <v>0730</v>
      </c>
      <c r="O1" s="30"/>
      <c r="P1" s="30"/>
      <c r="Q1" s="30"/>
      <c r="R1" s="30"/>
      <c r="S1" s="30"/>
      <c r="T1" s="30"/>
      <c r="U1" s="30"/>
      <c r="V1" s="30"/>
      <c r="W1" s="30"/>
    </row>
    <row r="2" spans="1:23" x14ac:dyDescent="0.3">
      <c r="A2" s="149" t="s">
        <v>54</v>
      </c>
      <c r="B2" s="149"/>
      <c r="C2" s="149"/>
      <c r="D2" s="32"/>
      <c r="E2" s="32"/>
      <c r="F2" s="32"/>
      <c r="G2" s="32"/>
      <c r="H2" s="32"/>
      <c r="I2" s="149" t="s">
        <v>55</v>
      </c>
      <c r="J2" s="149"/>
      <c r="K2" s="149"/>
      <c r="L2" s="149"/>
      <c r="M2" s="32"/>
      <c r="N2" s="32"/>
      <c r="O2" s="32"/>
      <c r="P2" s="32"/>
      <c r="Q2" s="32"/>
      <c r="R2" s="32"/>
      <c r="S2" s="32"/>
      <c r="T2" s="32"/>
      <c r="U2" s="32"/>
      <c r="V2" s="32"/>
      <c r="W2" s="32"/>
    </row>
    <row r="3" spans="1:23" ht="24.75" customHeight="1" x14ac:dyDescent="0.3">
      <c r="A3" s="139" t="s">
        <v>163</v>
      </c>
      <c r="B3" s="139"/>
      <c r="C3" s="139"/>
      <c r="D3" s="32"/>
      <c r="E3" s="32"/>
      <c r="F3" s="66"/>
      <c r="G3" s="66"/>
      <c r="H3" s="66"/>
      <c r="I3" s="150" t="str">
        <f ca="1">"TP Vinh, ngày "&amp; TEXT(TODAY(),"dd")&amp; " tháng "&amp;TEXT(TODAY(),"mm")&amp;" năm "&amp;TEXT(TODAY(),"yyyy")</f>
        <v>TP Vinh, ngày 20 tháng 09 năm 2023</v>
      </c>
      <c r="J3" s="150"/>
      <c r="K3" s="150"/>
      <c r="L3" s="150"/>
      <c r="M3" s="32"/>
      <c r="N3" s="42"/>
      <c r="O3" s="32"/>
      <c r="P3" s="32"/>
      <c r="Q3" s="32"/>
      <c r="R3" s="32"/>
      <c r="S3" s="32"/>
      <c r="T3" s="32"/>
      <c r="U3" s="32"/>
      <c r="V3" s="32"/>
      <c r="W3" s="32"/>
    </row>
    <row r="4" spans="1:23" x14ac:dyDescent="0.3">
      <c r="A4" s="29"/>
      <c r="B4" s="29"/>
      <c r="C4" s="29"/>
      <c r="D4" s="32"/>
      <c r="E4" s="151" t="s">
        <v>164</v>
      </c>
      <c r="F4" s="151"/>
      <c r="G4" s="151"/>
      <c r="H4" s="151"/>
      <c r="I4" s="151"/>
      <c r="J4" s="32"/>
      <c r="K4" s="32"/>
      <c r="L4" s="32"/>
      <c r="M4" s="32"/>
      <c r="N4" s="55" t="str">
        <f>MID(A3,13,2)&amp;":"&amp;MID(A3,16,2)</f>
        <v>07:30</v>
      </c>
      <c r="O4" s="32"/>
      <c r="P4" s="32"/>
      <c r="Q4" s="32"/>
      <c r="R4" s="32"/>
      <c r="S4" s="32"/>
      <c r="T4" s="32"/>
      <c r="U4" s="32"/>
      <c r="V4" s="32"/>
      <c r="W4" s="32"/>
    </row>
    <row r="5" spans="1:23" ht="18.75" customHeight="1" x14ac:dyDescent="0.3">
      <c r="A5" s="29"/>
      <c r="B5" s="29"/>
      <c r="C5" s="29"/>
      <c r="D5" s="32"/>
      <c r="E5" s="151"/>
      <c r="F5" s="151"/>
      <c r="G5" s="151"/>
      <c r="H5" s="151"/>
      <c r="I5" s="151"/>
      <c r="J5" s="14"/>
      <c r="K5" s="14"/>
      <c r="L5" s="14"/>
      <c r="M5" s="32"/>
      <c r="N5" s="55"/>
      <c r="O5" s="32"/>
      <c r="P5" s="32"/>
      <c r="Q5" s="32"/>
      <c r="R5" s="32"/>
      <c r="S5" s="32"/>
      <c r="T5" s="32"/>
      <c r="U5" s="32"/>
      <c r="V5" s="32"/>
      <c r="W5" s="32"/>
    </row>
    <row r="6" spans="1:23" x14ac:dyDescent="0.3">
      <c r="A6" s="29"/>
      <c r="B6" s="29"/>
      <c r="C6" s="29"/>
      <c r="D6" s="32"/>
      <c r="E6" s="151"/>
      <c r="F6" s="151"/>
      <c r="G6" s="151"/>
      <c r="H6" s="151"/>
      <c r="I6" s="151"/>
      <c r="J6" s="14"/>
      <c r="K6" s="14"/>
      <c r="L6" s="14"/>
      <c r="M6" s="32"/>
      <c r="N6" s="55"/>
      <c r="O6" s="32"/>
      <c r="P6" s="32"/>
      <c r="Q6" s="32"/>
      <c r="R6" s="32"/>
      <c r="S6" s="32"/>
      <c r="T6" s="32"/>
      <c r="U6" s="32"/>
      <c r="V6" s="32"/>
      <c r="W6" s="32"/>
    </row>
    <row r="7" spans="1:23" ht="24" customHeight="1" x14ac:dyDescent="0.3">
      <c r="A7" s="138" t="s">
        <v>116</v>
      </c>
      <c r="B7" s="138"/>
      <c r="C7" s="138"/>
      <c r="D7" s="138"/>
      <c r="E7" s="138"/>
      <c r="F7" s="138"/>
      <c r="G7" s="138"/>
      <c r="H7" s="138"/>
      <c r="I7" s="138"/>
      <c r="J7" s="138"/>
      <c r="K7" s="138"/>
      <c r="L7" s="138"/>
      <c r="M7" s="138"/>
      <c r="N7" s="138"/>
      <c r="O7" s="33"/>
      <c r="P7" s="33"/>
      <c r="Q7" s="33"/>
      <c r="R7" s="33"/>
      <c r="S7" s="33"/>
      <c r="T7" s="33"/>
      <c r="U7" s="33"/>
      <c r="V7" s="33"/>
      <c r="W7" s="33"/>
    </row>
    <row r="8" spans="1:23" x14ac:dyDescent="0.3">
      <c r="A8" s="34"/>
      <c r="B8" s="35"/>
      <c r="C8" s="35"/>
      <c r="D8" s="35"/>
      <c r="E8" s="35"/>
      <c r="F8" s="35"/>
      <c r="G8" s="35"/>
      <c r="H8" s="35"/>
      <c r="I8" s="35"/>
      <c r="J8" s="35"/>
      <c r="K8" s="35"/>
      <c r="L8" s="35"/>
      <c r="M8" s="35"/>
      <c r="N8" s="35"/>
      <c r="O8" s="35"/>
      <c r="P8" s="35"/>
      <c r="Q8" s="35"/>
      <c r="R8" s="35"/>
      <c r="S8" s="35"/>
      <c r="T8" s="35"/>
      <c r="U8" s="35"/>
      <c r="V8" s="35"/>
      <c r="W8" s="35"/>
    </row>
    <row r="9" spans="1:23" ht="45" customHeight="1" x14ac:dyDescent="0.3">
      <c r="A9" s="140" t="s">
        <v>117</v>
      </c>
      <c r="B9" s="145" t="str">
        <f ca="1">"Lượng mưa (mm) trong từng khoảng 03 giờ đến 06 giờ tính từ "&amp;MID(A3,13,5)&amp;" ngày "&amp;TEXT(TODAY(),"dd/mm/yyyy")</f>
        <v>Lượng mưa (mm) trong từng khoảng 03 giờ đến 06 giờ tính từ 07h30 ngày 20/09/2023</v>
      </c>
      <c r="C9" s="145"/>
      <c r="D9" s="145"/>
      <c r="E9" s="145"/>
      <c r="F9" s="145"/>
      <c r="G9" s="145"/>
      <c r="H9" s="145"/>
      <c r="I9" s="145"/>
      <c r="J9" s="145"/>
      <c r="K9" s="145"/>
      <c r="L9" s="145"/>
      <c r="M9" s="144" t="s">
        <v>121</v>
      </c>
    </row>
    <row r="10" spans="1:23" ht="40.5" customHeight="1" x14ac:dyDescent="0.3">
      <c r="A10" s="141"/>
      <c r="B10" s="146" t="str">
        <f>"3 giờ ("&amp;TEXT(N4,"hh:mm")&amp;"-"&amp;TEXT(N4+0.125,"hh:mm")&amp;")"</f>
        <v>3 giờ (07:30-10:30)</v>
      </c>
      <c r="C10" s="146"/>
      <c r="D10" s="146" t="str">
        <f>"3 giờ ("&amp;TEXT(N4+0.125,"hh:mm")&amp;"-"&amp;TEXT(N4+0.25,"hh:mm")&amp;")"</f>
        <v>3 giờ (10:30-13:30)</v>
      </c>
      <c r="E10" s="146"/>
      <c r="F10" s="146" t="str">
        <f>"6 giờ ("&amp;TEXT(N4+0.25,"hh:mm")&amp;"-"&amp;TEXT(N4+0.5,"hh:mm")&amp;")"</f>
        <v>6 giờ (13:30-19:30)</v>
      </c>
      <c r="G10" s="146"/>
      <c r="H10" s="146" t="str">
        <f>"6 giờ ("&amp;TEXT(N4+0.5,"hh:mm")&amp;"-"&amp;TEXT(N4+0.75,"hh:mm")&amp;")"</f>
        <v>6 giờ (19:30-01:30)</v>
      </c>
      <c r="I10" s="146"/>
      <c r="J10" s="146" t="str">
        <f>"6 giờ ("&amp;TEXT(N4+0.75,"hh:mm")&amp;"-"&amp;TEXT(N4+1,"hh:mm")&amp;")"</f>
        <v>6 giờ (01:30-07:30)</v>
      </c>
      <c r="K10" s="146"/>
      <c r="L10" s="143" t="s">
        <v>120</v>
      </c>
      <c r="M10" s="144"/>
    </row>
    <row r="11" spans="1:23" ht="40.5" customHeight="1" x14ac:dyDescent="0.3">
      <c r="A11" s="142"/>
      <c r="B11" s="52" t="s">
        <v>118</v>
      </c>
      <c r="C11" s="52" t="s">
        <v>119</v>
      </c>
      <c r="D11" s="53" t="s">
        <v>118</v>
      </c>
      <c r="E11" s="53" t="s">
        <v>119</v>
      </c>
      <c r="F11" s="52" t="s">
        <v>118</v>
      </c>
      <c r="G11" s="52" t="s">
        <v>119</v>
      </c>
      <c r="H11" s="52" t="s">
        <v>118</v>
      </c>
      <c r="I11" s="52" t="s">
        <v>119</v>
      </c>
      <c r="J11" s="52" t="s">
        <v>118</v>
      </c>
      <c r="K11" s="52" t="s">
        <v>119</v>
      </c>
      <c r="L11" s="143"/>
      <c r="M11" s="54"/>
    </row>
    <row r="12" spans="1:23" ht="22.5" customHeight="1" x14ac:dyDescent="0.3">
      <c r="A12" s="26" t="s">
        <v>56</v>
      </c>
      <c r="B12" s="51" t="s">
        <v>166</v>
      </c>
      <c r="C12" s="44">
        <v>10</v>
      </c>
      <c r="D12" s="51" t="s">
        <v>166</v>
      </c>
      <c r="E12" s="44">
        <v>15</v>
      </c>
      <c r="F12" s="51" t="s">
        <v>158</v>
      </c>
      <c r="G12" s="44">
        <v>20</v>
      </c>
      <c r="H12" s="51" t="s">
        <v>158</v>
      </c>
      <c r="I12" s="44">
        <v>20</v>
      </c>
      <c r="J12" s="51" t="s">
        <v>158</v>
      </c>
      <c r="K12" s="44">
        <v>20</v>
      </c>
      <c r="L12" s="57" t="str">
        <f>SUM(HSDB_MLDL!O15,HSDB_MLDL!Q15,HSDB_MLDL!S15,HSDB_MLDL!U15,HSDB_MLDL!W15)&amp;"-"&amp;SUM(HSDB_MLDL!P15,HSDB_MLDL!R15,HSDB_MLDL!T15,HSDB_MLDL!V15,HSDB_MLDL!X15)</f>
        <v>15-40</v>
      </c>
      <c r="M12" s="54"/>
    </row>
    <row r="13" spans="1:23" ht="22.5" customHeight="1" x14ac:dyDescent="0.3">
      <c r="A13" s="26" t="s">
        <v>57</v>
      </c>
      <c r="B13" s="51" t="s">
        <v>166</v>
      </c>
      <c r="C13" s="44">
        <v>10</v>
      </c>
      <c r="D13" s="51" t="s">
        <v>166</v>
      </c>
      <c r="E13" s="44">
        <v>15</v>
      </c>
      <c r="F13" s="51" t="s">
        <v>158</v>
      </c>
      <c r="G13" s="44">
        <v>20</v>
      </c>
      <c r="H13" s="51" t="s">
        <v>158</v>
      </c>
      <c r="I13" s="44">
        <v>20</v>
      </c>
      <c r="J13" s="51" t="s">
        <v>158</v>
      </c>
      <c r="K13" s="44">
        <v>20</v>
      </c>
      <c r="L13" s="57" t="str">
        <f>SUM(HSDB_MLDL!O16,HSDB_MLDL!Q16,HSDB_MLDL!S16,HSDB_MLDL!U16,HSDB_MLDL!W16)&amp;"-"&amp;SUM(HSDB_MLDL!P16,HSDB_MLDL!R16,HSDB_MLDL!T16,HSDB_MLDL!V16,HSDB_MLDL!X16)</f>
        <v>15-40</v>
      </c>
      <c r="M13" s="54"/>
    </row>
    <row r="14" spans="1:23" ht="22.5" customHeight="1" x14ac:dyDescent="0.3">
      <c r="A14" s="26" t="s">
        <v>58</v>
      </c>
      <c r="B14" s="51" t="s">
        <v>166</v>
      </c>
      <c r="C14" s="44">
        <v>10</v>
      </c>
      <c r="D14" s="51" t="s">
        <v>166</v>
      </c>
      <c r="E14" s="44">
        <v>15</v>
      </c>
      <c r="F14" s="51" t="s">
        <v>158</v>
      </c>
      <c r="G14" s="44">
        <v>20</v>
      </c>
      <c r="H14" s="51" t="s">
        <v>158</v>
      </c>
      <c r="I14" s="44">
        <v>20</v>
      </c>
      <c r="J14" s="51" t="s">
        <v>158</v>
      </c>
      <c r="K14" s="44">
        <v>20</v>
      </c>
      <c r="L14" s="57" t="str">
        <f>SUM(HSDB_MLDL!O17,HSDB_MLDL!Q17,HSDB_MLDL!S17,HSDB_MLDL!U17,HSDB_MLDL!W17)&amp;"-"&amp;SUM(HSDB_MLDL!P17,HSDB_MLDL!R17,HSDB_MLDL!T17,HSDB_MLDL!V17,HSDB_MLDL!X17)</f>
        <v>15-40</v>
      </c>
      <c r="M14" s="54"/>
    </row>
    <row r="15" spans="1:23" ht="22.5" customHeight="1" x14ac:dyDescent="0.3">
      <c r="A15" s="26" t="s">
        <v>59</v>
      </c>
      <c r="B15" s="51" t="s">
        <v>166</v>
      </c>
      <c r="C15" s="44">
        <v>10</v>
      </c>
      <c r="D15" s="51" t="s">
        <v>166</v>
      </c>
      <c r="E15" s="44">
        <v>15</v>
      </c>
      <c r="F15" s="51" t="s">
        <v>158</v>
      </c>
      <c r="G15" s="44">
        <v>20</v>
      </c>
      <c r="H15" s="51" t="s">
        <v>158</v>
      </c>
      <c r="I15" s="44">
        <v>20</v>
      </c>
      <c r="J15" s="51" t="s">
        <v>158</v>
      </c>
      <c r="K15" s="44">
        <v>20</v>
      </c>
      <c r="L15" s="57" t="str">
        <f>SUM(HSDB_MLDL!O17,HSDB_MLDL!Q17,HSDB_MLDL!S17,HSDB_MLDL!U17,HSDB_MLDL!W17)&amp;"-"&amp;SUM(HSDB_MLDL!P17,HSDB_MLDL!R17,HSDB_MLDL!T17,HSDB_MLDL!V17,HSDB_MLDL!X17)</f>
        <v>15-40</v>
      </c>
      <c r="M15" s="54"/>
    </row>
    <row r="16" spans="1:23" ht="22.5" customHeight="1" x14ac:dyDescent="0.3">
      <c r="A16" s="26" t="s">
        <v>60</v>
      </c>
      <c r="B16" s="51" t="s">
        <v>166</v>
      </c>
      <c r="C16" s="44">
        <v>10</v>
      </c>
      <c r="D16" s="51" t="s">
        <v>166</v>
      </c>
      <c r="E16" s="44">
        <v>15</v>
      </c>
      <c r="F16" s="51" t="s">
        <v>158</v>
      </c>
      <c r="G16" s="44">
        <v>20</v>
      </c>
      <c r="H16" s="51" t="s">
        <v>158</v>
      </c>
      <c r="I16" s="44">
        <v>20</v>
      </c>
      <c r="J16" s="51" t="s">
        <v>158</v>
      </c>
      <c r="K16" s="44">
        <v>20</v>
      </c>
      <c r="L16" s="57" t="str">
        <f>SUM(HSDB_MLDL!O18,HSDB_MLDL!Q18,HSDB_MLDL!S18,HSDB_MLDL!U18,HSDB_MLDL!W18)&amp;"-"&amp;SUM(HSDB_MLDL!P18,HSDB_MLDL!R18,HSDB_MLDL!T18,HSDB_MLDL!V18,HSDB_MLDL!X18)</f>
        <v>15-40</v>
      </c>
      <c r="M16" s="54"/>
    </row>
    <row r="17" spans="1:14" ht="22.5" customHeight="1" x14ac:dyDescent="0.3">
      <c r="A17" s="26" t="s">
        <v>61</v>
      </c>
      <c r="B17" s="51" t="s">
        <v>166</v>
      </c>
      <c r="C17" s="44">
        <v>10</v>
      </c>
      <c r="D17" s="51" t="s">
        <v>166</v>
      </c>
      <c r="E17" s="44">
        <v>15</v>
      </c>
      <c r="F17" s="51" t="s">
        <v>158</v>
      </c>
      <c r="G17" s="44">
        <v>20</v>
      </c>
      <c r="H17" s="51" t="s">
        <v>158</v>
      </c>
      <c r="I17" s="44">
        <v>20</v>
      </c>
      <c r="J17" s="51" t="s">
        <v>158</v>
      </c>
      <c r="K17" s="44">
        <v>20</v>
      </c>
      <c r="L17" s="57" t="str">
        <f>SUM(HSDB_MLDL!O19,HSDB_MLDL!Q19,HSDB_MLDL!S19,HSDB_MLDL!U19,HSDB_MLDL!W19)&amp;"-"&amp;SUM(HSDB_MLDL!P19,HSDB_MLDL!R19,HSDB_MLDL!T19,HSDB_MLDL!V19,HSDB_MLDL!X19)</f>
        <v>15-40</v>
      </c>
      <c r="M17" s="54"/>
    </row>
    <row r="18" spans="1:14" ht="22.5" customHeight="1" x14ac:dyDescent="0.3">
      <c r="A18" s="26" t="s">
        <v>62</v>
      </c>
      <c r="B18" s="51" t="s">
        <v>166</v>
      </c>
      <c r="C18" s="44">
        <v>10</v>
      </c>
      <c r="D18" s="51" t="s">
        <v>166</v>
      </c>
      <c r="E18" s="44">
        <v>15</v>
      </c>
      <c r="F18" s="51" t="s">
        <v>158</v>
      </c>
      <c r="G18" s="44">
        <v>20</v>
      </c>
      <c r="H18" s="51" t="s">
        <v>158</v>
      </c>
      <c r="I18" s="44">
        <v>20</v>
      </c>
      <c r="J18" s="51" t="s">
        <v>158</v>
      </c>
      <c r="K18" s="44">
        <v>20</v>
      </c>
      <c r="L18" s="57" t="str">
        <f>SUM(HSDB_MLDL!O20,HSDB_MLDL!Q20,HSDB_MLDL!S20,HSDB_MLDL!U20,HSDB_MLDL!W20)&amp;"-"&amp;SUM(HSDB_MLDL!P20,HSDB_MLDL!R20,HSDB_MLDL!T20,HSDB_MLDL!V20,HSDB_MLDL!X20)</f>
        <v>15-40</v>
      </c>
      <c r="M18" s="54"/>
    </row>
    <row r="19" spans="1:14" ht="22.5" customHeight="1" x14ac:dyDescent="0.3">
      <c r="A19" s="26" t="s">
        <v>63</v>
      </c>
      <c r="B19" s="51" t="s">
        <v>166</v>
      </c>
      <c r="C19" s="44">
        <v>10</v>
      </c>
      <c r="D19" s="51" t="s">
        <v>166</v>
      </c>
      <c r="E19" s="44">
        <v>15</v>
      </c>
      <c r="F19" s="51" t="s">
        <v>158</v>
      </c>
      <c r="G19" s="44">
        <v>20</v>
      </c>
      <c r="H19" s="51" t="s">
        <v>158</v>
      </c>
      <c r="I19" s="44">
        <v>20</v>
      </c>
      <c r="J19" s="51" t="s">
        <v>158</v>
      </c>
      <c r="K19" s="44">
        <v>20</v>
      </c>
      <c r="L19" s="57" t="str">
        <f>SUM(HSDB_MLDL!O21,HSDB_MLDL!Q21,HSDB_MLDL!S21,HSDB_MLDL!U21,HSDB_MLDL!W21)&amp;"-"&amp;SUM(HSDB_MLDL!P21,HSDB_MLDL!R21,HSDB_MLDL!T21,HSDB_MLDL!V21,HSDB_MLDL!X21)</f>
        <v>15-40</v>
      </c>
      <c r="M19" s="54"/>
    </row>
    <row r="20" spans="1:14" ht="22.5" customHeight="1" x14ac:dyDescent="0.3">
      <c r="A20" s="26" t="s">
        <v>64</v>
      </c>
      <c r="B20" s="51" t="s">
        <v>166</v>
      </c>
      <c r="C20" s="44">
        <v>10</v>
      </c>
      <c r="D20" s="51" t="s">
        <v>166</v>
      </c>
      <c r="E20" s="44">
        <v>15</v>
      </c>
      <c r="F20" s="51" t="s">
        <v>158</v>
      </c>
      <c r="G20" s="44">
        <v>20</v>
      </c>
      <c r="H20" s="51" t="s">
        <v>158</v>
      </c>
      <c r="I20" s="44">
        <v>20</v>
      </c>
      <c r="J20" s="51" t="s">
        <v>158</v>
      </c>
      <c r="K20" s="44">
        <v>20</v>
      </c>
      <c r="L20" s="57" t="str">
        <f>SUM(HSDB_MLDL!O24,HSDB_MLDL!Q24,HSDB_MLDL!S24,HSDB_MLDL!U24,HSDB_MLDL!W24)&amp;"-"&amp;SUM(HSDB_MLDL!P24,HSDB_MLDL!R24,HSDB_MLDL!T24,HSDB_MLDL!V24,HSDB_MLDL!X24)</f>
        <v>15-40</v>
      </c>
      <c r="M20" s="54"/>
    </row>
    <row r="21" spans="1:14" ht="22.5" customHeight="1" x14ac:dyDescent="0.3">
      <c r="A21" s="26" t="s">
        <v>65</v>
      </c>
      <c r="B21" s="51" t="s">
        <v>166</v>
      </c>
      <c r="C21" s="44">
        <v>10</v>
      </c>
      <c r="D21" s="51" t="s">
        <v>166</v>
      </c>
      <c r="E21" s="44">
        <v>15</v>
      </c>
      <c r="F21" s="51" t="s">
        <v>158</v>
      </c>
      <c r="G21" s="44">
        <v>20</v>
      </c>
      <c r="H21" s="51" t="s">
        <v>158</v>
      </c>
      <c r="I21" s="44">
        <v>20</v>
      </c>
      <c r="J21" s="51" t="s">
        <v>158</v>
      </c>
      <c r="K21" s="44">
        <v>20</v>
      </c>
      <c r="L21" s="57" t="str">
        <f>SUM(HSDB_MLDL!O25,HSDB_MLDL!Q25,HSDB_MLDL!S25,HSDB_MLDL!U25,HSDB_MLDL!W25)&amp;"-"&amp;SUM(HSDB_MLDL!P25,HSDB_MLDL!R25,HSDB_MLDL!T25,HSDB_MLDL!V25,HSDB_MLDL!X25)</f>
        <v>15-40</v>
      </c>
      <c r="M21" s="54"/>
      <c r="N21" s="41"/>
    </row>
    <row r="22" spans="1:14" ht="22.5" customHeight="1" x14ac:dyDescent="0.3">
      <c r="A22" s="26" t="s">
        <v>66</v>
      </c>
      <c r="B22" s="51" t="s">
        <v>166</v>
      </c>
      <c r="C22" s="44">
        <v>10</v>
      </c>
      <c r="D22" s="51" t="s">
        <v>166</v>
      </c>
      <c r="E22" s="44">
        <v>15</v>
      </c>
      <c r="F22" s="51" t="s">
        <v>158</v>
      </c>
      <c r="G22" s="44">
        <v>20</v>
      </c>
      <c r="H22" s="51" t="s">
        <v>158</v>
      </c>
      <c r="I22" s="44">
        <v>20</v>
      </c>
      <c r="J22" s="51" t="s">
        <v>158</v>
      </c>
      <c r="K22" s="44">
        <v>20</v>
      </c>
      <c r="L22" s="57" t="str">
        <f>SUM(HSDB_MLDL!O26,HSDB_MLDL!Q26,HSDB_MLDL!S26,HSDB_MLDL!U26,HSDB_MLDL!W26)&amp;"-"&amp;SUM(HSDB_MLDL!P26,HSDB_MLDL!R26,HSDB_MLDL!T26,HSDB_MLDL!V26,HSDB_MLDL!X26)</f>
        <v>15-40</v>
      </c>
      <c r="M22" s="54"/>
    </row>
    <row r="23" spans="1:14" ht="22.5" customHeight="1" x14ac:dyDescent="0.3">
      <c r="A23" s="26" t="s">
        <v>67</v>
      </c>
      <c r="B23" s="51" t="s">
        <v>166</v>
      </c>
      <c r="C23" s="44">
        <v>10</v>
      </c>
      <c r="D23" s="51" t="s">
        <v>166</v>
      </c>
      <c r="E23" s="44">
        <v>15</v>
      </c>
      <c r="F23" s="51" t="s">
        <v>158</v>
      </c>
      <c r="G23" s="44">
        <v>20</v>
      </c>
      <c r="H23" s="51" t="s">
        <v>158</v>
      </c>
      <c r="I23" s="44">
        <v>20</v>
      </c>
      <c r="J23" s="51" t="s">
        <v>158</v>
      </c>
      <c r="K23" s="44">
        <v>20</v>
      </c>
      <c r="L23" s="57" t="str">
        <f>SUM(HSDB_MLDL!O27,HSDB_MLDL!Q27,HSDB_MLDL!S27,HSDB_MLDL!U27,HSDB_MLDL!W27)&amp;"-"&amp;SUM(HSDB_MLDL!P27,HSDB_MLDL!R27,HSDB_MLDL!T27,HSDB_MLDL!V27,HSDB_MLDL!X27)</f>
        <v>15-40</v>
      </c>
      <c r="M23" s="54"/>
    </row>
    <row r="24" spans="1:14" ht="22.5" customHeight="1" x14ac:dyDescent="0.3">
      <c r="A24" s="26" t="s">
        <v>68</v>
      </c>
      <c r="B24" s="51" t="s">
        <v>166</v>
      </c>
      <c r="C24" s="44">
        <v>10</v>
      </c>
      <c r="D24" s="51" t="s">
        <v>166</v>
      </c>
      <c r="E24" s="44">
        <v>15</v>
      </c>
      <c r="F24" s="51" t="s">
        <v>158</v>
      </c>
      <c r="G24" s="44">
        <v>20</v>
      </c>
      <c r="H24" s="51" t="s">
        <v>158</v>
      </c>
      <c r="I24" s="44">
        <v>20</v>
      </c>
      <c r="J24" s="51" t="s">
        <v>158</v>
      </c>
      <c r="K24" s="44">
        <v>20</v>
      </c>
      <c r="L24" s="57" t="str">
        <f>SUM(HSDB_MLDL!O28,HSDB_MLDL!Q28,HSDB_MLDL!S28,HSDB_MLDL!U28,HSDB_MLDL!W28)&amp;"-"&amp;SUM(HSDB_MLDL!P28,HSDB_MLDL!R28,HSDB_MLDL!T28,HSDB_MLDL!V28,HSDB_MLDL!X28)</f>
        <v>15-40</v>
      </c>
      <c r="M24" s="54"/>
    </row>
    <row r="25" spans="1:14" ht="22.5" customHeight="1" x14ac:dyDescent="0.3">
      <c r="A25" s="26" t="s">
        <v>69</v>
      </c>
      <c r="B25" s="51" t="s">
        <v>166</v>
      </c>
      <c r="C25" s="44">
        <v>10</v>
      </c>
      <c r="D25" s="51" t="s">
        <v>166</v>
      </c>
      <c r="E25" s="44">
        <v>15</v>
      </c>
      <c r="F25" s="51" t="s">
        <v>158</v>
      </c>
      <c r="G25" s="44">
        <v>20</v>
      </c>
      <c r="H25" s="51" t="s">
        <v>158</v>
      </c>
      <c r="I25" s="44">
        <v>20</v>
      </c>
      <c r="J25" s="51" t="s">
        <v>158</v>
      </c>
      <c r="K25" s="44">
        <v>20</v>
      </c>
      <c r="L25" s="57" t="str">
        <f>SUM(HSDB_MLDL!O29,HSDB_MLDL!Q29,HSDB_MLDL!S29,HSDB_MLDL!U29,HSDB_MLDL!W29)&amp;"-"&amp;SUM(HSDB_MLDL!P29,HSDB_MLDL!R29,HSDB_MLDL!T29,HSDB_MLDL!V29,HSDB_MLDL!X29)</f>
        <v>15-40</v>
      </c>
      <c r="M25" s="54"/>
    </row>
    <row r="26" spans="1:14" ht="22.5" customHeight="1" x14ac:dyDescent="0.3">
      <c r="A26" s="26" t="s">
        <v>70</v>
      </c>
      <c r="B26" s="51" t="s">
        <v>166</v>
      </c>
      <c r="C26" s="44">
        <v>10</v>
      </c>
      <c r="D26" s="51" t="s">
        <v>166</v>
      </c>
      <c r="E26" s="44">
        <v>15</v>
      </c>
      <c r="F26" s="51" t="s">
        <v>158</v>
      </c>
      <c r="G26" s="44">
        <v>20</v>
      </c>
      <c r="H26" s="51" t="s">
        <v>158</v>
      </c>
      <c r="I26" s="44">
        <v>20</v>
      </c>
      <c r="J26" s="51" t="s">
        <v>158</v>
      </c>
      <c r="K26" s="44">
        <v>20</v>
      </c>
      <c r="L26" s="57" t="str">
        <f>SUM(HSDB_MLDL!O30,HSDB_MLDL!Q30,HSDB_MLDL!S30,HSDB_MLDL!U30,HSDB_MLDL!W30)&amp;"-"&amp;SUM(HSDB_MLDL!P30,HSDB_MLDL!R30,HSDB_MLDL!T30,HSDB_MLDL!V30,HSDB_MLDL!X30)</f>
        <v>15-40</v>
      </c>
      <c r="M26" s="54"/>
    </row>
    <row r="27" spans="1:14" ht="22.5" customHeight="1" x14ac:dyDescent="0.3">
      <c r="A27" s="26" t="s">
        <v>71</v>
      </c>
      <c r="B27" s="51" t="s">
        <v>166</v>
      </c>
      <c r="C27" s="44">
        <v>10</v>
      </c>
      <c r="D27" s="51" t="s">
        <v>166</v>
      </c>
      <c r="E27" s="44">
        <v>15</v>
      </c>
      <c r="F27" s="51" t="s">
        <v>158</v>
      </c>
      <c r="G27" s="44">
        <v>20</v>
      </c>
      <c r="H27" s="51" t="s">
        <v>158</v>
      </c>
      <c r="I27" s="44">
        <v>20</v>
      </c>
      <c r="J27" s="51" t="s">
        <v>158</v>
      </c>
      <c r="K27" s="44">
        <v>20</v>
      </c>
      <c r="L27" s="57" t="str">
        <f>SUM(HSDB_MLDL!O31,HSDB_MLDL!Q31,HSDB_MLDL!S31,HSDB_MLDL!U31,HSDB_MLDL!W31)&amp;"-"&amp;SUM(HSDB_MLDL!P31,HSDB_MLDL!R31,HSDB_MLDL!T31,HSDB_MLDL!V31,HSDB_MLDL!X31)</f>
        <v>15-40</v>
      </c>
      <c r="M27" s="54"/>
    </row>
    <row r="28" spans="1:14" ht="22.5" customHeight="1" x14ac:dyDescent="0.3">
      <c r="A28" s="26" t="s">
        <v>72</v>
      </c>
      <c r="B28" s="51" t="s">
        <v>166</v>
      </c>
      <c r="C28" s="44">
        <v>10</v>
      </c>
      <c r="D28" s="51" t="s">
        <v>166</v>
      </c>
      <c r="E28" s="44">
        <v>15</v>
      </c>
      <c r="F28" s="51" t="s">
        <v>158</v>
      </c>
      <c r="G28" s="44">
        <v>20</v>
      </c>
      <c r="H28" s="51" t="s">
        <v>158</v>
      </c>
      <c r="I28" s="44">
        <v>20</v>
      </c>
      <c r="J28" s="51" t="s">
        <v>158</v>
      </c>
      <c r="K28" s="44">
        <v>20</v>
      </c>
      <c r="L28" s="57" t="str">
        <f>SUM(HSDB_MLDL!O32,HSDB_MLDL!Q32,HSDB_MLDL!S32,HSDB_MLDL!U32,HSDB_MLDL!W32)&amp;"-"&amp;SUM(HSDB_MLDL!P32,HSDB_MLDL!R32,HSDB_MLDL!T32,HSDB_MLDL!V32,HSDB_MLDL!X32)</f>
        <v>15-40</v>
      </c>
      <c r="M28" s="54"/>
    </row>
    <row r="29" spans="1:14" ht="22.5" customHeight="1" x14ac:dyDescent="0.3">
      <c r="A29" s="26" t="s">
        <v>73</v>
      </c>
      <c r="B29" s="51" t="s">
        <v>166</v>
      </c>
      <c r="C29" s="44">
        <v>10</v>
      </c>
      <c r="D29" s="51" t="s">
        <v>166</v>
      </c>
      <c r="E29" s="44">
        <v>15</v>
      </c>
      <c r="F29" s="51" t="s">
        <v>158</v>
      </c>
      <c r="G29" s="44">
        <v>20</v>
      </c>
      <c r="H29" s="51" t="s">
        <v>158</v>
      </c>
      <c r="I29" s="44">
        <v>20</v>
      </c>
      <c r="J29" s="51" t="s">
        <v>158</v>
      </c>
      <c r="K29" s="44">
        <v>20</v>
      </c>
      <c r="L29" s="57" t="str">
        <f>SUM(HSDB_MLDL!O33,HSDB_MLDL!Q33,HSDB_MLDL!S33,HSDB_MLDL!U33,HSDB_MLDL!W33)&amp;"-"&amp;SUM(HSDB_MLDL!P33,HSDB_MLDL!R33,HSDB_MLDL!T33,HSDB_MLDL!V33,HSDB_MLDL!X33)</f>
        <v>15-40</v>
      </c>
      <c r="M29" s="54"/>
    </row>
    <row r="30" spans="1:14" ht="22.5" customHeight="1" x14ac:dyDescent="0.3">
      <c r="A30" s="26" t="s">
        <v>74</v>
      </c>
      <c r="B30" s="51" t="s">
        <v>166</v>
      </c>
      <c r="C30" s="44">
        <v>10</v>
      </c>
      <c r="D30" s="51" t="s">
        <v>166</v>
      </c>
      <c r="E30" s="44">
        <v>15</v>
      </c>
      <c r="F30" s="51" t="s">
        <v>158</v>
      </c>
      <c r="G30" s="44">
        <v>20</v>
      </c>
      <c r="H30" s="51" t="s">
        <v>158</v>
      </c>
      <c r="I30" s="44">
        <v>20</v>
      </c>
      <c r="J30" s="51" t="s">
        <v>158</v>
      </c>
      <c r="K30" s="44">
        <v>20</v>
      </c>
      <c r="L30" s="57" t="str">
        <f>SUM(HSDB_MLDL!O34,HSDB_MLDL!Q34,HSDB_MLDL!S34,HSDB_MLDL!U34,HSDB_MLDL!W34)&amp;"-"&amp;SUM(HSDB_MLDL!P34,HSDB_MLDL!R34,HSDB_MLDL!T34,HSDB_MLDL!V34,HSDB_MLDL!X34)</f>
        <v>15-40</v>
      </c>
      <c r="M30" s="54"/>
    </row>
    <row r="31" spans="1:14" ht="22.5" customHeight="1" x14ac:dyDescent="0.3">
      <c r="A31" s="26" t="s">
        <v>75</v>
      </c>
      <c r="B31" s="51" t="s">
        <v>166</v>
      </c>
      <c r="C31" s="44">
        <v>10</v>
      </c>
      <c r="D31" s="51" t="s">
        <v>166</v>
      </c>
      <c r="E31" s="44">
        <v>15</v>
      </c>
      <c r="F31" s="51" t="s">
        <v>158</v>
      </c>
      <c r="G31" s="44">
        <v>20</v>
      </c>
      <c r="H31" s="51" t="s">
        <v>158</v>
      </c>
      <c r="I31" s="44">
        <v>20</v>
      </c>
      <c r="J31" s="51" t="s">
        <v>158</v>
      </c>
      <c r="K31" s="44">
        <v>20</v>
      </c>
      <c r="L31" s="57" t="str">
        <f>SUM(HSDB_MLDL!O35,HSDB_MLDL!Q35,HSDB_MLDL!S35,HSDB_MLDL!U35,HSDB_MLDL!W35)&amp;"-"&amp;SUM(HSDB_MLDL!P35,HSDB_MLDL!R35,HSDB_MLDL!T35,HSDB_MLDL!V35,HSDB_MLDL!X35)</f>
        <v>15-40</v>
      </c>
      <c r="M31" s="54"/>
    </row>
    <row r="32" spans="1:14" ht="22.5" customHeight="1" x14ac:dyDescent="0.3">
      <c r="A32" s="26" t="s">
        <v>76</v>
      </c>
      <c r="B32" s="51" t="s">
        <v>166</v>
      </c>
      <c r="C32" s="44">
        <v>10</v>
      </c>
      <c r="D32" s="51" t="s">
        <v>166</v>
      </c>
      <c r="E32" s="44">
        <v>15</v>
      </c>
      <c r="F32" s="51" t="s">
        <v>158</v>
      </c>
      <c r="G32" s="44">
        <v>20</v>
      </c>
      <c r="H32" s="51" t="s">
        <v>158</v>
      </c>
      <c r="I32" s="44">
        <v>20</v>
      </c>
      <c r="J32" s="51" t="s">
        <v>158</v>
      </c>
      <c r="K32" s="44">
        <v>20</v>
      </c>
      <c r="L32" s="57" t="str">
        <f>SUM(HSDB_MLDL!O36,HSDB_MLDL!Q36,HSDB_MLDL!S36,HSDB_MLDL!U36,HSDB_MLDL!W36)&amp;"-"&amp;SUM(HSDB_MLDL!P36,HSDB_MLDL!R36,HSDB_MLDL!T36,HSDB_MLDL!V36,HSDB_MLDL!X36)</f>
        <v>15-40</v>
      </c>
      <c r="M32" s="54"/>
    </row>
    <row r="33" spans="1:13" ht="12" customHeight="1" x14ac:dyDescent="0.3"/>
    <row r="34" spans="1:13" x14ac:dyDescent="0.3">
      <c r="A34" s="60" t="s">
        <v>165</v>
      </c>
      <c r="B34" s="60"/>
      <c r="C34" s="60"/>
      <c r="D34" s="60"/>
    </row>
    <row r="35" spans="1:13" ht="19.5" x14ac:dyDescent="0.35">
      <c r="A35" s="64" t="s">
        <v>97</v>
      </c>
      <c r="B35" s="65" t="str">
        <f>MID(A3,13,2)&amp;"h"&amp;MID(A3,16,2)</f>
        <v>07h30</v>
      </c>
      <c r="C35" s="27"/>
      <c r="H35" s="61"/>
      <c r="I35" s="61"/>
    </row>
    <row r="36" spans="1:13" ht="19.5" x14ac:dyDescent="0.35">
      <c r="A36" s="64" t="s">
        <v>138</v>
      </c>
      <c r="B36" s="147" t="str">
        <f>MLDR!C37</f>
        <v>Đào Anh Công</v>
      </c>
      <c r="C36" s="147"/>
      <c r="H36" s="61"/>
      <c r="I36" s="61"/>
    </row>
    <row r="37" spans="1:13" ht="18.75" customHeight="1" x14ac:dyDescent="0.3">
      <c r="A37" s="84" t="s">
        <v>140</v>
      </c>
      <c r="B37" s="84"/>
      <c r="C37" s="84"/>
      <c r="D37" s="84"/>
      <c r="E37" s="29"/>
      <c r="F37" s="29"/>
      <c r="G37" s="29"/>
      <c r="H37" s="62"/>
      <c r="I37" s="134" t="s">
        <v>134</v>
      </c>
      <c r="J37" s="134"/>
      <c r="K37" s="134"/>
      <c r="L37" s="58"/>
      <c r="M37" s="58"/>
    </row>
    <row r="38" spans="1:13" x14ac:dyDescent="0.3">
      <c r="A38" s="84"/>
      <c r="B38" s="84"/>
      <c r="C38" s="84"/>
      <c r="D38" s="84"/>
      <c r="E38" s="29"/>
      <c r="F38" s="29"/>
      <c r="G38" s="29"/>
      <c r="H38" s="63"/>
      <c r="I38" s="134"/>
      <c r="J38" s="134"/>
      <c r="K38" s="134"/>
      <c r="L38" s="58"/>
      <c r="M38" s="58"/>
    </row>
    <row r="39" spans="1:13" x14ac:dyDescent="0.3">
      <c r="A39" s="84"/>
      <c r="B39" s="84"/>
      <c r="C39" s="84"/>
      <c r="D39" s="84"/>
      <c r="I39" s="134"/>
      <c r="J39" s="134"/>
      <c r="K39" s="134"/>
      <c r="L39" s="58"/>
      <c r="M39" s="58"/>
    </row>
    <row r="40" spans="1:13" x14ac:dyDescent="0.3">
      <c r="A40" s="84"/>
      <c r="B40" s="84"/>
      <c r="C40" s="84"/>
      <c r="D40" s="84"/>
      <c r="I40" s="134"/>
      <c r="J40" s="134"/>
      <c r="K40" s="134"/>
      <c r="L40" s="58"/>
      <c r="M40" s="58"/>
    </row>
    <row r="41" spans="1:13" x14ac:dyDescent="0.3">
      <c r="A41" s="84"/>
      <c r="B41" s="84"/>
      <c r="C41" s="84"/>
      <c r="D41" s="84"/>
      <c r="I41" s="134"/>
      <c r="J41" s="134"/>
      <c r="K41" s="134"/>
      <c r="L41" s="58"/>
      <c r="M41" s="58"/>
    </row>
    <row r="42" spans="1:13" x14ac:dyDescent="0.3">
      <c r="A42" s="84"/>
      <c r="B42" s="84"/>
      <c r="C42" s="84"/>
      <c r="D42" s="84"/>
      <c r="I42" s="134"/>
      <c r="J42" s="134"/>
      <c r="K42" s="134"/>
      <c r="L42" s="58"/>
      <c r="M42" s="58"/>
    </row>
    <row r="43" spans="1:13" x14ac:dyDescent="0.3">
      <c r="A43" s="84"/>
      <c r="B43" s="84"/>
      <c r="C43" s="84"/>
      <c r="D43" s="84"/>
      <c r="I43" s="134"/>
      <c r="J43" s="134"/>
      <c r="K43" s="134"/>
      <c r="L43" s="58"/>
      <c r="M43" s="58"/>
    </row>
    <row r="44" spans="1:13" ht="25.5" customHeight="1" x14ac:dyDescent="0.3">
      <c r="A44" s="84"/>
      <c r="B44" s="84"/>
      <c r="C44" s="84"/>
      <c r="D44" s="84"/>
      <c r="I44" s="134"/>
      <c r="J44" s="134"/>
      <c r="K44" s="134"/>
      <c r="L44" s="58"/>
      <c r="M44" s="58"/>
    </row>
  </sheetData>
  <dataConsolidate link="1"/>
  <mergeCells count="20">
    <mergeCell ref="I1:L1"/>
    <mergeCell ref="I2:L2"/>
    <mergeCell ref="I3:L3"/>
    <mergeCell ref="E4:I6"/>
    <mergeCell ref="A1:C1"/>
    <mergeCell ref="A2:C2"/>
    <mergeCell ref="A7:N7"/>
    <mergeCell ref="A3:C3"/>
    <mergeCell ref="A9:A11"/>
    <mergeCell ref="A37:D44"/>
    <mergeCell ref="I37:K44"/>
    <mergeCell ref="L10:L11"/>
    <mergeCell ref="M9:M10"/>
    <mergeCell ref="B9:L9"/>
    <mergeCell ref="J10:K10"/>
    <mergeCell ref="H10:I10"/>
    <mergeCell ref="F10:G10"/>
    <mergeCell ref="D10:E10"/>
    <mergeCell ref="B10:C10"/>
    <mergeCell ref="B36:C36"/>
  </mergeCells>
  <phoneticPr fontId="32" type="noConversion"/>
  <pageMargins left="0.7" right="0.7" top="0.75" bottom="0.75" header="0.3" footer="0.3"/>
  <pageSetup scale="52"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X52"/>
  <sheetViews>
    <sheetView zoomScale="115" zoomScaleNormal="115" workbookViewId="0">
      <selection activeCell="G5" sqref="G5"/>
    </sheetView>
  </sheetViews>
  <sheetFormatPr defaultRowHeight="15" x14ac:dyDescent="0.25"/>
  <cols>
    <col min="8" max="8" width="11.28515625" customWidth="1"/>
    <col min="9" max="9" width="11.7109375" customWidth="1"/>
    <col min="10" max="10" width="9.140625" hidden="1" customWidth="1"/>
    <col min="13" max="13" width="9.140625" hidden="1" customWidth="1"/>
    <col min="14" max="14" width="9.140625" customWidth="1"/>
    <col min="15" max="24" width="9.140625" hidden="1" customWidth="1"/>
    <col min="25" max="25" width="9.140625" customWidth="1"/>
  </cols>
  <sheetData>
    <row r="1" spans="1:24" ht="18.75" x14ac:dyDescent="0.25">
      <c r="A1" s="103" t="s">
        <v>77</v>
      </c>
      <c r="B1" s="103"/>
      <c r="C1" s="103"/>
      <c r="D1" s="103"/>
      <c r="E1" s="103"/>
      <c r="F1" s="103"/>
      <c r="G1" s="103"/>
      <c r="H1" s="103"/>
      <c r="I1" s="103"/>
      <c r="J1" s="40"/>
      <c r="M1" t="str">
        <f>MLDL!N1</f>
        <v>0730</v>
      </c>
    </row>
    <row r="2" spans="1:24" ht="15.75" x14ac:dyDescent="0.25">
      <c r="A2" s="104" t="s">
        <v>17</v>
      </c>
      <c r="B2" s="104"/>
      <c r="C2" s="104"/>
      <c r="D2" s="104"/>
      <c r="E2" s="2" t="str">
        <f>MLDL!B35</f>
        <v>07h30</v>
      </c>
      <c r="F2" s="4" t="str">
        <f ca="1">MID(MLDL!I3,9,30)</f>
        <v xml:space="preserve"> ngày 20 tháng 09 năm 2023</v>
      </c>
      <c r="G2" s="4"/>
      <c r="H2" s="2"/>
      <c r="I2" s="2"/>
      <c r="M2" t="str">
        <f ca="1">TEXT(TODAY(),"yyyy")&amp;TEXT(TODAY(),"mm")&amp;TEXT(TODAY(),"dd")</f>
        <v>20230920</v>
      </c>
    </row>
    <row r="3" spans="1:24" ht="15.75" x14ac:dyDescent="0.25">
      <c r="A3" s="2" t="s">
        <v>10</v>
      </c>
      <c r="B3" s="2"/>
      <c r="C3" s="3"/>
      <c r="D3" s="2"/>
      <c r="E3" s="2"/>
      <c r="F3" s="2"/>
      <c r="G3" s="2"/>
      <c r="H3" s="2"/>
      <c r="I3" s="2"/>
    </row>
    <row r="4" spans="1:24" ht="16.5" x14ac:dyDescent="0.25">
      <c r="A4" s="2" t="s">
        <v>11</v>
      </c>
      <c r="B4" s="2"/>
      <c r="C4" s="105" t="str">
        <f>MLDL!B36</f>
        <v>Đào Anh Công</v>
      </c>
      <c r="D4" s="105"/>
      <c r="E4" s="2" t="s">
        <v>12</v>
      </c>
      <c r="F4" s="2"/>
      <c r="G4" s="106" t="s">
        <v>101</v>
      </c>
      <c r="H4" s="106"/>
      <c r="I4" s="36"/>
    </row>
    <row r="5" spans="1:24" ht="16.5" x14ac:dyDescent="0.25">
      <c r="A5" s="36"/>
      <c r="B5" s="36"/>
      <c r="C5" s="36"/>
      <c r="D5" s="36"/>
      <c r="E5" s="36"/>
      <c r="F5" s="36"/>
      <c r="G5" s="36"/>
      <c r="H5" s="36"/>
      <c r="I5" s="36"/>
    </row>
    <row r="6" spans="1:24" ht="17.25" customHeight="1" x14ac:dyDescent="0.25">
      <c r="A6" s="155" t="s">
        <v>13</v>
      </c>
      <c r="B6" s="155"/>
      <c r="C6" s="155"/>
      <c r="D6" s="155"/>
      <c r="E6" s="155"/>
      <c r="F6" s="155"/>
      <c r="G6" s="155"/>
      <c r="H6" s="155"/>
      <c r="I6" s="155"/>
      <c r="J6" t="s">
        <v>5</v>
      </c>
    </row>
    <row r="7" spans="1:24" ht="50.25" customHeight="1" x14ac:dyDescent="0.25">
      <c r="A7" s="152" t="s">
        <v>78</v>
      </c>
      <c r="B7" s="152" t="s">
        <v>79</v>
      </c>
      <c r="C7" s="152"/>
      <c r="D7" s="156" t="s">
        <v>107</v>
      </c>
      <c r="E7" s="156"/>
      <c r="F7" s="156"/>
      <c r="G7" s="156"/>
      <c r="H7" s="156"/>
      <c r="I7" s="156"/>
      <c r="J7" t="s">
        <v>6</v>
      </c>
    </row>
    <row r="8" spans="1:24" ht="57.75" customHeight="1" x14ac:dyDescent="0.25">
      <c r="A8" s="152"/>
      <c r="B8" s="152" t="s">
        <v>18</v>
      </c>
      <c r="C8" s="152"/>
      <c r="D8" s="156" t="str">
        <f>"- Ảnh mây vệ tinh ổn định, đầy đủ
- Số liệu quan trắc đủ
- Số liệu ra đa đủ."</f>
        <v>- Ảnh mây vệ tinh ổn định, đầy đủ
- Số liệu quan trắc đủ
- Số liệu ra đa đủ.</v>
      </c>
      <c r="E8" s="156"/>
      <c r="F8" s="156"/>
      <c r="G8" s="156"/>
      <c r="H8" s="156"/>
      <c r="I8" s="156"/>
      <c r="J8" t="s">
        <v>7</v>
      </c>
    </row>
    <row r="9" spans="1:24" ht="33" customHeight="1" x14ac:dyDescent="0.25">
      <c r="A9" s="152"/>
      <c r="B9" s="152" t="s">
        <v>14</v>
      </c>
      <c r="C9" s="152"/>
      <c r="D9" s="157" t="s">
        <v>80</v>
      </c>
      <c r="E9" s="157"/>
      <c r="F9" s="157"/>
      <c r="G9" s="157"/>
      <c r="H9" s="157"/>
      <c r="I9" s="157"/>
      <c r="J9" t="s">
        <v>8</v>
      </c>
    </row>
    <row r="10" spans="1:24" ht="33" customHeight="1" x14ac:dyDescent="0.25">
      <c r="A10" s="152" t="s">
        <v>81</v>
      </c>
      <c r="B10" s="152"/>
      <c r="C10" s="152"/>
      <c r="D10" s="157" t="s">
        <v>82</v>
      </c>
      <c r="E10" s="157"/>
      <c r="F10" s="157"/>
      <c r="G10" s="157"/>
      <c r="H10" s="157"/>
      <c r="I10" s="157"/>
      <c r="J10" t="s">
        <v>9</v>
      </c>
    </row>
    <row r="11" spans="1:24" ht="17.25" customHeight="1" x14ac:dyDescent="0.25">
      <c r="A11" s="155" t="s">
        <v>15</v>
      </c>
      <c r="B11" s="155"/>
      <c r="C11" s="155"/>
      <c r="D11" s="155"/>
      <c r="E11" s="155"/>
      <c r="F11" s="155"/>
      <c r="G11" s="155"/>
      <c r="H11" s="155"/>
      <c r="I11" s="155"/>
      <c r="J11" t="s">
        <v>98</v>
      </c>
    </row>
    <row r="12" spans="1:24" ht="85.5" customHeight="1" x14ac:dyDescent="0.25">
      <c r="A12" s="152" t="s">
        <v>83</v>
      </c>
      <c r="B12" s="153" t="s">
        <v>126</v>
      </c>
      <c r="C12" s="154"/>
      <c r="D12" s="92" t="str">
        <f>HSDB_MLDR!D12</f>
        <v>Diễn biến mưa trong 24 giờ qua: khu vực Bắc Trung Bộ có mưa, mưa rào và dông rải rác, có nơi mưa vừa đến mưa to như Tương Dương 81mm, Kỳ Sơn 60mm,…</v>
      </c>
      <c r="E12" s="92"/>
      <c r="F12" s="92"/>
      <c r="G12" s="92"/>
      <c r="H12" s="92"/>
      <c r="I12" s="92"/>
    </row>
    <row r="13" spans="1:24" ht="42" customHeight="1" x14ac:dyDescent="0.25">
      <c r="A13" s="152"/>
      <c r="B13" s="152" t="s">
        <v>125</v>
      </c>
      <c r="C13" s="152"/>
      <c r="D13" s="156" t="s">
        <v>108</v>
      </c>
      <c r="E13" s="156"/>
      <c r="F13" s="156"/>
      <c r="G13" s="156"/>
      <c r="H13" s="156"/>
      <c r="I13" s="156"/>
    </row>
    <row r="14" spans="1:24" ht="39.75" customHeight="1" x14ac:dyDescent="0.25">
      <c r="A14" s="152"/>
      <c r="B14" s="152" t="s">
        <v>124</v>
      </c>
      <c r="C14" s="152"/>
      <c r="D14" s="175" t="s">
        <v>108</v>
      </c>
      <c r="E14" s="176"/>
      <c r="F14" s="176"/>
      <c r="G14" s="176"/>
      <c r="H14" s="176"/>
      <c r="I14" s="177"/>
    </row>
    <row r="15" spans="1:24" ht="84" customHeight="1" x14ac:dyDescent="0.25">
      <c r="A15" s="152"/>
      <c r="B15" s="152" t="s">
        <v>123</v>
      </c>
      <c r="C15" s="152"/>
      <c r="D15" s="92" t="str">
        <f>HSDB_MLDR!D13</f>
        <v>Diễn biến mưa trong 24 giờ qua: khu vực Bắc Trung Bộ có mưa, mưa rào và dông rải rác, có nơi mưa vừa đến mưa to như Tương Dương 81mm, Kỳ Sơn 60mm,…</v>
      </c>
      <c r="E15" s="92"/>
      <c r="F15" s="92"/>
      <c r="G15" s="92"/>
      <c r="H15" s="92"/>
      <c r="I15" s="92"/>
      <c r="O15" s="45">
        <f>INT(LEFT(MLDL!B12,SEARCH("-",MLDL!B12)-1))</f>
        <v>0</v>
      </c>
      <c r="P15" s="45">
        <f>INT(RIGHT(MLDL!B12,LEN(MLDL!B12) - (SEARCH("-",MLDL!B12))))</f>
        <v>5</v>
      </c>
      <c r="Q15" s="45">
        <f>INT(LEFT(MLDL!D12,SEARCH("-",MLDL!D12)-1))</f>
        <v>0</v>
      </c>
      <c r="R15" s="45">
        <f>INT(RIGHT(MLDL!D12,LEN(MLDL!D12)-SEARCH("-",MLDL!D12)))</f>
        <v>5</v>
      </c>
      <c r="S15" s="45">
        <f>INT(LEFT(MLDL!F12,SEARCH("-",MLDL!F12)-1))</f>
        <v>5</v>
      </c>
      <c r="T15" s="45">
        <f>INT(RIGHT(MLDL!F12,LEN(MLDL!F12) - SEARCH("-",MLDL!F12)))</f>
        <v>10</v>
      </c>
      <c r="U15" s="45">
        <f>INT(LEFT(MLDL!H12,SEARCH("-",MLDL!H12)-1))</f>
        <v>5</v>
      </c>
      <c r="V15" s="45">
        <f>INT(RIGHT(MLDL!H12,LEN(MLDL!H12)-SEARCH("-",MLDL!H12)))</f>
        <v>10</v>
      </c>
      <c r="W15" s="45">
        <f>INT(LEFT(MLDL!J12,SEARCH("-",MLDL!J12)-1))</f>
        <v>5</v>
      </c>
      <c r="X15" s="45">
        <f>INT(RIGHT(MLDL!J12,LEN(MLDL!J12)-SEARCH("-",MLDL!J12)))</f>
        <v>10</v>
      </c>
    </row>
    <row r="16" spans="1:24" ht="17.25" customHeight="1" x14ac:dyDescent="0.25">
      <c r="A16" s="155" t="s">
        <v>19</v>
      </c>
      <c r="B16" s="155"/>
      <c r="C16" s="155"/>
      <c r="D16" s="155"/>
      <c r="E16" s="155"/>
      <c r="F16" s="155"/>
      <c r="G16" s="155"/>
      <c r="H16" s="155"/>
      <c r="I16" s="155"/>
      <c r="O16" s="45">
        <f>INT(LEFT(MLDL!B13,SEARCH("-",MLDL!B13)-1))</f>
        <v>0</v>
      </c>
      <c r="P16" s="45">
        <f>INT(RIGHT(MLDL!B13,LEN(MLDL!B13) - (SEARCH("-",MLDL!B13))))</f>
        <v>5</v>
      </c>
      <c r="Q16" s="45">
        <f>INT(LEFT(MLDL!D13,SEARCH("-",MLDL!D13)-1))</f>
        <v>0</v>
      </c>
      <c r="R16" s="45">
        <f>INT(RIGHT(MLDL!D13,LEN(MLDL!D13)-SEARCH("-",MLDL!D13)))</f>
        <v>5</v>
      </c>
      <c r="S16" s="45">
        <f>INT(LEFT(MLDL!F13,SEARCH("-",MLDL!F13)-1))</f>
        <v>5</v>
      </c>
      <c r="T16" s="45">
        <f>INT(RIGHT(MLDL!F13,LEN(MLDL!F13) - SEARCH("-",MLDL!F13)))</f>
        <v>10</v>
      </c>
      <c r="U16" s="45">
        <f>INT(LEFT(MLDL!H13,SEARCH("-",MLDL!H13)-1))</f>
        <v>5</v>
      </c>
      <c r="V16" s="45">
        <f>INT(RIGHT(MLDL!H13,LEN(MLDL!H13)-SEARCH("-",MLDL!H13)))</f>
        <v>10</v>
      </c>
      <c r="W16" s="45">
        <f>INT(LEFT(MLDL!J13,SEARCH("-",MLDL!J13)-1))</f>
        <v>5</v>
      </c>
      <c r="X16" s="45">
        <f>INT(RIGHT(MLDL!J13,LEN(MLDL!J13)-SEARCH("-",MLDL!J13)))</f>
        <v>10</v>
      </c>
    </row>
    <row r="17" spans="1:24" ht="34.5" customHeight="1" x14ac:dyDescent="0.25">
      <c r="A17" s="152"/>
      <c r="B17" s="152" t="s">
        <v>127</v>
      </c>
      <c r="C17" s="152"/>
      <c r="D17" s="157" t="str">
        <f>MLDL!B10&amp;": phổ biến "&amp; MIN(O15:O36) &amp;" - "&amp; MAX(P15:P36) &amp;" mm, cục bộ có nơi "&amp;MAX(MLDL!C12:C32)&amp;" mm"</f>
        <v>3 giờ (07:30-10:30): phổ biến 0 - 5 mm, cục bộ có nơi 10 mm</v>
      </c>
      <c r="E17" s="157"/>
      <c r="F17" s="157"/>
      <c r="G17" s="157"/>
      <c r="H17" s="157"/>
      <c r="I17" s="157"/>
      <c r="L17" s="46"/>
      <c r="M17" s="45"/>
      <c r="O17" s="45">
        <f>INT(LEFT(MLDL!B15,SEARCH("-",MLDL!B15)-1))</f>
        <v>0</v>
      </c>
      <c r="P17" s="45">
        <f>INT(RIGHT(MLDL!B15,LEN(MLDL!B15) - (SEARCH("-",MLDL!B15))))</f>
        <v>5</v>
      </c>
      <c r="Q17" s="45">
        <f>INT(LEFT(MLDL!D15,SEARCH("-",MLDL!D15)-1))</f>
        <v>0</v>
      </c>
      <c r="R17" s="45">
        <f>INT(RIGHT(MLDL!D15,LEN(MLDL!D15)-SEARCH("-",MLDL!D15)))</f>
        <v>5</v>
      </c>
      <c r="S17" s="45">
        <f>INT(LEFT(MLDL!F15,SEARCH("-",MLDL!F15)-1))</f>
        <v>5</v>
      </c>
      <c r="T17" s="45">
        <f>INT(RIGHT(MLDL!F15,LEN(MLDL!F15) - SEARCH("-",MLDL!F15)))</f>
        <v>10</v>
      </c>
      <c r="U17" s="45">
        <f>INT(LEFT(MLDL!H15,SEARCH("-",MLDL!H15)-1))</f>
        <v>5</v>
      </c>
      <c r="V17" s="45">
        <f>INT(RIGHT(MLDL!H15,LEN(MLDL!H15)-SEARCH("-",MLDL!H15)))</f>
        <v>10</v>
      </c>
      <c r="W17" s="45">
        <f>INT(LEFT(MLDL!J15,SEARCH("-",MLDL!J15)-1))</f>
        <v>5</v>
      </c>
      <c r="X17" s="45">
        <f>INT(RIGHT(MLDL!J15,LEN(MLDL!J15)-SEARCH("-",MLDL!J15)))</f>
        <v>10</v>
      </c>
    </row>
    <row r="18" spans="1:24" ht="34.5" customHeight="1" x14ac:dyDescent="0.25">
      <c r="A18" s="152"/>
      <c r="B18" s="152"/>
      <c r="C18" s="152"/>
      <c r="D18" s="157" t="str">
        <f>MLDL!D10&amp;": phổ biến "&amp;MIN(Q15:Q36)&amp;" - "&amp;MAX(R15:R36)&amp;" mm, cục bộ có nơi "&amp;MAX(MLDL!E12:E32)&amp;" mm"</f>
        <v>3 giờ (10:30-13:30): phổ biến 0 - 5 mm, cục bộ có nơi 15 mm</v>
      </c>
      <c r="E18" s="157"/>
      <c r="F18" s="157"/>
      <c r="G18" s="157"/>
      <c r="H18" s="157"/>
      <c r="I18" s="157"/>
      <c r="O18" s="45">
        <f>INT(LEFT(MLDL!B16,SEARCH("-",MLDL!B16)-1))</f>
        <v>0</v>
      </c>
      <c r="P18" s="45">
        <f>INT(RIGHT(MLDL!B16,LEN(MLDL!B16) - (SEARCH("-",MLDL!B16))))</f>
        <v>5</v>
      </c>
      <c r="Q18" s="45">
        <f>INT(LEFT(MLDL!D16,SEARCH("-",MLDL!D16)-1))</f>
        <v>0</v>
      </c>
      <c r="R18" s="45">
        <f>INT(RIGHT(MLDL!D16,LEN(MLDL!D16)-SEARCH("-",MLDL!D16)))</f>
        <v>5</v>
      </c>
      <c r="S18" s="45">
        <f>INT(LEFT(MLDL!F16,SEARCH("-",MLDL!F16)-1))</f>
        <v>5</v>
      </c>
      <c r="T18" s="45">
        <f>INT(RIGHT(MLDL!F16,LEN(MLDL!F16) - SEARCH("-",MLDL!F16)))</f>
        <v>10</v>
      </c>
      <c r="U18" s="45">
        <f>INT(LEFT(MLDL!H16,SEARCH("-",MLDL!H16)-1))</f>
        <v>5</v>
      </c>
      <c r="V18" s="45">
        <f>INT(RIGHT(MLDL!H16,LEN(MLDL!H16)-SEARCH("-",MLDL!H16)))</f>
        <v>10</v>
      </c>
      <c r="W18" s="45">
        <f>INT(LEFT(MLDL!J16,SEARCH("-",MLDL!J16)-1))</f>
        <v>5</v>
      </c>
      <c r="X18" s="45">
        <f>INT(RIGHT(MLDL!J16,LEN(MLDL!J16)-SEARCH("-",MLDL!J16)))</f>
        <v>10</v>
      </c>
    </row>
    <row r="19" spans="1:24" ht="34.5" customHeight="1" x14ac:dyDescent="0.25">
      <c r="A19" s="152"/>
      <c r="B19" s="152"/>
      <c r="C19" s="152"/>
      <c r="D19" s="157" t="str">
        <f>MLDL!F10&amp;": phổ biến "&amp;MIN(S15:S36)&amp;" - "&amp;MAX(T15:T36)&amp;" mm, cục bộ có nơi "&amp;MAX(MLDL!G12:G32)&amp;" mm"</f>
        <v>6 giờ (13:30-19:30): phổ biến 5 - 10 mm, cục bộ có nơi 20 mm</v>
      </c>
      <c r="E19" s="157"/>
      <c r="F19" s="157"/>
      <c r="G19" s="157"/>
      <c r="H19" s="157"/>
      <c r="I19" s="157"/>
      <c r="O19" s="45">
        <f>INT(LEFT(MLDL!B17,SEARCH("-",MLDL!B17)-1))</f>
        <v>0</v>
      </c>
      <c r="P19" s="45">
        <f>INT(RIGHT(MLDL!B17,LEN(MLDL!B17) - (SEARCH("-",MLDL!B17))))</f>
        <v>5</v>
      </c>
      <c r="Q19" s="45">
        <f>INT(LEFT(MLDL!D17,SEARCH("-",MLDL!D17)-1))</f>
        <v>0</v>
      </c>
      <c r="R19" s="45">
        <f>INT(RIGHT(MLDL!D17,LEN(MLDL!D17)-SEARCH("-",MLDL!D17)))</f>
        <v>5</v>
      </c>
      <c r="S19" s="45">
        <f>INT(LEFT(MLDL!F17,SEARCH("-",MLDL!F17)-1))</f>
        <v>5</v>
      </c>
      <c r="T19" s="45">
        <f>INT(RIGHT(MLDL!F17,LEN(MLDL!F17) - SEARCH("-",MLDL!F17)))</f>
        <v>10</v>
      </c>
      <c r="U19" s="45">
        <f>INT(LEFT(MLDL!H17,SEARCH("-",MLDL!H17)-1))</f>
        <v>5</v>
      </c>
      <c r="V19" s="45">
        <f>INT(RIGHT(MLDL!H17,LEN(MLDL!H17)-SEARCH("-",MLDL!H17)))</f>
        <v>10</v>
      </c>
      <c r="W19" s="45">
        <f>INT(LEFT(MLDL!J17,SEARCH("-",MLDL!J17)-1))</f>
        <v>5</v>
      </c>
      <c r="X19" s="45">
        <f>INT(RIGHT(MLDL!J17,LEN(MLDL!J17)-SEARCH("-",MLDL!J17)))</f>
        <v>10</v>
      </c>
    </row>
    <row r="20" spans="1:24" ht="34.5" customHeight="1" x14ac:dyDescent="0.25">
      <c r="A20" s="152"/>
      <c r="B20" s="152"/>
      <c r="C20" s="152"/>
      <c r="D20" s="157" t="str">
        <f>MLDL!H10&amp;": phổ biến "&amp;MIN(U15:U36)&amp;" - "&amp;MAX(V17:V36)&amp;" mm, cục bộ có nơi "&amp;MAX(MLDL!I12:I32)&amp;" mm"</f>
        <v>6 giờ (19:30-01:30): phổ biến 5 - 10 mm, cục bộ có nơi 20 mm</v>
      </c>
      <c r="E20" s="157"/>
      <c r="F20" s="157"/>
      <c r="G20" s="157"/>
      <c r="H20" s="157"/>
      <c r="I20" s="157"/>
      <c r="O20" s="45">
        <f>INT(LEFT(MLDL!B18,SEARCH("-",MLDL!B18)-1))</f>
        <v>0</v>
      </c>
      <c r="P20" s="45">
        <f>INT(RIGHT(MLDL!B18,LEN(MLDL!B18) - (SEARCH("-",MLDL!B18))))</f>
        <v>5</v>
      </c>
      <c r="Q20" s="45">
        <f>INT(LEFT(MLDL!D18,SEARCH("-",MLDL!D18)-1))</f>
        <v>0</v>
      </c>
      <c r="R20" s="45">
        <f>INT(RIGHT(MLDL!D18,LEN(MLDL!D18)-SEARCH("-",MLDL!D18)))</f>
        <v>5</v>
      </c>
      <c r="S20" s="45">
        <f>INT(LEFT(MLDL!F18,SEARCH("-",MLDL!F18)-1))</f>
        <v>5</v>
      </c>
      <c r="T20" s="45">
        <f>INT(RIGHT(MLDL!F18,LEN(MLDL!F18) - SEARCH("-",MLDL!F18)))</f>
        <v>10</v>
      </c>
      <c r="U20" s="45">
        <f>INT(LEFT(MLDL!H18,SEARCH("-",MLDL!H18)-1))</f>
        <v>5</v>
      </c>
      <c r="V20" s="45">
        <f>INT(RIGHT(MLDL!H18,LEN(MLDL!H18)-SEARCH("-",MLDL!H18)))</f>
        <v>10</v>
      </c>
      <c r="W20" s="45">
        <f>INT(LEFT(MLDL!J18,SEARCH("-",MLDL!J18)-1))</f>
        <v>5</v>
      </c>
      <c r="X20" s="45">
        <f>INT(RIGHT(MLDL!J18,LEN(MLDL!J18)-SEARCH("-",MLDL!J18)))</f>
        <v>10</v>
      </c>
    </row>
    <row r="21" spans="1:24" ht="34.5" customHeight="1" x14ac:dyDescent="0.25">
      <c r="A21" s="152"/>
      <c r="B21" s="152"/>
      <c r="C21" s="152"/>
      <c r="D21" s="157" t="str">
        <f>MLDL!J10&amp;": phổ biến "&amp;MIN(W15:W36)&amp;" - "&amp;MAX(X15:X36)&amp;" mm, cục bộ có nơi "&amp;MAX(MLDL!K12:K32)&amp;" mm"</f>
        <v>6 giờ (01:30-07:30): phổ biến 5 - 10 mm, cục bộ có nơi 20 mm</v>
      </c>
      <c r="E21" s="157"/>
      <c r="F21" s="157"/>
      <c r="G21" s="157"/>
      <c r="H21" s="157"/>
      <c r="I21" s="157"/>
      <c r="O21" s="45">
        <f>INT(LEFT(MLDL!B19,SEARCH("-",MLDL!B19)-1))</f>
        <v>0</v>
      </c>
      <c r="P21" s="45">
        <f>INT(RIGHT(MLDL!B19,LEN(MLDL!B19) - (SEARCH("-",MLDL!B19))))</f>
        <v>5</v>
      </c>
      <c r="Q21" s="45">
        <f>INT(LEFT(MLDL!D19,SEARCH("-",MLDL!D19)-1))</f>
        <v>0</v>
      </c>
      <c r="R21" s="45">
        <f>INT(RIGHT(MLDL!D19,LEN(MLDL!D19)-SEARCH("-",MLDL!D19)))</f>
        <v>5</v>
      </c>
      <c r="S21" s="45">
        <f>INT(LEFT(MLDL!F19,SEARCH("-",MLDL!F19)-1))</f>
        <v>5</v>
      </c>
      <c r="T21" s="45">
        <f>INT(RIGHT(MLDL!F19,LEN(MLDL!F19) - SEARCH("-",MLDL!F19)))</f>
        <v>10</v>
      </c>
      <c r="U21" s="45">
        <f>INT(LEFT(MLDL!H19,SEARCH("-",MLDL!H19)-1))</f>
        <v>5</v>
      </c>
      <c r="V21" s="45">
        <f>INT(RIGHT(MLDL!H19,LEN(MLDL!H19)-SEARCH("-",MLDL!H19)))</f>
        <v>10</v>
      </c>
      <c r="W21" s="45">
        <f>INT(LEFT(MLDL!J19,SEARCH("-",MLDL!J19)-1))</f>
        <v>5</v>
      </c>
      <c r="X21" s="45">
        <f>INT(RIGHT(MLDL!J19,LEN(MLDL!J19)-SEARCH("-",MLDL!J19)))</f>
        <v>10</v>
      </c>
    </row>
    <row r="22" spans="1:24" ht="60" customHeight="1" x14ac:dyDescent="0.25">
      <c r="A22" s="152"/>
      <c r="B22" s="120" t="s">
        <v>128</v>
      </c>
      <c r="C22" s="121"/>
      <c r="D22" s="178" t="s">
        <v>129</v>
      </c>
      <c r="E22" s="179"/>
      <c r="F22" s="179"/>
      <c r="G22" s="179"/>
      <c r="H22" s="179"/>
      <c r="I22" s="180"/>
      <c r="O22" s="45"/>
      <c r="P22" s="45"/>
      <c r="Q22" s="45"/>
      <c r="R22" s="45"/>
      <c r="S22" s="45"/>
      <c r="T22" s="45"/>
      <c r="U22" s="45"/>
      <c r="V22" s="45"/>
      <c r="W22" s="45"/>
      <c r="X22" s="45"/>
    </row>
    <row r="23" spans="1:24" ht="60" customHeight="1" x14ac:dyDescent="0.25">
      <c r="A23" s="152"/>
      <c r="B23" s="181" t="s">
        <v>130</v>
      </c>
      <c r="C23" s="182"/>
      <c r="D23" s="178" t="s">
        <v>108</v>
      </c>
      <c r="E23" s="179"/>
      <c r="F23" s="179"/>
      <c r="G23" s="179"/>
      <c r="H23" s="179"/>
      <c r="I23" s="180"/>
      <c r="O23" s="45"/>
      <c r="P23" s="45"/>
      <c r="Q23" s="45"/>
      <c r="R23" s="45"/>
      <c r="S23" s="45"/>
      <c r="T23" s="45"/>
      <c r="U23" s="45"/>
      <c r="V23" s="45"/>
      <c r="W23" s="45"/>
      <c r="X23" s="45"/>
    </row>
    <row r="24" spans="1:24" ht="103.5" customHeight="1" x14ac:dyDescent="0.25">
      <c r="A24" s="152"/>
      <c r="B24" s="152" t="s">
        <v>131</v>
      </c>
      <c r="C24" s="152"/>
      <c r="D24" s="156" t="str">
        <f>MLDR!A14</f>
        <v xml:space="preserve">     Tỉnh Nghệ An: Có mưa, mưa vừa, có nơi mưa to và dông với lượng mưa dự báo phổ biến 20 - 40mm/24h, có nơi trên 70mm/24h như: Quỳ Châu, Quỳ Hợp, Tương Dương,…</v>
      </c>
      <c r="E24" s="156"/>
      <c r="F24" s="156"/>
      <c r="G24" s="156"/>
      <c r="H24" s="156"/>
      <c r="I24" s="156"/>
      <c r="K24" s="86"/>
      <c r="L24" s="86"/>
      <c r="O24" s="45">
        <f>INT(LEFT(MLDL!B20,SEARCH("-",MLDL!B20)-1))</f>
        <v>0</v>
      </c>
      <c r="P24" s="45">
        <f>INT(RIGHT(MLDL!B20,LEN(MLDL!B20) - (SEARCH("-",MLDL!B20))))</f>
        <v>5</v>
      </c>
      <c r="Q24" s="45">
        <f>INT(LEFT(MLDL!D20,SEARCH("-",MLDL!D20)-1))</f>
        <v>0</v>
      </c>
      <c r="R24" s="45">
        <f>INT(RIGHT(MLDL!D20,LEN(MLDL!D20)-SEARCH("-",MLDL!D20)))</f>
        <v>5</v>
      </c>
      <c r="S24" s="45">
        <f>INT(LEFT(MLDL!F20,SEARCH("-",MLDL!F20)-1))</f>
        <v>5</v>
      </c>
      <c r="T24" s="45">
        <f>INT(RIGHT(MLDL!F20,LEN(MLDL!F20) - SEARCH("-",MLDL!F20)))</f>
        <v>10</v>
      </c>
      <c r="U24" s="45">
        <f>INT(LEFT(MLDL!H20,SEARCH("-",MLDL!H20)-1))</f>
        <v>5</v>
      </c>
      <c r="V24" s="45">
        <f>INT(RIGHT(MLDL!H20,LEN(MLDL!H20)-SEARCH("-",MLDL!H20)))</f>
        <v>10</v>
      </c>
      <c r="W24" s="45">
        <f>INT(LEFT(MLDL!J20,SEARCH("-",MLDL!J20)-1))</f>
        <v>5</v>
      </c>
      <c r="X24" s="45">
        <f>INT(RIGHT(MLDL!J20,LEN(MLDL!J20)-SEARCH("-",MLDL!J20)))</f>
        <v>10</v>
      </c>
    </row>
    <row r="25" spans="1:24" ht="16.5" customHeight="1" x14ac:dyDescent="0.25">
      <c r="A25" s="152" t="s">
        <v>84</v>
      </c>
      <c r="B25" s="152"/>
      <c r="C25" s="157" t="str">
        <f>"Lượng mưa 24h phổ biến "&amp;SUM(MIN(O15:O36),MIN(Q15:Q36),MIN(S15:S36),MIN(U15:U36),MIN(W15:W36))&amp;" – "&amp;SUM(MAX(P15:P36),MAX(R15:R36),MAX(T15:T36),MAX(V15:V36),MAX(X15:X36))&amp;" mm, có nơi trên "&amp;SUM(MAX(MLDL!C12:C32),MAX(MLDL!E12:E32),MAX(MLDL!G12:G32),MAX(MLDL!I12:I32),MAX(MLDL!K12:K32))&amp;" mm"</f>
        <v>Lượng mưa 24h phổ biến 15 – 40 mm, có nơi trên 85 mm</v>
      </c>
      <c r="D25" s="157"/>
      <c r="E25" s="157"/>
      <c r="F25" s="157"/>
      <c r="G25" s="157"/>
      <c r="H25" s="157"/>
      <c r="I25" s="157"/>
      <c r="O25" s="45">
        <f>INT(LEFT(MLDL!B21,SEARCH("-",MLDL!B21)-1))</f>
        <v>0</v>
      </c>
      <c r="P25" s="45">
        <f>INT(RIGHT(MLDL!B21,LEN(MLDL!B21) - (SEARCH("-",MLDL!B21))))</f>
        <v>5</v>
      </c>
      <c r="Q25" s="45">
        <f>INT(LEFT(MLDL!D21,SEARCH("-",MLDL!D21)-1))</f>
        <v>0</v>
      </c>
      <c r="R25" s="45">
        <f>INT(RIGHT(MLDL!D21,LEN(MLDL!D21)-SEARCH("-",MLDL!D21)))</f>
        <v>5</v>
      </c>
      <c r="S25" s="45">
        <f>INT(LEFT(MLDL!F21,SEARCH("-",MLDL!F21)-1))</f>
        <v>5</v>
      </c>
      <c r="T25" s="45">
        <f>INT(RIGHT(MLDL!F21,LEN(MLDL!F21) - SEARCH("-",MLDL!F21)))</f>
        <v>10</v>
      </c>
      <c r="U25" s="45">
        <f>INT(LEFT(MLDL!H21,SEARCH("-",MLDL!H21)-1))</f>
        <v>5</v>
      </c>
      <c r="V25" s="45">
        <f>INT(RIGHT(MLDL!H21,LEN(MLDL!H21)-SEARCH("-",MLDL!H21)))</f>
        <v>10</v>
      </c>
      <c r="W25" s="45">
        <f>INT(LEFT(MLDL!J21,SEARCH("-",MLDL!J21)-1))</f>
        <v>5</v>
      </c>
      <c r="X25" s="45">
        <f>INT(RIGHT(MLDL!J21,LEN(MLDL!J21)-SEARCH("-",MLDL!J21)))</f>
        <v>10</v>
      </c>
    </row>
    <row r="26" spans="1:24" ht="75.75" customHeight="1" x14ac:dyDescent="0.25">
      <c r="A26" s="163" t="s">
        <v>85</v>
      </c>
      <c r="B26" s="163"/>
      <c r="C26" s="157"/>
      <c r="D26" s="157"/>
      <c r="E26" s="157"/>
      <c r="F26" s="157"/>
      <c r="G26" s="157"/>
      <c r="H26" s="157"/>
      <c r="I26" s="157"/>
      <c r="O26" s="45">
        <f>INT(LEFT(MLDL!B22,SEARCH("-",MLDL!B22)-1))</f>
        <v>0</v>
      </c>
      <c r="P26" s="45">
        <f>INT(RIGHT(MLDL!B22,LEN(MLDL!B22) - (SEARCH("-",MLDL!B22))))</f>
        <v>5</v>
      </c>
      <c r="Q26" s="45">
        <f>INT(LEFT(MLDL!D22,SEARCH("-",MLDL!D22)-1))</f>
        <v>0</v>
      </c>
      <c r="R26" s="45">
        <f>INT(RIGHT(MLDL!D22,LEN(MLDL!D22)-SEARCH("-",MLDL!D22)))</f>
        <v>5</v>
      </c>
      <c r="S26" s="45">
        <f>INT(LEFT(MLDL!F22,SEARCH("-",MLDL!F22)-1))</f>
        <v>5</v>
      </c>
      <c r="T26" s="45">
        <f>INT(RIGHT(MLDL!F22,LEN(MLDL!F22) - SEARCH("-",MLDL!F22)))</f>
        <v>10</v>
      </c>
      <c r="U26" s="45">
        <f>INT(LEFT(MLDL!H22,SEARCH("-",MLDL!H22)-1))</f>
        <v>5</v>
      </c>
      <c r="V26" s="45">
        <f>INT(RIGHT(MLDL!H22,LEN(MLDL!H22)-SEARCH("-",MLDL!H22)))</f>
        <v>10</v>
      </c>
      <c r="W26" s="45">
        <f>INT(LEFT(MLDL!J22,SEARCH("-",MLDL!J22)-1))</f>
        <v>5</v>
      </c>
      <c r="X26" s="45">
        <f>INT(RIGHT(MLDL!J22,LEN(MLDL!J22)-SEARCH("-",MLDL!J22)))</f>
        <v>10</v>
      </c>
    </row>
    <row r="27" spans="1:24" ht="16.5" customHeight="1" x14ac:dyDescent="0.25">
      <c r="A27" s="161" t="s">
        <v>20</v>
      </c>
      <c r="B27" s="161"/>
      <c r="C27" s="161"/>
      <c r="D27" s="162" t="s">
        <v>21</v>
      </c>
      <c r="E27" s="162"/>
      <c r="F27" s="162"/>
      <c r="G27" s="162"/>
      <c r="H27" s="162"/>
      <c r="I27" s="162"/>
      <c r="O27" s="45">
        <f>INT(LEFT(MLDL!B23,SEARCH("-",MLDL!B23)-1))</f>
        <v>0</v>
      </c>
      <c r="P27" s="45">
        <f>INT(RIGHT(MLDL!B23,LEN(MLDL!B23) - (SEARCH("-",MLDL!B23))))</f>
        <v>5</v>
      </c>
      <c r="Q27" s="45">
        <f>INT(LEFT(MLDL!D23,SEARCH("-",MLDL!D23)-1))</f>
        <v>0</v>
      </c>
      <c r="R27" s="45">
        <f>INT(RIGHT(MLDL!D23,LEN(MLDL!D23)-SEARCH("-",MLDL!D23)))</f>
        <v>5</v>
      </c>
      <c r="S27" s="45">
        <f>INT(LEFT(MLDL!F23,SEARCH("-",MLDL!F23)-1))</f>
        <v>5</v>
      </c>
      <c r="T27" s="45">
        <f>INT(RIGHT(MLDL!F23,LEN(MLDL!F23) - SEARCH("-",MLDL!F23)))</f>
        <v>10</v>
      </c>
      <c r="U27" s="45">
        <f>INT(LEFT(MLDL!H23,SEARCH("-",MLDL!H23)-1))</f>
        <v>5</v>
      </c>
      <c r="V27" s="45">
        <f>INT(RIGHT(MLDL!H23,LEN(MLDL!H23)-SEARCH("-",MLDL!H23)))</f>
        <v>10</v>
      </c>
      <c r="W27" s="45">
        <f>INT(LEFT(MLDL!J23,SEARCH("-",MLDL!J23)-1))</f>
        <v>5</v>
      </c>
      <c r="X27" s="45">
        <f>INT(RIGHT(MLDL!J23,LEN(MLDL!J23)-SEARCH("-",MLDL!J23)))</f>
        <v>10</v>
      </c>
    </row>
    <row r="28" spans="1:24" ht="33" customHeight="1" x14ac:dyDescent="0.25">
      <c r="A28" s="158" t="s">
        <v>86</v>
      </c>
      <c r="B28" s="158"/>
      <c r="C28" s="158"/>
      <c r="D28" s="162"/>
      <c r="E28" s="162"/>
      <c r="F28" s="162"/>
      <c r="G28" s="162"/>
      <c r="H28" s="162"/>
      <c r="I28" s="162"/>
      <c r="O28" s="45">
        <f>INT(LEFT(MLDL!B24,SEARCH("-",MLDL!B24)-1))</f>
        <v>0</v>
      </c>
      <c r="P28" s="45">
        <f>INT(RIGHT(MLDL!B24,LEN(MLDL!B24) - (SEARCH("-",MLDL!B24))))</f>
        <v>5</v>
      </c>
      <c r="Q28" s="45">
        <f>INT(LEFT(MLDL!D24,SEARCH("-",MLDL!D24)-1))</f>
        <v>0</v>
      </c>
      <c r="R28" s="45">
        <f>INT(RIGHT(MLDL!D24,LEN(MLDL!D24)-SEARCH("-",MLDL!D24)))</f>
        <v>5</v>
      </c>
      <c r="S28" s="45">
        <f>INT(LEFT(MLDL!F24,SEARCH("-",MLDL!F24)-1))</f>
        <v>5</v>
      </c>
      <c r="T28" s="45">
        <f>INT(RIGHT(MLDL!F24,LEN(MLDL!F24) - SEARCH("-",MLDL!F24)))</f>
        <v>10</v>
      </c>
      <c r="U28" s="45">
        <f>INT(LEFT(MLDL!H24,SEARCH("-",MLDL!H24)-1))</f>
        <v>5</v>
      </c>
      <c r="V28" s="45">
        <f>INT(RIGHT(MLDL!H24,LEN(MLDL!H24)-SEARCH("-",MLDL!H24)))</f>
        <v>10</v>
      </c>
      <c r="W28" s="45">
        <f>INT(LEFT(MLDL!J24,SEARCH("-",MLDL!J24)-1))</f>
        <v>5</v>
      </c>
      <c r="X28" s="45">
        <f>INT(RIGHT(MLDL!J24,LEN(MLDL!J24)-SEARCH("-",MLDL!J24)))</f>
        <v>10</v>
      </c>
    </row>
    <row r="29" spans="1:24" ht="49.5" customHeight="1" x14ac:dyDescent="0.25">
      <c r="A29" s="161" t="s">
        <v>87</v>
      </c>
      <c r="B29" s="161"/>
      <c r="C29" s="161"/>
      <c r="D29" s="162" t="s">
        <v>16</v>
      </c>
      <c r="E29" s="162"/>
      <c r="F29" s="162"/>
      <c r="G29" s="162"/>
      <c r="H29" s="162"/>
      <c r="I29" s="162"/>
      <c r="O29" s="45">
        <f>INT(LEFT(MLDL!B25,SEARCH("-",MLDL!B25)-1))</f>
        <v>0</v>
      </c>
      <c r="P29" s="45">
        <f>INT(RIGHT(MLDL!B25,LEN(MLDL!B25) - (SEARCH("-",MLDL!B25))))</f>
        <v>5</v>
      </c>
      <c r="Q29" s="45">
        <f>INT(LEFT(MLDL!D25,SEARCH("-",MLDL!D25)-1))</f>
        <v>0</v>
      </c>
      <c r="R29" s="45">
        <f>INT(RIGHT(MLDL!D25,LEN(MLDL!D25)-SEARCH("-",MLDL!D25)))</f>
        <v>5</v>
      </c>
      <c r="S29" s="45">
        <f>INT(LEFT(MLDL!F25,SEARCH("-",MLDL!F25)-1))</f>
        <v>5</v>
      </c>
      <c r="T29" s="45">
        <f>INT(RIGHT(MLDL!F25,LEN(MLDL!F25) - SEARCH("-",MLDL!F25)))</f>
        <v>10</v>
      </c>
      <c r="U29" s="45">
        <f>INT(LEFT(MLDL!H25,SEARCH("-",MLDL!H25)-1))</f>
        <v>5</v>
      </c>
      <c r="V29" s="45">
        <f>INT(RIGHT(MLDL!H25,LEN(MLDL!H25)-SEARCH("-",MLDL!H25)))</f>
        <v>10</v>
      </c>
      <c r="W29" s="45">
        <f>INT(LEFT(MLDL!J25,SEARCH("-",MLDL!J25)-1))</f>
        <v>5</v>
      </c>
      <c r="X29" s="45">
        <f>INT(RIGHT(MLDL!J25,LEN(MLDL!J25)-SEARCH("-",MLDL!J25)))</f>
        <v>10</v>
      </c>
    </row>
    <row r="30" spans="1:24" ht="33" customHeight="1" x14ac:dyDescent="0.25">
      <c r="A30" s="161" t="s">
        <v>88</v>
      </c>
      <c r="B30" s="161"/>
      <c r="C30" s="161"/>
      <c r="D30" s="160" t="str">
        <f>MLDL!B35</f>
        <v>07h30</v>
      </c>
      <c r="E30" s="159"/>
      <c r="F30" s="159"/>
      <c r="G30" s="159"/>
      <c r="H30" s="159"/>
      <c r="I30" s="159"/>
      <c r="O30" s="45">
        <f>INT(LEFT(MLDL!B26,SEARCH("-",MLDL!B26)-1))</f>
        <v>0</v>
      </c>
      <c r="P30" s="45">
        <f>INT(RIGHT(MLDL!B26,LEN(MLDL!B26) - (SEARCH("-",MLDL!B26))))</f>
        <v>5</v>
      </c>
      <c r="Q30" s="45">
        <f>INT(LEFT(MLDL!D26,SEARCH("-",MLDL!D26)-1))</f>
        <v>0</v>
      </c>
      <c r="R30" s="45">
        <f>INT(RIGHT(MLDL!D26,LEN(MLDL!D26)-SEARCH("-",MLDL!D26)))</f>
        <v>5</v>
      </c>
      <c r="S30" s="45">
        <f>INT(LEFT(MLDL!F26,SEARCH("-",MLDL!F26)-1))</f>
        <v>5</v>
      </c>
      <c r="T30" s="45">
        <f>INT(RIGHT(MLDL!F26,LEN(MLDL!F26) - SEARCH("-",MLDL!F26)))</f>
        <v>10</v>
      </c>
      <c r="U30" s="45">
        <f>INT(LEFT(MLDL!H26,SEARCH("-",MLDL!H26)-1))</f>
        <v>5</v>
      </c>
      <c r="V30" s="45">
        <f>INT(RIGHT(MLDL!H26,LEN(MLDL!H26)-SEARCH("-",MLDL!H26)))</f>
        <v>10</v>
      </c>
      <c r="W30" s="45">
        <f>INT(LEFT(MLDL!J26,SEARCH("-",MLDL!J26)-1))</f>
        <v>5</v>
      </c>
      <c r="X30" s="45">
        <f>INT(RIGHT(MLDL!J26,LEN(MLDL!J26)-SEARCH("-",MLDL!J26)))</f>
        <v>10</v>
      </c>
    </row>
    <row r="31" spans="1:24" ht="33" customHeight="1" x14ac:dyDescent="0.25">
      <c r="A31" s="158" t="s">
        <v>89</v>
      </c>
      <c r="B31" s="158"/>
      <c r="C31" s="158"/>
      <c r="D31" s="159" t="s">
        <v>90</v>
      </c>
      <c r="E31" s="159"/>
      <c r="F31" s="159"/>
      <c r="G31" s="159"/>
      <c r="H31" s="159"/>
      <c r="I31" s="159"/>
      <c r="O31" s="45">
        <f>INT(LEFT(MLDL!B27,SEARCH("-",MLDL!B27)-1))</f>
        <v>0</v>
      </c>
      <c r="P31" s="45">
        <f>INT(RIGHT(MLDL!B27,LEN(MLDL!B27) - (SEARCH("-",MLDL!B27))))</f>
        <v>5</v>
      </c>
      <c r="Q31" s="45">
        <f>INT(LEFT(MLDL!D27,SEARCH("-",MLDL!D27)-1))</f>
        <v>0</v>
      </c>
      <c r="R31" s="45">
        <f>INT(RIGHT(MLDL!D27,LEN(MLDL!D27)-SEARCH("-",MLDL!D27)))</f>
        <v>5</v>
      </c>
      <c r="S31" s="45">
        <f>INT(LEFT(MLDL!F27,SEARCH("-",MLDL!F27)-1))</f>
        <v>5</v>
      </c>
      <c r="T31" s="45">
        <f>INT(RIGHT(MLDL!F27,LEN(MLDL!F27) - SEARCH("-",MLDL!F27)))</f>
        <v>10</v>
      </c>
      <c r="U31" s="45">
        <f>INT(LEFT(MLDL!H27,SEARCH("-",MLDL!H27)-1))</f>
        <v>5</v>
      </c>
      <c r="V31" s="45">
        <f>INT(RIGHT(MLDL!H27,LEN(MLDL!H27)-SEARCH("-",MLDL!H27)))</f>
        <v>10</v>
      </c>
      <c r="W31" s="45">
        <f>INT(LEFT(MLDL!J27,SEARCH("-",MLDL!J27)-1))</f>
        <v>5</v>
      </c>
      <c r="X31" s="45">
        <f>INT(RIGHT(MLDL!J27,LEN(MLDL!J27)-SEARCH("-",MLDL!J27)))</f>
        <v>10</v>
      </c>
    </row>
    <row r="32" spans="1:24" ht="33" customHeight="1" x14ac:dyDescent="0.25">
      <c r="A32" s="161" t="s">
        <v>22</v>
      </c>
      <c r="B32" s="161"/>
      <c r="C32" s="161"/>
      <c r="D32" s="159" t="s">
        <v>51</v>
      </c>
      <c r="E32" s="159"/>
      <c r="F32" s="159"/>
      <c r="G32" s="159"/>
      <c r="H32" s="159"/>
      <c r="I32" s="159"/>
      <c r="O32" s="45">
        <f>INT(LEFT(MLDL!B28,SEARCH("-",MLDL!B28)-1))</f>
        <v>0</v>
      </c>
      <c r="P32" s="45">
        <f>INT(RIGHT(MLDL!B28,LEN(MLDL!B28) - (SEARCH("-",MLDL!B28))))</f>
        <v>5</v>
      </c>
      <c r="Q32" s="45">
        <f>INT(LEFT(MLDL!D28,SEARCH("-",MLDL!D28)-1))</f>
        <v>0</v>
      </c>
      <c r="R32" s="45">
        <f>INT(RIGHT(MLDL!D28,LEN(MLDL!D28)-SEARCH("-",MLDL!D28)))</f>
        <v>5</v>
      </c>
      <c r="S32" s="45">
        <f>INT(LEFT(MLDL!F28,SEARCH("-",MLDL!F28)-1))</f>
        <v>5</v>
      </c>
      <c r="T32" s="45">
        <f>INT(RIGHT(MLDL!F28,LEN(MLDL!F28) - SEARCH("-",MLDL!F28)))</f>
        <v>10</v>
      </c>
      <c r="U32" s="45">
        <f>INT(LEFT(MLDL!H28,SEARCH("-",MLDL!H28)-1))</f>
        <v>5</v>
      </c>
      <c r="V32" s="45">
        <f>INT(RIGHT(MLDL!H28,LEN(MLDL!H28)-SEARCH("-",MLDL!H28)))</f>
        <v>10</v>
      </c>
      <c r="W32" s="45">
        <f>INT(LEFT(MLDL!J28,SEARCH("-",MLDL!J28)-1))</f>
        <v>5</v>
      </c>
      <c r="X32" s="45">
        <f>INT(RIGHT(MLDL!J28,LEN(MLDL!J28)-SEARCH("-",MLDL!J28)))</f>
        <v>10</v>
      </c>
    </row>
    <row r="33" spans="1:24" ht="33" customHeight="1" x14ac:dyDescent="0.25">
      <c r="A33" s="158" t="s">
        <v>91</v>
      </c>
      <c r="B33" s="158"/>
      <c r="C33" s="158"/>
      <c r="D33" s="159"/>
      <c r="E33" s="159"/>
      <c r="F33" s="159"/>
      <c r="G33" s="159"/>
      <c r="H33" s="159"/>
      <c r="I33" s="159"/>
      <c r="O33" s="45">
        <f>INT(LEFT(MLDL!B29,SEARCH("-",MLDL!B29)-1))</f>
        <v>0</v>
      </c>
      <c r="P33" s="45">
        <f>INT(RIGHT(MLDL!B29,LEN(MLDL!B29) - (SEARCH("-",MLDL!B29))))</f>
        <v>5</v>
      </c>
      <c r="Q33" s="45">
        <f>INT(LEFT(MLDL!D29,SEARCH("-",MLDL!D29)-1))</f>
        <v>0</v>
      </c>
      <c r="R33" s="45">
        <f>INT(RIGHT(MLDL!D29,LEN(MLDL!D29)-SEARCH("-",MLDL!D29)))</f>
        <v>5</v>
      </c>
      <c r="S33" s="45">
        <f>INT(LEFT(MLDL!F29,SEARCH("-",MLDL!F29)-1))</f>
        <v>5</v>
      </c>
      <c r="T33" s="45">
        <f>INT(RIGHT(MLDL!F29,LEN(MLDL!F29) - SEARCH("-",MLDL!F29)))</f>
        <v>10</v>
      </c>
      <c r="U33" s="45">
        <f>INT(LEFT(MLDL!H29,SEARCH("-",MLDL!H29)-1))</f>
        <v>5</v>
      </c>
      <c r="V33" s="45">
        <f>INT(RIGHT(MLDL!H29,LEN(MLDL!H29)-SEARCH("-",MLDL!H29)))</f>
        <v>10</v>
      </c>
      <c r="W33" s="45">
        <f>INT(LEFT(MLDL!J29,SEARCH("-",MLDL!J29)-1))</f>
        <v>5</v>
      </c>
      <c r="X33" s="45">
        <f>INT(RIGHT(MLDL!J29,LEN(MLDL!J29)-SEARCH("-",MLDL!J29)))</f>
        <v>10</v>
      </c>
    </row>
    <row r="34" spans="1:24" ht="63.75" customHeight="1" x14ac:dyDescent="0.25">
      <c r="A34" s="173" t="s">
        <v>45</v>
      </c>
      <c r="B34" s="173"/>
      <c r="C34" s="173"/>
      <c r="D34" s="167" t="s">
        <v>93</v>
      </c>
      <c r="E34" s="167"/>
      <c r="F34" s="167"/>
      <c r="G34" s="167" t="s">
        <v>94</v>
      </c>
      <c r="H34" s="167"/>
      <c r="I34" s="167"/>
      <c r="O34" s="45">
        <f>INT(LEFT(MLDL!B30,SEARCH("-",MLDL!B30)-1))</f>
        <v>0</v>
      </c>
      <c r="P34" s="45">
        <f>INT(RIGHT(MLDL!B30,LEN(MLDL!B30) - (SEARCH("-",MLDL!B30))))</f>
        <v>5</v>
      </c>
      <c r="Q34" s="45">
        <f>INT(LEFT(MLDL!D30,SEARCH("-",MLDL!D30)-1))</f>
        <v>0</v>
      </c>
      <c r="R34" s="45">
        <f>INT(RIGHT(MLDL!D30,LEN(MLDL!D30)-SEARCH("-",MLDL!D30)))</f>
        <v>5</v>
      </c>
      <c r="S34" s="45">
        <f>INT(LEFT(MLDL!F30,SEARCH("-",MLDL!F30)-1))</f>
        <v>5</v>
      </c>
      <c r="T34" s="45">
        <f>INT(RIGHT(MLDL!F30,LEN(MLDL!F30) - SEARCH("-",MLDL!F30)))</f>
        <v>10</v>
      </c>
      <c r="U34" s="45">
        <f>INT(LEFT(MLDL!H30,SEARCH("-",MLDL!H30)-1))</f>
        <v>5</v>
      </c>
      <c r="V34" s="45">
        <f>INT(RIGHT(MLDL!H30,LEN(MLDL!H30)-SEARCH("-",MLDL!H30)))</f>
        <v>10</v>
      </c>
      <c r="W34" s="45">
        <f>INT(LEFT(MLDL!J30,SEARCH("-",MLDL!J30)-1))</f>
        <v>5</v>
      </c>
      <c r="X34" s="45">
        <f>INT(RIGHT(MLDL!J30,LEN(MLDL!J30)-SEARCH("-",MLDL!J30)))</f>
        <v>10</v>
      </c>
    </row>
    <row r="35" spans="1:24" ht="31.5" customHeight="1" x14ac:dyDescent="0.25">
      <c r="A35" s="167" t="s">
        <v>92</v>
      </c>
      <c r="B35" s="167"/>
      <c r="C35" s="167"/>
      <c r="D35" s="167"/>
      <c r="E35" s="167"/>
      <c r="F35" s="167"/>
      <c r="G35" s="168"/>
      <c r="H35" s="169"/>
      <c r="I35" s="170"/>
      <c r="O35" s="45">
        <f>INT(LEFT(MLDL!B31,SEARCH("-",MLDL!B31)-1))</f>
        <v>0</v>
      </c>
      <c r="P35" s="45">
        <f>INT(RIGHT(MLDL!B31,LEN(MLDL!B31) - (SEARCH("-",MLDL!B31))))</f>
        <v>5</v>
      </c>
      <c r="Q35" s="45">
        <f>INT(LEFT(MLDL!D31,SEARCH("-",MLDL!D31)-1))</f>
        <v>0</v>
      </c>
      <c r="R35" s="45">
        <f>INT(RIGHT(MLDL!D31,LEN(MLDL!D31)-SEARCH("-",MLDL!D31)))</f>
        <v>5</v>
      </c>
      <c r="S35" s="45">
        <f>INT(LEFT(MLDL!F31,SEARCH("-",MLDL!F31)-1))</f>
        <v>5</v>
      </c>
      <c r="T35" s="45">
        <f>INT(RIGHT(MLDL!F31,LEN(MLDL!F31) - SEARCH("-",MLDL!F31)))</f>
        <v>10</v>
      </c>
      <c r="U35" s="45">
        <f>INT(LEFT(MLDL!H31,SEARCH("-",MLDL!H31)-1))</f>
        <v>5</v>
      </c>
      <c r="V35" s="45">
        <f>INT(RIGHT(MLDL!H31,LEN(MLDL!H31)-SEARCH("-",MLDL!H31)))</f>
        <v>10</v>
      </c>
      <c r="W35" s="45">
        <f>INT(LEFT(MLDL!J31,SEARCH("-",MLDL!J31)-1))</f>
        <v>5</v>
      </c>
      <c r="X35" s="45">
        <f>INT(RIGHT(MLDL!J31,LEN(MLDL!J31)-SEARCH("-",MLDL!J31)))</f>
        <v>10</v>
      </c>
    </row>
    <row r="36" spans="1:24" x14ac:dyDescent="0.25">
      <c r="A36" s="37"/>
      <c r="B36" s="37"/>
      <c r="C36" s="37"/>
      <c r="D36" s="37"/>
      <c r="E36" s="37"/>
      <c r="O36" s="45">
        <f>INT(LEFT(MLDL!B32,SEARCH("-",MLDL!B32)-1))</f>
        <v>0</v>
      </c>
      <c r="P36" s="45">
        <f>INT(RIGHT(MLDL!B32,LEN(MLDL!B32) - (SEARCH("-",MLDL!B32))))</f>
        <v>5</v>
      </c>
      <c r="Q36" s="45">
        <f>INT(LEFT(MLDL!D32,SEARCH("-",MLDL!D32)-1))</f>
        <v>0</v>
      </c>
      <c r="R36" s="45">
        <f>INT(RIGHT(MLDL!D32,LEN(MLDL!D32)-SEARCH("-",MLDL!D32)))</f>
        <v>5</v>
      </c>
      <c r="S36" s="45">
        <f>INT(LEFT(MLDL!F32,SEARCH("-",MLDL!F32)-1))</f>
        <v>5</v>
      </c>
      <c r="T36" s="45">
        <f>INT(RIGHT(MLDL!F32,LEN(MLDL!F32) - SEARCH("-",MLDL!F32)))</f>
        <v>10</v>
      </c>
      <c r="U36" s="45">
        <f>INT(LEFT(MLDL!H32,SEARCH("-",MLDL!H32)-1))</f>
        <v>5</v>
      </c>
      <c r="V36" s="45">
        <f>INT(RIGHT(MLDL!H32,LEN(MLDL!H32)-SEARCH("-",MLDL!H32)))</f>
        <v>10</v>
      </c>
      <c r="W36" s="45">
        <f>INT(LEFT(MLDL!J32,SEARCH("-",MLDL!J32)-1))</f>
        <v>5</v>
      </c>
      <c r="X36" s="45">
        <f>INT(RIGHT(MLDL!J32,LEN(MLDL!J32)-SEARCH("-",MLDL!J32)))</f>
        <v>10</v>
      </c>
    </row>
    <row r="37" spans="1:24" hidden="1" x14ac:dyDescent="0.25">
      <c r="A37" s="37"/>
      <c r="B37" s="37"/>
      <c r="C37" s="37"/>
      <c r="D37" s="37"/>
      <c r="E37" s="37"/>
      <c r="O37" s="45"/>
      <c r="P37" s="45"/>
      <c r="Q37" s="45"/>
      <c r="R37" s="45"/>
      <c r="S37" s="45"/>
      <c r="T37" s="45"/>
      <c r="U37" s="45"/>
      <c r="V37" s="45"/>
      <c r="W37" s="45"/>
      <c r="X37" s="45"/>
    </row>
    <row r="38" spans="1:24" hidden="1" x14ac:dyDescent="0.25">
      <c r="A38" s="37"/>
      <c r="B38" s="37"/>
      <c r="C38" s="37"/>
      <c r="D38" s="37"/>
      <c r="E38" s="37"/>
      <c r="O38" s="45"/>
      <c r="P38" s="45"/>
      <c r="Q38" s="45"/>
      <c r="R38" s="45"/>
      <c r="S38" s="45"/>
      <c r="T38" s="45"/>
      <c r="U38" s="45"/>
      <c r="V38" s="45"/>
      <c r="W38" s="45"/>
      <c r="X38" s="45"/>
    </row>
    <row r="39" spans="1:24" hidden="1" x14ac:dyDescent="0.25">
      <c r="A39" s="37"/>
      <c r="B39" s="37"/>
      <c r="C39" s="37"/>
      <c r="D39" s="37"/>
      <c r="E39" s="37"/>
      <c r="O39" s="45"/>
      <c r="P39" s="45"/>
      <c r="Q39" s="45"/>
      <c r="R39" s="45"/>
      <c r="S39" s="45"/>
      <c r="T39" s="45"/>
      <c r="U39" s="45"/>
      <c r="V39" s="45"/>
      <c r="W39" s="45"/>
      <c r="X39" s="45"/>
    </row>
    <row r="40" spans="1:24" hidden="1" x14ac:dyDescent="0.25">
      <c r="A40" s="37"/>
      <c r="B40" s="37"/>
      <c r="C40" s="37"/>
      <c r="D40" s="37"/>
      <c r="E40" s="37"/>
      <c r="O40" s="45"/>
      <c r="P40" s="45"/>
      <c r="Q40" s="45"/>
      <c r="R40" s="45"/>
      <c r="S40" s="45"/>
      <c r="T40" s="45"/>
      <c r="U40" s="45"/>
      <c r="V40" s="45"/>
      <c r="W40" s="45"/>
      <c r="X40" s="45"/>
    </row>
    <row r="41" spans="1:24" hidden="1" x14ac:dyDescent="0.25">
      <c r="A41" s="37"/>
      <c r="B41" s="37"/>
      <c r="C41" s="37"/>
      <c r="D41" s="37"/>
      <c r="E41" s="37"/>
      <c r="O41" s="45"/>
      <c r="P41" s="45"/>
      <c r="Q41" s="45"/>
      <c r="R41" s="45"/>
      <c r="S41" s="45"/>
      <c r="T41" s="45"/>
      <c r="U41" s="45"/>
      <c r="V41" s="45"/>
      <c r="W41" s="45"/>
      <c r="X41" s="45"/>
    </row>
    <row r="42" spans="1:24" hidden="1" x14ac:dyDescent="0.25">
      <c r="A42" s="37"/>
      <c r="B42" s="37"/>
      <c r="C42" s="37"/>
      <c r="D42" s="37"/>
      <c r="E42" s="37"/>
      <c r="O42" s="45"/>
      <c r="P42" s="45"/>
      <c r="Q42" s="45"/>
      <c r="R42" s="45"/>
      <c r="S42" s="45"/>
      <c r="T42" s="45"/>
      <c r="U42" s="45"/>
      <c r="V42" s="45"/>
      <c r="W42" s="45"/>
      <c r="X42" s="45"/>
    </row>
    <row r="43" spans="1:24" hidden="1" x14ac:dyDescent="0.25">
      <c r="A43" s="37"/>
      <c r="B43" s="37"/>
      <c r="C43" s="37"/>
      <c r="D43" s="37"/>
      <c r="E43" s="37"/>
      <c r="O43" s="45"/>
      <c r="P43" s="45"/>
      <c r="Q43" s="45"/>
      <c r="R43" s="45"/>
      <c r="S43" s="45"/>
      <c r="T43" s="45"/>
      <c r="U43" s="45"/>
      <c r="V43" s="45"/>
      <c r="W43" s="45"/>
      <c r="X43" s="45"/>
    </row>
    <row r="44" spans="1:24" hidden="1" x14ac:dyDescent="0.25">
      <c r="A44" s="37"/>
      <c r="B44" s="37"/>
      <c r="C44" s="37"/>
      <c r="D44" s="37"/>
      <c r="E44" s="37"/>
      <c r="O44" s="45"/>
      <c r="P44" s="45"/>
      <c r="Q44" s="45"/>
      <c r="R44" s="45"/>
      <c r="S44" s="45"/>
      <c r="T44" s="45"/>
      <c r="U44" s="45"/>
      <c r="V44" s="45"/>
      <c r="W44" s="45"/>
      <c r="X44" s="45"/>
    </row>
    <row r="45" spans="1:24" hidden="1" x14ac:dyDescent="0.25">
      <c r="A45" s="37"/>
      <c r="B45" s="37"/>
      <c r="C45" s="37"/>
      <c r="D45" s="37"/>
      <c r="E45" s="37"/>
      <c r="O45" s="45"/>
      <c r="P45" s="45"/>
      <c r="Q45" s="45"/>
      <c r="R45" s="45"/>
      <c r="S45" s="45"/>
      <c r="T45" s="45"/>
      <c r="U45" s="45"/>
      <c r="V45" s="45"/>
      <c r="W45" s="45"/>
      <c r="X45" s="45"/>
    </row>
    <row r="46" spans="1:24" ht="16.5" hidden="1" x14ac:dyDescent="0.25">
      <c r="A46" s="38"/>
    </row>
    <row r="47" spans="1:24" ht="16.5" x14ac:dyDescent="0.25">
      <c r="A47" s="171" t="s">
        <v>95</v>
      </c>
      <c r="B47" s="171"/>
      <c r="C47" s="171"/>
      <c r="D47" s="171"/>
      <c r="E47" s="171"/>
      <c r="F47" s="171"/>
      <c r="G47" s="171"/>
      <c r="H47" s="171"/>
      <c r="I47" s="171"/>
    </row>
    <row r="48" spans="1:24" ht="16.5" x14ac:dyDescent="0.25">
      <c r="A48" s="172" t="s">
        <v>96</v>
      </c>
      <c r="B48" s="172"/>
      <c r="C48" s="172"/>
      <c r="D48" s="172"/>
      <c r="E48" s="172"/>
      <c r="F48" s="172"/>
      <c r="G48" s="172"/>
      <c r="H48" s="172"/>
      <c r="I48" s="172"/>
    </row>
    <row r="49" spans="1:9" ht="17.25" hidden="1" x14ac:dyDescent="0.25">
      <c r="A49" s="39"/>
      <c r="B49" s="39"/>
      <c r="C49" s="39"/>
      <c r="D49" s="39"/>
      <c r="E49" s="39"/>
      <c r="F49" s="39"/>
      <c r="G49" s="39"/>
      <c r="H49" s="39"/>
      <c r="I49" s="39"/>
    </row>
    <row r="50" spans="1:9" ht="75" customHeight="1" x14ac:dyDescent="0.25">
      <c r="A50" s="166" t="str">
        <f>MLDR!A14</f>
        <v xml:space="preserve">     Tỉnh Nghệ An: Có mưa, mưa vừa, có nơi mưa to và dông với lượng mưa dự báo phổ biến 20 - 40mm/24h, có nơi trên 70mm/24h như: Quỳ Châu, Quỳ Hợp, Tương Dương,…</v>
      </c>
      <c r="B50" s="166"/>
      <c r="C50" s="166"/>
      <c r="D50" s="166"/>
      <c r="E50" s="166"/>
      <c r="F50" s="166"/>
      <c r="G50" s="166"/>
      <c r="H50" s="166"/>
      <c r="I50" s="166"/>
    </row>
    <row r="51" spans="1:9" ht="82.5" hidden="1" customHeight="1" x14ac:dyDescent="0.25">
      <c r="A51" s="174" t="str">
        <f>MLDR!A14</f>
        <v xml:space="preserve">     Tỉnh Nghệ An: Có mưa, mưa vừa, có nơi mưa to và dông với lượng mưa dự báo phổ biến 20 - 40mm/24h, có nơi trên 70mm/24h như: Quỳ Châu, Quỳ Hợp, Tương Dương,…</v>
      </c>
      <c r="B51" s="174"/>
      <c r="C51" s="174"/>
      <c r="D51" s="174"/>
      <c r="E51" s="174"/>
      <c r="F51" s="174"/>
      <c r="G51" s="174"/>
      <c r="H51" s="174"/>
      <c r="I51" s="174"/>
    </row>
    <row r="52" spans="1:9" ht="18.75" x14ac:dyDescent="0.3">
      <c r="A52" s="164" t="s">
        <v>110</v>
      </c>
      <c r="B52" s="165"/>
      <c r="C52" s="165"/>
      <c r="D52" s="165"/>
      <c r="E52" s="165"/>
      <c r="F52" s="165"/>
      <c r="G52" s="165"/>
      <c r="H52" s="165"/>
      <c r="I52" s="165"/>
    </row>
  </sheetData>
  <mergeCells count="65">
    <mergeCell ref="D14:I14"/>
    <mergeCell ref="B22:C22"/>
    <mergeCell ref="D22:I22"/>
    <mergeCell ref="B23:C23"/>
    <mergeCell ref="D23:I23"/>
    <mergeCell ref="A52:I52"/>
    <mergeCell ref="A50:I50"/>
    <mergeCell ref="D34:F34"/>
    <mergeCell ref="D35:F35"/>
    <mergeCell ref="G34:I34"/>
    <mergeCell ref="G35:I35"/>
    <mergeCell ref="A47:I47"/>
    <mergeCell ref="A48:I48"/>
    <mergeCell ref="A34:C34"/>
    <mergeCell ref="A35:C35"/>
    <mergeCell ref="A51:I51"/>
    <mergeCell ref="D7:I7"/>
    <mergeCell ref="D8:I8"/>
    <mergeCell ref="D9:I9"/>
    <mergeCell ref="A7:A9"/>
    <mergeCell ref="B7:C7"/>
    <mergeCell ref="B8:C8"/>
    <mergeCell ref="B9:C9"/>
    <mergeCell ref="A1:I1"/>
    <mergeCell ref="A2:D2"/>
    <mergeCell ref="C4:D4"/>
    <mergeCell ref="A31:C31"/>
    <mergeCell ref="A32:C32"/>
    <mergeCell ref="G4:H4"/>
    <mergeCell ref="B24:C24"/>
    <mergeCell ref="A25:B25"/>
    <mergeCell ref="A26:B26"/>
    <mergeCell ref="C25:I26"/>
    <mergeCell ref="A17:A24"/>
    <mergeCell ref="B17:C21"/>
    <mergeCell ref="D24:I24"/>
    <mergeCell ref="D20:I20"/>
    <mergeCell ref="D21:I21"/>
    <mergeCell ref="A6:I6"/>
    <mergeCell ref="A33:C33"/>
    <mergeCell ref="D31:I31"/>
    <mergeCell ref="D30:I30"/>
    <mergeCell ref="D32:I33"/>
    <mergeCell ref="A27:C27"/>
    <mergeCell ref="A28:C28"/>
    <mergeCell ref="A29:C29"/>
    <mergeCell ref="A30:C30"/>
    <mergeCell ref="D27:I28"/>
    <mergeCell ref="D29:I29"/>
    <mergeCell ref="K24:L24"/>
    <mergeCell ref="A10:C10"/>
    <mergeCell ref="A12:A15"/>
    <mergeCell ref="B12:C12"/>
    <mergeCell ref="B13:C13"/>
    <mergeCell ref="B15:C15"/>
    <mergeCell ref="A11:I11"/>
    <mergeCell ref="D12:I12"/>
    <mergeCell ref="D13:I13"/>
    <mergeCell ref="D15:I15"/>
    <mergeCell ref="D10:I10"/>
    <mergeCell ref="A16:I16"/>
    <mergeCell ref="D17:I17"/>
    <mergeCell ref="D18:I18"/>
    <mergeCell ref="D19:I19"/>
    <mergeCell ref="B14:C14"/>
  </mergeCells>
  <pageMargins left="0.98425196850393704" right="0.59055118110236227" top="0.78740157480314965" bottom="0.78740157480314965" header="0.31496062992125984" footer="0.31496062992125984"/>
  <pageSetup orientation="portrait" r:id="rId1"/>
  <drawing r:id="rId2"/>
  <legacyDrawing r:id="rId3"/>
  <controls>
    <mc:AlternateContent xmlns:mc="http://schemas.openxmlformats.org/markup-compatibility/2006">
      <mc:Choice Requires="x14">
        <control shapeId="6146" r:id="rId4" name="CommandButton2">
          <controlPr defaultSize="0" autoLine="0" r:id="rId5">
            <anchor moveWithCells="1">
              <from>
                <xdr:col>10</xdr:col>
                <xdr:colOff>523875</xdr:colOff>
                <xdr:row>7</xdr:row>
                <xdr:rowOff>0</xdr:rowOff>
              </from>
              <to>
                <xdr:col>24</xdr:col>
                <xdr:colOff>323850</xdr:colOff>
                <xdr:row>7</xdr:row>
                <xdr:rowOff>638175</xdr:rowOff>
              </to>
            </anchor>
          </controlPr>
        </control>
      </mc:Choice>
      <mc:Fallback>
        <control shapeId="6146" r:id="rId4" name="CommandButton2"/>
      </mc:Fallback>
    </mc:AlternateContent>
    <mc:AlternateContent xmlns:mc="http://schemas.openxmlformats.org/markup-compatibility/2006">
      <mc:Choice Requires="x14">
        <control shapeId="6145" r:id="rId6" name="CommandButton1">
          <controlPr defaultSize="0" autoLine="0" r:id="rId7">
            <anchor moveWithCells="1">
              <from>
                <xdr:col>10</xdr:col>
                <xdr:colOff>504825</xdr:colOff>
                <xdr:row>5</xdr:row>
                <xdr:rowOff>200025</xdr:rowOff>
              </from>
              <to>
                <xdr:col>24</xdr:col>
                <xdr:colOff>323850</xdr:colOff>
                <xdr:row>6</xdr:row>
                <xdr:rowOff>581025</xdr:rowOff>
              </to>
            </anchor>
          </controlPr>
        </control>
      </mc:Choice>
      <mc:Fallback>
        <control shapeId="6145"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C8891C-0BC4-4EF4-99A1-1965B803153A}">
          <x14:formula1>
            <xm:f>Sheet1!$B$3:$B$22</xm:f>
          </x14:formula1>
          <xm:sqref>G4:H4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C3"/>
  <sheetViews>
    <sheetView workbookViewId="0">
      <selection sqref="A1:C3"/>
    </sheetView>
  </sheetViews>
  <sheetFormatPr defaultRowHeight="15" x14ac:dyDescent="0.25"/>
  <cols>
    <col min="1" max="1" width="12" customWidth="1"/>
    <col min="2" max="2" width="13" customWidth="1"/>
  </cols>
  <sheetData>
    <row r="1" spans="1:3" ht="15.75" x14ac:dyDescent="0.25">
      <c r="A1" s="22">
        <v>44197</v>
      </c>
      <c r="B1" s="22">
        <f ca="1">TODAY()</f>
        <v>45189</v>
      </c>
      <c r="C1" s="23" t="s">
        <v>49</v>
      </c>
    </row>
    <row r="2" spans="1:3" ht="15.75" x14ac:dyDescent="0.25">
      <c r="A2" s="24"/>
      <c r="B2" s="25">
        <f ca="1">B1-1</f>
        <v>45188</v>
      </c>
    </row>
    <row r="3" spans="1:3" ht="15.75" x14ac:dyDescent="0.25">
      <c r="A3" s="24"/>
      <c r="B3" s="2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3:B12"/>
  <sheetViews>
    <sheetView workbookViewId="0">
      <selection activeCell="F11" sqref="F11"/>
    </sheetView>
  </sheetViews>
  <sheetFormatPr defaultRowHeight="15" x14ac:dyDescent="0.25"/>
  <cols>
    <col min="2" max="2" width="16.85546875" bestFit="1" customWidth="1"/>
  </cols>
  <sheetData>
    <row r="3" spans="2:2" x14ac:dyDescent="0.25">
      <c r="B3" t="s">
        <v>99</v>
      </c>
    </row>
    <row r="4" spans="2:2" x14ac:dyDescent="0.25">
      <c r="B4" t="s">
        <v>100</v>
      </c>
    </row>
    <row r="5" spans="2:2" x14ac:dyDescent="0.25">
      <c r="B5" t="s">
        <v>101</v>
      </c>
    </row>
    <row r="6" spans="2:2" x14ac:dyDescent="0.25">
      <c r="B6" t="s">
        <v>102</v>
      </c>
    </row>
    <row r="7" spans="2:2" x14ac:dyDescent="0.25">
      <c r="B7" t="s">
        <v>103</v>
      </c>
    </row>
    <row r="8" spans="2:2" x14ac:dyDescent="0.25">
      <c r="B8" t="s">
        <v>98</v>
      </c>
    </row>
    <row r="9" spans="2:2" x14ac:dyDescent="0.25">
      <c r="B9" t="s">
        <v>104</v>
      </c>
    </row>
    <row r="10" spans="2:2" x14ac:dyDescent="0.25">
      <c r="B10" t="s">
        <v>111</v>
      </c>
    </row>
    <row r="11" spans="2:2" x14ac:dyDescent="0.25">
      <c r="B11" t="s">
        <v>112</v>
      </c>
    </row>
    <row r="12" spans="2:2" x14ac:dyDescent="0.25">
      <c r="B12" t="s">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CBML</vt:lpstr>
      <vt:lpstr>HSDB_CBMLDR</vt:lpstr>
      <vt:lpstr>MLDR</vt:lpstr>
      <vt:lpstr>HSDB_MLDR</vt:lpstr>
      <vt:lpstr>MLDL</vt:lpstr>
      <vt:lpstr>HSDB_MLDL</vt:lpstr>
      <vt:lpstr>không xóa</vt:lpstr>
      <vt:lpstr>Sheet1</vt:lpstr>
      <vt:lpstr>HSDB_MLDL!_Hlk5038901</vt:lpstr>
      <vt:lpstr>ab</vt:lpstr>
      <vt:lpstr>abc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AnhCong</dc:creator>
  <cp:lastModifiedBy>DAO ANH CONG</cp:lastModifiedBy>
  <cp:lastPrinted>2023-09-20T16:19:23Z</cp:lastPrinted>
  <dcterms:created xsi:type="dcterms:W3CDTF">2021-03-08T03:40:35Z</dcterms:created>
  <dcterms:modified xsi:type="dcterms:W3CDTF">2023-09-20T16:52:16Z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417d29cc-27f3-4535-b6c3-461591d08492</vt:lpwstr>
  </property>
</Properties>
</file>