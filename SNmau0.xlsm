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O ANH CONG\Desktop\"/>
    </mc:Choice>
  </mc:AlternateContent>
  <bookViews>
    <workbookView xWindow="-15" yWindow="-15" windowWidth="5970" windowHeight="6855" tabRatio="723" firstSheet="5" activeTab="5"/>
  </bookViews>
  <sheets>
    <sheet name="Tæng kÕt T " sheetId="13" state="hidden" r:id="rId1"/>
    <sheet name="Tæng kÕt Tx" sheetId="14" state="hidden" r:id="rId2"/>
    <sheet name="Tæng kÕt Tm " sheetId="15" state="hidden" r:id="rId3"/>
    <sheet name="Tæng kÕt R" sheetId="16" state="hidden" r:id="rId4"/>
    <sheet name="Tæng kÕt U" sheetId="62" state="hidden" r:id="rId5"/>
    <sheet name="ngay01" sheetId="24" r:id="rId6"/>
    <sheet name="ngay02" sheetId="25" r:id="rId7"/>
    <sheet name="ngay03" sheetId="26" r:id="rId8"/>
    <sheet name="ngay04" sheetId="27" r:id="rId9"/>
    <sheet name="ngay05" sheetId="28" r:id="rId10"/>
    <sheet name="ngay06" sheetId="29" r:id="rId11"/>
    <sheet name="ngay07" sheetId="30" r:id="rId12"/>
    <sheet name="ngay08" sheetId="31" r:id="rId13"/>
    <sheet name="ngay09" sheetId="32" r:id="rId14"/>
    <sheet name="ngay10" sheetId="33" r:id="rId15"/>
    <sheet name="ngay11" sheetId="34" r:id="rId16"/>
    <sheet name="ngay12" sheetId="35" r:id="rId17"/>
    <sheet name="ngay13" sheetId="36" r:id="rId18"/>
    <sheet name="ngay14" sheetId="37" r:id="rId19"/>
    <sheet name="ngay15" sheetId="38" r:id="rId20"/>
    <sheet name="ngay16" sheetId="39" r:id="rId21"/>
    <sheet name="ngay17" sheetId="40" r:id="rId22"/>
    <sheet name="ngay18" sheetId="41" r:id="rId23"/>
    <sheet name="ngay19" sheetId="42" r:id="rId24"/>
    <sheet name="ngay20" sheetId="43" r:id="rId25"/>
    <sheet name="ngay21" sheetId="44" r:id="rId26"/>
    <sheet name="ngay22" sheetId="45" r:id="rId27"/>
    <sheet name="ngay23" sheetId="46" r:id="rId28"/>
    <sheet name="ngay24" sheetId="47" r:id="rId29"/>
    <sheet name="ngay25" sheetId="48" r:id="rId30"/>
    <sheet name="ngay26" sheetId="49" r:id="rId31"/>
    <sheet name="ngay27" sheetId="50" r:id="rId32"/>
    <sheet name="ngay28" sheetId="51" r:id="rId33"/>
    <sheet name="ngay29" sheetId="52" r:id="rId34"/>
    <sheet name="ngay30" sheetId="53" r:id="rId35"/>
    <sheet name="ngay31" sheetId="54" state="hidden" r:id="rId36"/>
    <sheet name="Ttb tuan 1" sheetId="1" r:id="rId37"/>
    <sheet name="Ttb tuan 2" sheetId="5" r:id="rId38"/>
    <sheet name="Ttb tuan3" sheetId="9" r:id="rId39"/>
    <sheet name="Tm tuan 1" sheetId="2" r:id="rId40"/>
    <sheet name="Tm tuan 2" sheetId="6" r:id="rId41"/>
    <sheet name="Tm  tuan3" sheetId="11" r:id="rId42"/>
    <sheet name="Tx tuan 1" sheetId="3" r:id="rId43"/>
    <sheet name="Tx tuan 2" sheetId="7" r:id="rId44"/>
    <sheet name="Tx tuan3" sheetId="10" r:id="rId45"/>
    <sheet name="R tuan 1" sheetId="4" r:id="rId46"/>
    <sheet name="R tuan 2" sheetId="8" r:id="rId47"/>
    <sheet name="R tuan3" sheetId="12" r:id="rId48"/>
    <sheet name="U tuan1" sheetId="63" r:id="rId49"/>
    <sheet name="U tuan2" sheetId="64" r:id="rId50"/>
    <sheet name="U tuan3" sheetId="65" r:id="rId51"/>
    <sheet name="SL Thang" sheetId="55" r:id="rId52"/>
    <sheet name="P &amp; T(1) " sheetId="19" state="hidden" r:id="rId53"/>
    <sheet name="P &amp; T(2)" sheetId="23" state="hidden" r:id="rId54"/>
    <sheet name="1.Giando CAO BANG" sheetId="20" state="hidden" r:id="rId55"/>
    <sheet name="2.Gian do THAT KHE" sheetId="17" state="hidden" r:id="rId56"/>
    <sheet name="1.Gian do THANHHOA" sheetId="18" r:id="rId57"/>
    <sheet name="4.Giando BACGIANG" sheetId="21" state="hidden" r:id="rId58"/>
    <sheet name="2.Giando HoiXuan" sheetId="22" r:id="rId59"/>
    <sheet name="3.Giando Vinh" sheetId="57" r:id="rId60"/>
    <sheet name="4.Giando HaTinh" sheetId="58" r:id="rId61"/>
  </sheets>
  <definedNames>
    <definedName name="_xlnm.Print_Area" localSheetId="45">'R tuan 1'!$A$1:$N$29</definedName>
    <definedName name="_xlnm.Print_Area" localSheetId="46">'R tuan 2'!$A$1:$N$32</definedName>
    <definedName name="_xlnm.Print_Area" localSheetId="47">'R tuan3'!$A$1:$O$31</definedName>
    <definedName name="_xlnm.Print_Area" localSheetId="41">'Tm  tuan3'!$A$1:$O$32</definedName>
    <definedName name="_xlnm.Print_Area" localSheetId="39">'Tm tuan 1'!$A$1:$N$30</definedName>
    <definedName name="_xlnm.Print_Area" localSheetId="40">'Tm tuan 2'!$A$1:$N$31</definedName>
    <definedName name="_xlnm.Print_Area" localSheetId="36">'Ttb tuan 1'!$A$1:$N$30</definedName>
    <definedName name="_xlnm.Print_Area" localSheetId="37">'Ttb tuan 2'!$A$1:$N$32</definedName>
    <definedName name="_xlnm.Print_Area" localSheetId="38">'Ttb tuan3'!$A$1:$O$33</definedName>
    <definedName name="_xlnm.Print_Area" localSheetId="42">'Tx tuan 1'!$A$1:$N$30</definedName>
    <definedName name="_xlnm.Print_Area" localSheetId="43">'Tx tuan 2'!$A$1:$N$31</definedName>
    <definedName name="_xlnm.Print_Area" localSheetId="44">'Tx tuan3'!$A$1:$O$32</definedName>
    <definedName name="_xlnm.Print_Area" localSheetId="48">'U tuan1'!$A$1:$N$31</definedName>
    <definedName name="_xlnm.Print_Area" localSheetId="49">'U tuan2'!$A$1:$N$31</definedName>
    <definedName name="_xlnm.Print_Area" localSheetId="50">'U tuan3'!$A$1:$O$32</definedName>
    <definedName name="_xlnm.Print_Titles" localSheetId="45">'R tuan 1'!$1:$3</definedName>
    <definedName name="_xlnm.Print_Titles" localSheetId="46">'R tuan 2'!$1:$3</definedName>
    <definedName name="_xlnm.Print_Titles" localSheetId="47">'R tuan3'!$1:$3</definedName>
    <definedName name="_xlnm.Print_Titles" localSheetId="41">'Tm  tuan3'!$1:$3</definedName>
    <definedName name="_xlnm.Print_Titles" localSheetId="39">'Tm tuan 1'!$1:$3</definedName>
    <definedName name="_xlnm.Print_Titles" localSheetId="40">'Tm tuan 2'!$1:$3</definedName>
    <definedName name="_xlnm.Print_Titles" localSheetId="36">'Ttb tuan 1'!$1:$3</definedName>
    <definedName name="_xlnm.Print_Titles" localSheetId="37">'Ttb tuan 2'!$1:$3</definedName>
    <definedName name="_xlnm.Print_Titles" localSheetId="38">'Ttb tuan3'!$1:$3</definedName>
    <definedName name="_xlnm.Print_Titles" localSheetId="42">'Tx tuan 1'!$1:$3</definedName>
    <definedName name="_xlnm.Print_Titles" localSheetId="43">'Tx tuan 2'!$1:$3</definedName>
    <definedName name="_xlnm.Print_Titles" localSheetId="44">'Tx tuan3'!$1:$3</definedName>
    <definedName name="_xlnm.Print_Titles" localSheetId="48">'U tuan1'!$1:$3</definedName>
    <definedName name="_xlnm.Print_Titles" localSheetId="49">'U tuan2'!$1:$3</definedName>
    <definedName name="_xlnm.Print_Titles" localSheetId="50">'U tuan3'!$1:$3</definedName>
  </definedNames>
  <calcPr calcId="162913" iterate="1"/>
</workbook>
</file>

<file path=xl/calcChain.xml><?xml version="1.0" encoding="utf-8"?>
<calcChain xmlns="http://schemas.openxmlformats.org/spreadsheetml/2006/main">
  <c r="AI25" i="24" l="1"/>
  <c r="AJ25" i="24" s="1"/>
  <c r="AI24" i="24"/>
  <c r="AJ24" i="24" s="1"/>
  <c r="AI23" i="24"/>
  <c r="AJ23" i="24" s="1"/>
  <c r="AI22" i="24"/>
  <c r="AJ22" i="24" s="1"/>
  <c r="AI21" i="24"/>
  <c r="AJ21" i="24" s="1"/>
  <c r="AI20" i="24"/>
  <c r="AJ20" i="24" s="1"/>
  <c r="AI19" i="24"/>
  <c r="AJ19" i="24" s="1"/>
  <c r="AI18" i="24"/>
  <c r="AJ18" i="24" s="1"/>
  <c r="AI17" i="24"/>
  <c r="AJ17" i="24" s="1"/>
  <c r="AI16" i="24"/>
  <c r="AJ16" i="24" s="1"/>
  <c r="AI15" i="24"/>
  <c r="AJ15" i="24" s="1"/>
  <c r="AI14" i="24"/>
  <c r="AJ14" i="24" s="1"/>
  <c r="AI13" i="24"/>
  <c r="AJ13" i="24" s="1"/>
  <c r="AI12" i="24"/>
  <c r="AJ12" i="24" s="1"/>
  <c r="AI11" i="24"/>
  <c r="AJ11" i="24" s="1"/>
  <c r="AI10" i="24"/>
  <c r="AJ10" i="24" s="1"/>
  <c r="AI9" i="24"/>
  <c r="AJ9" i="24" s="1"/>
  <c r="AI8" i="24"/>
  <c r="AJ8" i="24" s="1"/>
  <c r="AI7" i="24"/>
  <c r="AJ7" i="24" s="1"/>
  <c r="AI6" i="24"/>
  <c r="AJ6" i="24" s="1"/>
  <c r="AI5" i="24"/>
  <c r="AJ5" i="24" s="1"/>
  <c r="AI4" i="24"/>
  <c r="AJ4" i="24" s="1"/>
  <c r="AR6" i="54" l="1"/>
  <c r="AS6" i="54"/>
  <c r="AT6" i="54"/>
  <c r="AU6" i="54"/>
  <c r="AR7" i="54"/>
  <c r="AS7" i="54"/>
  <c r="AT7" i="54"/>
  <c r="AU7" i="54"/>
  <c r="AR8" i="54"/>
  <c r="AS8" i="54"/>
  <c r="AT8" i="54"/>
  <c r="AU8" i="54"/>
  <c r="AR9" i="54"/>
  <c r="AS9" i="54"/>
  <c r="AT9" i="54"/>
  <c r="AU9" i="54"/>
  <c r="AR10" i="54"/>
  <c r="AS10" i="54"/>
  <c r="AT10" i="54"/>
  <c r="AU10" i="54"/>
  <c r="AR11" i="54"/>
  <c r="AS11" i="54"/>
  <c r="AT11" i="54"/>
  <c r="AU11" i="54"/>
  <c r="AR12" i="54"/>
  <c r="AS12" i="54"/>
  <c r="AT12" i="54"/>
  <c r="AU12" i="54"/>
  <c r="AR13" i="54"/>
  <c r="AS13" i="54"/>
  <c r="AT13" i="54"/>
  <c r="AU13" i="54"/>
  <c r="AR14" i="54"/>
  <c r="AS14" i="54"/>
  <c r="AT14" i="54"/>
  <c r="AU14" i="54"/>
  <c r="AR15" i="54"/>
  <c r="AS15" i="54"/>
  <c r="AT15" i="54"/>
  <c r="AU15" i="54"/>
  <c r="AR16" i="54"/>
  <c r="AS16" i="54"/>
  <c r="AT16" i="54"/>
  <c r="AU16" i="54"/>
  <c r="AR17" i="54"/>
  <c r="AS17" i="54"/>
  <c r="AT17" i="54"/>
  <c r="AU17" i="54"/>
  <c r="AR18" i="54"/>
  <c r="AS18" i="54"/>
  <c r="AT18" i="54"/>
  <c r="AU18" i="54"/>
  <c r="AR19" i="54"/>
  <c r="AS19" i="54"/>
  <c r="AT19" i="54"/>
  <c r="AU19" i="54"/>
  <c r="AR20" i="54"/>
  <c r="AS20" i="54"/>
  <c r="AT20" i="54"/>
  <c r="AU20" i="54"/>
  <c r="AR21" i="54"/>
  <c r="AS21" i="54"/>
  <c r="AT21" i="54"/>
  <c r="AU21" i="54"/>
  <c r="AR22" i="54"/>
  <c r="AS22" i="54"/>
  <c r="AT22" i="54"/>
  <c r="AU22" i="54"/>
  <c r="AR23" i="54"/>
  <c r="AS23" i="54"/>
  <c r="AT23" i="54"/>
  <c r="AU23" i="54"/>
  <c r="AR24" i="54"/>
  <c r="AS24" i="54"/>
  <c r="AT24" i="54"/>
  <c r="AU24" i="54"/>
  <c r="AR25" i="54"/>
  <c r="AS25" i="54"/>
  <c r="AT25" i="54"/>
  <c r="AU25" i="54"/>
  <c r="AR6" i="53"/>
  <c r="AS6" i="53"/>
  <c r="AT6" i="53"/>
  <c r="AU6" i="53"/>
  <c r="AR7" i="53"/>
  <c r="AS7" i="53"/>
  <c r="AT7" i="53"/>
  <c r="AU7" i="53"/>
  <c r="AR8" i="53"/>
  <c r="AS8" i="53"/>
  <c r="AT8" i="53"/>
  <c r="AU8" i="53"/>
  <c r="AR9" i="53"/>
  <c r="AS9" i="53"/>
  <c r="AT9" i="53"/>
  <c r="AU9" i="53"/>
  <c r="AR10" i="53"/>
  <c r="AS10" i="53"/>
  <c r="AT10" i="53"/>
  <c r="AU10" i="53"/>
  <c r="AR11" i="53"/>
  <c r="AS11" i="53"/>
  <c r="AT11" i="53"/>
  <c r="AU11" i="53"/>
  <c r="AR12" i="53"/>
  <c r="AS12" i="53"/>
  <c r="AT12" i="53"/>
  <c r="AU12" i="53"/>
  <c r="AR13" i="53"/>
  <c r="AS13" i="53"/>
  <c r="AT13" i="53"/>
  <c r="AU13" i="53"/>
  <c r="AR14" i="53"/>
  <c r="AS14" i="53"/>
  <c r="AT14" i="53"/>
  <c r="AU14" i="53"/>
  <c r="AR15" i="53"/>
  <c r="AS15" i="53"/>
  <c r="AT15" i="53"/>
  <c r="AU15" i="53"/>
  <c r="AR16" i="53"/>
  <c r="AS16" i="53"/>
  <c r="AT16" i="53"/>
  <c r="AU16" i="53"/>
  <c r="AR17" i="53"/>
  <c r="AS17" i="53"/>
  <c r="AT17" i="53"/>
  <c r="AU17" i="53"/>
  <c r="AR18" i="53"/>
  <c r="AS18" i="53"/>
  <c r="AT18" i="53"/>
  <c r="AU18" i="53"/>
  <c r="AR19" i="53"/>
  <c r="AS19" i="53"/>
  <c r="AT19" i="53"/>
  <c r="AU19" i="53"/>
  <c r="AR20" i="53"/>
  <c r="AS20" i="53"/>
  <c r="AT20" i="53"/>
  <c r="AU20" i="53"/>
  <c r="AR21" i="53"/>
  <c r="AS21" i="53"/>
  <c r="AT21" i="53"/>
  <c r="AU21" i="53"/>
  <c r="AR22" i="53"/>
  <c r="AS22" i="53"/>
  <c r="AT22" i="53"/>
  <c r="AU22" i="53"/>
  <c r="AR23" i="53"/>
  <c r="AS23" i="53"/>
  <c r="AT23" i="53"/>
  <c r="AU23" i="53"/>
  <c r="AR24" i="53"/>
  <c r="AS24" i="53"/>
  <c r="AT24" i="53"/>
  <c r="AU24" i="53"/>
  <c r="AR25" i="53"/>
  <c r="AS25" i="53"/>
  <c r="AT25" i="53"/>
  <c r="AU25" i="53"/>
  <c r="AR6" i="52"/>
  <c r="AS6" i="52"/>
  <c r="AT6" i="52"/>
  <c r="AU6" i="52"/>
  <c r="AR7" i="52"/>
  <c r="AS7" i="52"/>
  <c r="AT7" i="52"/>
  <c r="AU7" i="52"/>
  <c r="AR8" i="52"/>
  <c r="AS8" i="52"/>
  <c r="AT8" i="52"/>
  <c r="AU8" i="52"/>
  <c r="AR9" i="52"/>
  <c r="AS9" i="52"/>
  <c r="AT9" i="52"/>
  <c r="AU9" i="52"/>
  <c r="AR10" i="52"/>
  <c r="AS10" i="52"/>
  <c r="AT10" i="52"/>
  <c r="AU10" i="52"/>
  <c r="AR11" i="52"/>
  <c r="AS11" i="52"/>
  <c r="AT11" i="52"/>
  <c r="AU11" i="52"/>
  <c r="AR12" i="52"/>
  <c r="AS12" i="52"/>
  <c r="AT12" i="52"/>
  <c r="AU12" i="52"/>
  <c r="AR13" i="52"/>
  <c r="AS13" i="52"/>
  <c r="AT13" i="52"/>
  <c r="AU13" i="52"/>
  <c r="AR14" i="52"/>
  <c r="AS14" i="52"/>
  <c r="AT14" i="52"/>
  <c r="AU14" i="52"/>
  <c r="AR15" i="52"/>
  <c r="AS15" i="52"/>
  <c r="AT15" i="52"/>
  <c r="AU15" i="52"/>
  <c r="AR16" i="52"/>
  <c r="AS16" i="52"/>
  <c r="AT16" i="52"/>
  <c r="AU16" i="52"/>
  <c r="AR17" i="52"/>
  <c r="AS17" i="52"/>
  <c r="AT17" i="52"/>
  <c r="AU17" i="52"/>
  <c r="AR18" i="52"/>
  <c r="AS18" i="52"/>
  <c r="AT18" i="52"/>
  <c r="AU18" i="52"/>
  <c r="AR19" i="52"/>
  <c r="AS19" i="52"/>
  <c r="AT19" i="52"/>
  <c r="AU19" i="52"/>
  <c r="AR20" i="52"/>
  <c r="AS20" i="52"/>
  <c r="AT20" i="52"/>
  <c r="AU20" i="52"/>
  <c r="AR21" i="52"/>
  <c r="AS21" i="52"/>
  <c r="AT21" i="52"/>
  <c r="AU21" i="52"/>
  <c r="AR22" i="52"/>
  <c r="AS22" i="52"/>
  <c r="AT22" i="52"/>
  <c r="AU22" i="52"/>
  <c r="AR23" i="52"/>
  <c r="AS23" i="52"/>
  <c r="AT23" i="52"/>
  <c r="AU23" i="52"/>
  <c r="AR24" i="52"/>
  <c r="AS24" i="52"/>
  <c r="AT24" i="52"/>
  <c r="AU24" i="52"/>
  <c r="AR25" i="52"/>
  <c r="AS25" i="52"/>
  <c r="AT25" i="52"/>
  <c r="AU25" i="52"/>
  <c r="AR6" i="51"/>
  <c r="AS6" i="51"/>
  <c r="AT6" i="51"/>
  <c r="AU6" i="51"/>
  <c r="AR7" i="51"/>
  <c r="AS7" i="51"/>
  <c r="AT7" i="51"/>
  <c r="AU7" i="51"/>
  <c r="AR8" i="51"/>
  <c r="AS8" i="51"/>
  <c r="AT8" i="51"/>
  <c r="AU8" i="51"/>
  <c r="AR9" i="51"/>
  <c r="AS9" i="51"/>
  <c r="AT9" i="51"/>
  <c r="AU9" i="51"/>
  <c r="AR10" i="51"/>
  <c r="AS10" i="51"/>
  <c r="AT10" i="51"/>
  <c r="AU10" i="51"/>
  <c r="AR11" i="51"/>
  <c r="AS11" i="51"/>
  <c r="AT11" i="51"/>
  <c r="AU11" i="51"/>
  <c r="AR12" i="51"/>
  <c r="AS12" i="51"/>
  <c r="AT12" i="51"/>
  <c r="AU12" i="51"/>
  <c r="AR13" i="51"/>
  <c r="AS13" i="51"/>
  <c r="AT13" i="51"/>
  <c r="AU13" i="51"/>
  <c r="AR14" i="51"/>
  <c r="AS14" i="51"/>
  <c r="AT14" i="51"/>
  <c r="AU14" i="51"/>
  <c r="AR15" i="51"/>
  <c r="AS15" i="51"/>
  <c r="AT15" i="51"/>
  <c r="AU15" i="51"/>
  <c r="AR16" i="51"/>
  <c r="AS16" i="51"/>
  <c r="AT16" i="51"/>
  <c r="AU16" i="51"/>
  <c r="AR17" i="51"/>
  <c r="AS17" i="51"/>
  <c r="AT17" i="51"/>
  <c r="AU17" i="51"/>
  <c r="AR18" i="51"/>
  <c r="AS18" i="51"/>
  <c r="AT18" i="51"/>
  <c r="AU18" i="51"/>
  <c r="AR19" i="51"/>
  <c r="AS19" i="51"/>
  <c r="AT19" i="51"/>
  <c r="AU19" i="51"/>
  <c r="AR20" i="51"/>
  <c r="AS20" i="51"/>
  <c r="AT20" i="51"/>
  <c r="AU20" i="51"/>
  <c r="AR21" i="51"/>
  <c r="AS21" i="51"/>
  <c r="AT21" i="51"/>
  <c r="AU21" i="51"/>
  <c r="AR22" i="51"/>
  <c r="AS22" i="51"/>
  <c r="AT22" i="51"/>
  <c r="AU22" i="51"/>
  <c r="AR23" i="51"/>
  <c r="AS23" i="51"/>
  <c r="AT23" i="51"/>
  <c r="AU23" i="51"/>
  <c r="AR24" i="51"/>
  <c r="AS24" i="51"/>
  <c r="AT24" i="51"/>
  <c r="AU24" i="51"/>
  <c r="AR25" i="51"/>
  <c r="AS25" i="51"/>
  <c r="AT25" i="51"/>
  <c r="AU25" i="51"/>
  <c r="AR6" i="50"/>
  <c r="AS6" i="50"/>
  <c r="AT6" i="50"/>
  <c r="AU6" i="50"/>
  <c r="AR7" i="50"/>
  <c r="AS7" i="50"/>
  <c r="AT7" i="50"/>
  <c r="AU7" i="50"/>
  <c r="AR8" i="50"/>
  <c r="AS8" i="50"/>
  <c r="AT8" i="50"/>
  <c r="AU8" i="50"/>
  <c r="AR9" i="50"/>
  <c r="AS9" i="50"/>
  <c r="AT9" i="50"/>
  <c r="AU9" i="50"/>
  <c r="AR10" i="50"/>
  <c r="AS10" i="50"/>
  <c r="AT10" i="50"/>
  <c r="AU10" i="50"/>
  <c r="AR11" i="50"/>
  <c r="AS11" i="50"/>
  <c r="AT11" i="50"/>
  <c r="AU11" i="50"/>
  <c r="AR12" i="50"/>
  <c r="AS12" i="50"/>
  <c r="AT12" i="50"/>
  <c r="AU12" i="50"/>
  <c r="AR13" i="50"/>
  <c r="AS13" i="50"/>
  <c r="AT13" i="50"/>
  <c r="AU13" i="50"/>
  <c r="AR14" i="50"/>
  <c r="AS14" i="50"/>
  <c r="AT14" i="50"/>
  <c r="AU14" i="50"/>
  <c r="AR15" i="50"/>
  <c r="AS15" i="50"/>
  <c r="AT15" i="50"/>
  <c r="AU15" i="50"/>
  <c r="AR16" i="50"/>
  <c r="AS16" i="50"/>
  <c r="AT16" i="50"/>
  <c r="AU16" i="50"/>
  <c r="AR17" i="50"/>
  <c r="AS17" i="50"/>
  <c r="AT17" i="50"/>
  <c r="AU17" i="50"/>
  <c r="AR18" i="50"/>
  <c r="AS18" i="50"/>
  <c r="AT18" i="50"/>
  <c r="AU18" i="50"/>
  <c r="AR19" i="50"/>
  <c r="AS19" i="50"/>
  <c r="AT19" i="50"/>
  <c r="AU19" i="50"/>
  <c r="AR20" i="50"/>
  <c r="AS20" i="50"/>
  <c r="AT20" i="50"/>
  <c r="AU20" i="50"/>
  <c r="AR21" i="50"/>
  <c r="AS21" i="50"/>
  <c r="AT21" i="50"/>
  <c r="AU21" i="50"/>
  <c r="AR22" i="50"/>
  <c r="AS22" i="50"/>
  <c r="AT22" i="50"/>
  <c r="AU22" i="50"/>
  <c r="AR23" i="50"/>
  <c r="AS23" i="50"/>
  <c r="AT23" i="50"/>
  <c r="AU23" i="50"/>
  <c r="AR24" i="50"/>
  <c r="AS24" i="50"/>
  <c r="AT24" i="50"/>
  <c r="AU24" i="50"/>
  <c r="AR25" i="50"/>
  <c r="AS25" i="50"/>
  <c r="AT25" i="50"/>
  <c r="AU25" i="50"/>
  <c r="AR6" i="49"/>
  <c r="AS6" i="49"/>
  <c r="AT6" i="49"/>
  <c r="AU6" i="49"/>
  <c r="AR7" i="49"/>
  <c r="AS7" i="49"/>
  <c r="AT7" i="49"/>
  <c r="AU7" i="49"/>
  <c r="AR8" i="49"/>
  <c r="AS8" i="49"/>
  <c r="AT8" i="49"/>
  <c r="AU8" i="49"/>
  <c r="AR9" i="49"/>
  <c r="AS9" i="49"/>
  <c r="AT9" i="49"/>
  <c r="AU9" i="49"/>
  <c r="AR10" i="49"/>
  <c r="AS10" i="49"/>
  <c r="AT10" i="49"/>
  <c r="AU10" i="49"/>
  <c r="AR11" i="49"/>
  <c r="AS11" i="49"/>
  <c r="AT11" i="49"/>
  <c r="AU11" i="49"/>
  <c r="AR12" i="49"/>
  <c r="AS12" i="49"/>
  <c r="AT12" i="49"/>
  <c r="AU12" i="49"/>
  <c r="AR13" i="49"/>
  <c r="AS13" i="49"/>
  <c r="AT13" i="49"/>
  <c r="AU13" i="49"/>
  <c r="AR14" i="49"/>
  <c r="AS14" i="49"/>
  <c r="AT14" i="49"/>
  <c r="AU14" i="49"/>
  <c r="AR15" i="49"/>
  <c r="AS15" i="49"/>
  <c r="AT15" i="49"/>
  <c r="AU15" i="49"/>
  <c r="AR16" i="49"/>
  <c r="AS16" i="49"/>
  <c r="AT16" i="49"/>
  <c r="AU16" i="49"/>
  <c r="AR17" i="49"/>
  <c r="AS17" i="49"/>
  <c r="AT17" i="49"/>
  <c r="AU17" i="49"/>
  <c r="AR18" i="49"/>
  <c r="AS18" i="49"/>
  <c r="AT18" i="49"/>
  <c r="AU18" i="49"/>
  <c r="AR19" i="49"/>
  <c r="AS19" i="49"/>
  <c r="AT19" i="49"/>
  <c r="AU19" i="49"/>
  <c r="AR20" i="49"/>
  <c r="AS20" i="49"/>
  <c r="AT20" i="49"/>
  <c r="AU20" i="49"/>
  <c r="AR21" i="49"/>
  <c r="AS21" i="49"/>
  <c r="AT21" i="49"/>
  <c r="AU21" i="49"/>
  <c r="AR22" i="49"/>
  <c r="AS22" i="49"/>
  <c r="AT22" i="49"/>
  <c r="AU22" i="49"/>
  <c r="AR23" i="49"/>
  <c r="AS23" i="49"/>
  <c r="AT23" i="49"/>
  <c r="AU23" i="49"/>
  <c r="AR24" i="49"/>
  <c r="AS24" i="49"/>
  <c r="AT24" i="49"/>
  <c r="AU24" i="49"/>
  <c r="AR25" i="49"/>
  <c r="AS25" i="49"/>
  <c r="AT25" i="49"/>
  <c r="AU25" i="49"/>
  <c r="AR6" i="48"/>
  <c r="AS6" i="48"/>
  <c r="AT6" i="48"/>
  <c r="AU6" i="48"/>
  <c r="AR7" i="48"/>
  <c r="AS7" i="48"/>
  <c r="AT7" i="48"/>
  <c r="AU7" i="48"/>
  <c r="AR8" i="48"/>
  <c r="AS8" i="48"/>
  <c r="AT8" i="48"/>
  <c r="AU8" i="48"/>
  <c r="AR9" i="48"/>
  <c r="AS9" i="48"/>
  <c r="AT9" i="48"/>
  <c r="AU9" i="48"/>
  <c r="AR10" i="48"/>
  <c r="AS10" i="48"/>
  <c r="AT10" i="48"/>
  <c r="AU10" i="48"/>
  <c r="AR11" i="48"/>
  <c r="AS11" i="48"/>
  <c r="AT11" i="48"/>
  <c r="AU11" i="48"/>
  <c r="AR12" i="48"/>
  <c r="AS12" i="48"/>
  <c r="AT12" i="48"/>
  <c r="AU12" i="48"/>
  <c r="AR13" i="48"/>
  <c r="AS13" i="48"/>
  <c r="AT13" i="48"/>
  <c r="AU13" i="48"/>
  <c r="AR14" i="48"/>
  <c r="AS14" i="48"/>
  <c r="AT14" i="48"/>
  <c r="AU14" i="48"/>
  <c r="AR15" i="48"/>
  <c r="AS15" i="48"/>
  <c r="AT15" i="48"/>
  <c r="AU15" i="48"/>
  <c r="AR16" i="48"/>
  <c r="AS16" i="48"/>
  <c r="AT16" i="48"/>
  <c r="AU16" i="48"/>
  <c r="AR17" i="48"/>
  <c r="AS17" i="48"/>
  <c r="AT17" i="48"/>
  <c r="AU17" i="48"/>
  <c r="AR18" i="48"/>
  <c r="AS18" i="48"/>
  <c r="AT18" i="48"/>
  <c r="AU18" i="48"/>
  <c r="AR19" i="48"/>
  <c r="AS19" i="48"/>
  <c r="AT19" i="48"/>
  <c r="AU19" i="48"/>
  <c r="AR20" i="48"/>
  <c r="AS20" i="48"/>
  <c r="AT20" i="48"/>
  <c r="AU20" i="48"/>
  <c r="AR21" i="48"/>
  <c r="AS21" i="48"/>
  <c r="AT21" i="48"/>
  <c r="AU21" i="48"/>
  <c r="AR22" i="48"/>
  <c r="AS22" i="48"/>
  <c r="AT22" i="48"/>
  <c r="AU22" i="48"/>
  <c r="AR23" i="48"/>
  <c r="AS23" i="48"/>
  <c r="AT23" i="48"/>
  <c r="AU23" i="48"/>
  <c r="AR24" i="48"/>
  <c r="AS24" i="48"/>
  <c r="AT24" i="48"/>
  <c r="AU24" i="48"/>
  <c r="AR25" i="48"/>
  <c r="AS25" i="48"/>
  <c r="AT25" i="48"/>
  <c r="AU25" i="48"/>
  <c r="AR6" i="47"/>
  <c r="AS6" i="47"/>
  <c r="AT6" i="47"/>
  <c r="AU6" i="47"/>
  <c r="AR7" i="47"/>
  <c r="AS7" i="47"/>
  <c r="AT7" i="47"/>
  <c r="AU7" i="47"/>
  <c r="AR8" i="47"/>
  <c r="AS8" i="47"/>
  <c r="AT8" i="47"/>
  <c r="AU8" i="47"/>
  <c r="AR9" i="47"/>
  <c r="AS9" i="47"/>
  <c r="AT9" i="47"/>
  <c r="AU9" i="47"/>
  <c r="AR10" i="47"/>
  <c r="AS10" i="47"/>
  <c r="AT10" i="47"/>
  <c r="AU10" i="47"/>
  <c r="AR11" i="47"/>
  <c r="AS11" i="47"/>
  <c r="AT11" i="47"/>
  <c r="AU11" i="47"/>
  <c r="AR12" i="47"/>
  <c r="AS12" i="47"/>
  <c r="AT12" i="47"/>
  <c r="AU12" i="47"/>
  <c r="AR13" i="47"/>
  <c r="AS13" i="47"/>
  <c r="AT13" i="47"/>
  <c r="AU13" i="47"/>
  <c r="AR14" i="47"/>
  <c r="AS14" i="47"/>
  <c r="AT14" i="47"/>
  <c r="AU14" i="47"/>
  <c r="AR15" i="47"/>
  <c r="AS15" i="47"/>
  <c r="AT15" i="47"/>
  <c r="AU15" i="47"/>
  <c r="AR16" i="47"/>
  <c r="AS16" i="47"/>
  <c r="AT16" i="47"/>
  <c r="AU16" i="47"/>
  <c r="AR17" i="47"/>
  <c r="AS17" i="47"/>
  <c r="AT17" i="47"/>
  <c r="AU17" i="47"/>
  <c r="AR18" i="47"/>
  <c r="AS18" i="47"/>
  <c r="AT18" i="47"/>
  <c r="AU18" i="47"/>
  <c r="AR19" i="47"/>
  <c r="AS19" i="47"/>
  <c r="AT19" i="47"/>
  <c r="AU19" i="47"/>
  <c r="AR20" i="47"/>
  <c r="AS20" i="47"/>
  <c r="AT20" i="47"/>
  <c r="AU20" i="47"/>
  <c r="AR21" i="47"/>
  <c r="AS21" i="47"/>
  <c r="AT21" i="47"/>
  <c r="AU21" i="47"/>
  <c r="AR22" i="47"/>
  <c r="AS22" i="47"/>
  <c r="AT22" i="47"/>
  <c r="AU22" i="47"/>
  <c r="AR23" i="47"/>
  <c r="AS23" i="47"/>
  <c r="AT23" i="47"/>
  <c r="AU23" i="47"/>
  <c r="AR24" i="47"/>
  <c r="AS24" i="47"/>
  <c r="AT24" i="47"/>
  <c r="AU24" i="47"/>
  <c r="AR25" i="47"/>
  <c r="AS25" i="47"/>
  <c r="AT25" i="47"/>
  <c r="AU25" i="47"/>
  <c r="AR6" i="46"/>
  <c r="AS6" i="46"/>
  <c r="AT6" i="46"/>
  <c r="AU6" i="46"/>
  <c r="AR7" i="46"/>
  <c r="AS7" i="46"/>
  <c r="AT7" i="46"/>
  <c r="AU7" i="46"/>
  <c r="AR8" i="46"/>
  <c r="AS8" i="46"/>
  <c r="AT8" i="46"/>
  <c r="AU8" i="46"/>
  <c r="AR9" i="46"/>
  <c r="AS9" i="46"/>
  <c r="AT9" i="46"/>
  <c r="AU9" i="46"/>
  <c r="AR10" i="46"/>
  <c r="AS10" i="46"/>
  <c r="AT10" i="46"/>
  <c r="AU10" i="46"/>
  <c r="AR11" i="46"/>
  <c r="AS11" i="46"/>
  <c r="AT11" i="46"/>
  <c r="AU11" i="46"/>
  <c r="AR12" i="46"/>
  <c r="AS12" i="46"/>
  <c r="AT12" i="46"/>
  <c r="AU12" i="46"/>
  <c r="AR13" i="46"/>
  <c r="AS13" i="46"/>
  <c r="AT13" i="46"/>
  <c r="AU13" i="46"/>
  <c r="AR14" i="46"/>
  <c r="AS14" i="46"/>
  <c r="AT14" i="46"/>
  <c r="AU14" i="46"/>
  <c r="AR15" i="46"/>
  <c r="AS15" i="46"/>
  <c r="AT15" i="46"/>
  <c r="AU15" i="46"/>
  <c r="AR16" i="46"/>
  <c r="AS16" i="46"/>
  <c r="AT16" i="46"/>
  <c r="AU16" i="46"/>
  <c r="AR17" i="46"/>
  <c r="AS17" i="46"/>
  <c r="AT17" i="46"/>
  <c r="AU17" i="46"/>
  <c r="AR18" i="46"/>
  <c r="AS18" i="46"/>
  <c r="AT18" i="46"/>
  <c r="AU18" i="46"/>
  <c r="AR19" i="46"/>
  <c r="AS19" i="46"/>
  <c r="AT19" i="46"/>
  <c r="AU19" i="46"/>
  <c r="AR20" i="46"/>
  <c r="AS20" i="46"/>
  <c r="AT20" i="46"/>
  <c r="AU20" i="46"/>
  <c r="AR21" i="46"/>
  <c r="AS21" i="46"/>
  <c r="AT21" i="46"/>
  <c r="AU21" i="46"/>
  <c r="AR22" i="46"/>
  <c r="AS22" i="46"/>
  <c r="AT22" i="46"/>
  <c r="AU22" i="46"/>
  <c r="AR23" i="46"/>
  <c r="AS23" i="46"/>
  <c r="AT23" i="46"/>
  <c r="AU23" i="46"/>
  <c r="AR24" i="46"/>
  <c r="AS24" i="46"/>
  <c r="AT24" i="46"/>
  <c r="AU24" i="46"/>
  <c r="AR25" i="46"/>
  <c r="AS25" i="46"/>
  <c r="AT25" i="46"/>
  <c r="AU25" i="46"/>
  <c r="AR6" i="45"/>
  <c r="AS6" i="45"/>
  <c r="AT6" i="45"/>
  <c r="AU6" i="45"/>
  <c r="AR7" i="45"/>
  <c r="AS7" i="45"/>
  <c r="AT7" i="45"/>
  <c r="AU7" i="45"/>
  <c r="AR8" i="45"/>
  <c r="AS8" i="45"/>
  <c r="AT8" i="45"/>
  <c r="AU8" i="45"/>
  <c r="AR9" i="45"/>
  <c r="AS9" i="45"/>
  <c r="AT9" i="45"/>
  <c r="AU9" i="45"/>
  <c r="AR10" i="45"/>
  <c r="AS10" i="45"/>
  <c r="AT10" i="45"/>
  <c r="AU10" i="45"/>
  <c r="AR11" i="45"/>
  <c r="AS11" i="45"/>
  <c r="AT11" i="45"/>
  <c r="AU11" i="45"/>
  <c r="AR12" i="45"/>
  <c r="AS12" i="45"/>
  <c r="AT12" i="45"/>
  <c r="AU12" i="45"/>
  <c r="AR13" i="45"/>
  <c r="AS13" i="45"/>
  <c r="AT13" i="45"/>
  <c r="AU13" i="45"/>
  <c r="AR14" i="45"/>
  <c r="AS14" i="45"/>
  <c r="AT14" i="45"/>
  <c r="AU14" i="45"/>
  <c r="AR15" i="45"/>
  <c r="AS15" i="45"/>
  <c r="AT15" i="45"/>
  <c r="AU15" i="45"/>
  <c r="AR16" i="45"/>
  <c r="AS16" i="45"/>
  <c r="AT16" i="45"/>
  <c r="AU16" i="45"/>
  <c r="AR17" i="45"/>
  <c r="AS17" i="45"/>
  <c r="AT17" i="45"/>
  <c r="AU17" i="45"/>
  <c r="AR18" i="45"/>
  <c r="AS18" i="45"/>
  <c r="AT18" i="45"/>
  <c r="AU18" i="45"/>
  <c r="AR19" i="45"/>
  <c r="AS19" i="45"/>
  <c r="AT19" i="45"/>
  <c r="AU19" i="45"/>
  <c r="AR20" i="45"/>
  <c r="AS20" i="45"/>
  <c r="AT20" i="45"/>
  <c r="AU20" i="45"/>
  <c r="AR21" i="45"/>
  <c r="AS21" i="45"/>
  <c r="AT21" i="45"/>
  <c r="AU21" i="45"/>
  <c r="AR22" i="45"/>
  <c r="AS22" i="45"/>
  <c r="AT22" i="45"/>
  <c r="AU22" i="45"/>
  <c r="AR23" i="45"/>
  <c r="AS23" i="45"/>
  <c r="AT23" i="45"/>
  <c r="AU23" i="45"/>
  <c r="AR24" i="45"/>
  <c r="AS24" i="45"/>
  <c r="AT24" i="45"/>
  <c r="AU24" i="45"/>
  <c r="AR25" i="45"/>
  <c r="AS25" i="45"/>
  <c r="AT25" i="45"/>
  <c r="AU25" i="45"/>
  <c r="AR6" i="44"/>
  <c r="AS6" i="44"/>
  <c r="AT6" i="44"/>
  <c r="AU6" i="44"/>
  <c r="AR7" i="44"/>
  <c r="AS7" i="44"/>
  <c r="AT7" i="44"/>
  <c r="AU7" i="44"/>
  <c r="AR8" i="44"/>
  <c r="AS8" i="44"/>
  <c r="AT8" i="44"/>
  <c r="AU8" i="44"/>
  <c r="AR9" i="44"/>
  <c r="AS9" i="44"/>
  <c r="AT9" i="44"/>
  <c r="AU9" i="44"/>
  <c r="AR10" i="44"/>
  <c r="AS10" i="44"/>
  <c r="AT10" i="44"/>
  <c r="AU10" i="44"/>
  <c r="AR11" i="44"/>
  <c r="AS11" i="44"/>
  <c r="AT11" i="44"/>
  <c r="AU11" i="44"/>
  <c r="AR12" i="44"/>
  <c r="AS12" i="44"/>
  <c r="AT12" i="44"/>
  <c r="AU12" i="44"/>
  <c r="AR13" i="44"/>
  <c r="AS13" i="44"/>
  <c r="AT13" i="44"/>
  <c r="AU13" i="44"/>
  <c r="AR14" i="44"/>
  <c r="AS14" i="44"/>
  <c r="AT14" i="44"/>
  <c r="AU14" i="44"/>
  <c r="AR15" i="44"/>
  <c r="AS15" i="44"/>
  <c r="AT15" i="44"/>
  <c r="AU15" i="44"/>
  <c r="AR16" i="44"/>
  <c r="AS16" i="44"/>
  <c r="AT16" i="44"/>
  <c r="AU16" i="44"/>
  <c r="AR17" i="44"/>
  <c r="AS17" i="44"/>
  <c r="AT17" i="44"/>
  <c r="AU17" i="44"/>
  <c r="AR18" i="44"/>
  <c r="AS18" i="44"/>
  <c r="AT18" i="44"/>
  <c r="AU18" i="44"/>
  <c r="AR19" i="44"/>
  <c r="AS19" i="44"/>
  <c r="AT19" i="44"/>
  <c r="AU19" i="44"/>
  <c r="AR20" i="44"/>
  <c r="AS20" i="44"/>
  <c r="AT20" i="44"/>
  <c r="AU20" i="44"/>
  <c r="AR21" i="44"/>
  <c r="AS21" i="44"/>
  <c r="AT21" i="44"/>
  <c r="AU21" i="44"/>
  <c r="AR22" i="44"/>
  <c r="AS22" i="44"/>
  <c r="AT22" i="44"/>
  <c r="AU22" i="44"/>
  <c r="AR23" i="44"/>
  <c r="AS23" i="44"/>
  <c r="AT23" i="44"/>
  <c r="AU23" i="44"/>
  <c r="AR24" i="44"/>
  <c r="AS24" i="44"/>
  <c r="AT24" i="44"/>
  <c r="AU24" i="44"/>
  <c r="AR25" i="44"/>
  <c r="AS25" i="44"/>
  <c r="AT25" i="44"/>
  <c r="AU25" i="44"/>
  <c r="AR6" i="43"/>
  <c r="AS6" i="43"/>
  <c r="AT6" i="43"/>
  <c r="AU6" i="43"/>
  <c r="AR7" i="43"/>
  <c r="AS7" i="43"/>
  <c r="AT7" i="43"/>
  <c r="AU7" i="43"/>
  <c r="AR8" i="43"/>
  <c r="AS8" i="43"/>
  <c r="AT8" i="43"/>
  <c r="AU8" i="43"/>
  <c r="AR9" i="43"/>
  <c r="AS9" i="43"/>
  <c r="AT9" i="43"/>
  <c r="AU9" i="43"/>
  <c r="AR10" i="43"/>
  <c r="AS10" i="43"/>
  <c r="AT10" i="43"/>
  <c r="AU10" i="43"/>
  <c r="AR11" i="43"/>
  <c r="AS11" i="43"/>
  <c r="AT11" i="43"/>
  <c r="AU11" i="43"/>
  <c r="AR12" i="43"/>
  <c r="AS12" i="43"/>
  <c r="AT12" i="43"/>
  <c r="AU12" i="43"/>
  <c r="AR13" i="43"/>
  <c r="AS13" i="43"/>
  <c r="AT13" i="43"/>
  <c r="AU13" i="43"/>
  <c r="AR14" i="43"/>
  <c r="AS14" i="43"/>
  <c r="AT14" i="43"/>
  <c r="AU14" i="43"/>
  <c r="AR15" i="43"/>
  <c r="AS15" i="43"/>
  <c r="AT15" i="43"/>
  <c r="AU15" i="43"/>
  <c r="AR16" i="43"/>
  <c r="AS16" i="43"/>
  <c r="AT16" i="43"/>
  <c r="AU16" i="43"/>
  <c r="AR17" i="43"/>
  <c r="AS17" i="43"/>
  <c r="AT17" i="43"/>
  <c r="AU17" i="43"/>
  <c r="AR18" i="43"/>
  <c r="AS18" i="43"/>
  <c r="AT18" i="43"/>
  <c r="AU18" i="43"/>
  <c r="AR19" i="43"/>
  <c r="AS19" i="43"/>
  <c r="AT19" i="43"/>
  <c r="AU19" i="43"/>
  <c r="AR20" i="43"/>
  <c r="AS20" i="43"/>
  <c r="AT20" i="43"/>
  <c r="AU20" i="43"/>
  <c r="AR21" i="43"/>
  <c r="AS21" i="43"/>
  <c r="AT21" i="43"/>
  <c r="AU21" i="43"/>
  <c r="AR22" i="43"/>
  <c r="AS22" i="43"/>
  <c r="AT22" i="43"/>
  <c r="AU22" i="43"/>
  <c r="AR23" i="43"/>
  <c r="AS23" i="43"/>
  <c r="AT23" i="43"/>
  <c r="AU23" i="43"/>
  <c r="AR24" i="43"/>
  <c r="AS24" i="43"/>
  <c r="AT24" i="43"/>
  <c r="AU24" i="43"/>
  <c r="AR25" i="43"/>
  <c r="AS25" i="43"/>
  <c r="AT25" i="43"/>
  <c r="AU25" i="43"/>
  <c r="AR6" i="42"/>
  <c r="AS6" i="42"/>
  <c r="AT6" i="42"/>
  <c r="AU6" i="42"/>
  <c r="AR7" i="42"/>
  <c r="AS7" i="42"/>
  <c r="AT7" i="42"/>
  <c r="AU7" i="42"/>
  <c r="AR8" i="42"/>
  <c r="AS8" i="42"/>
  <c r="AT8" i="42"/>
  <c r="AU8" i="42"/>
  <c r="AR9" i="42"/>
  <c r="AS9" i="42"/>
  <c r="AT9" i="42"/>
  <c r="AU9" i="42"/>
  <c r="AR10" i="42"/>
  <c r="AS10" i="42"/>
  <c r="AT10" i="42"/>
  <c r="AU10" i="42"/>
  <c r="AR11" i="42"/>
  <c r="AS11" i="42"/>
  <c r="AT11" i="42"/>
  <c r="AU11" i="42"/>
  <c r="AR12" i="42"/>
  <c r="AS12" i="42"/>
  <c r="AT12" i="42"/>
  <c r="AU12" i="42"/>
  <c r="AR13" i="42"/>
  <c r="AS13" i="42"/>
  <c r="AT13" i="42"/>
  <c r="AU13" i="42"/>
  <c r="AR14" i="42"/>
  <c r="AS14" i="42"/>
  <c r="AT14" i="42"/>
  <c r="AU14" i="42"/>
  <c r="AR15" i="42"/>
  <c r="AS15" i="42"/>
  <c r="AT15" i="42"/>
  <c r="AU15" i="42"/>
  <c r="AR16" i="42"/>
  <c r="AS16" i="42"/>
  <c r="AT16" i="42"/>
  <c r="AU16" i="42"/>
  <c r="AR17" i="42"/>
  <c r="AS17" i="42"/>
  <c r="AT17" i="42"/>
  <c r="AU17" i="42"/>
  <c r="AR18" i="42"/>
  <c r="AS18" i="42"/>
  <c r="AT18" i="42"/>
  <c r="AU18" i="42"/>
  <c r="AR19" i="42"/>
  <c r="AS19" i="42"/>
  <c r="AT19" i="42"/>
  <c r="AU19" i="42"/>
  <c r="AR20" i="42"/>
  <c r="AS20" i="42"/>
  <c r="AT20" i="42"/>
  <c r="AU20" i="42"/>
  <c r="AR21" i="42"/>
  <c r="AS21" i="42"/>
  <c r="AT21" i="42"/>
  <c r="AU21" i="42"/>
  <c r="AR22" i="42"/>
  <c r="AS22" i="42"/>
  <c r="AT22" i="42"/>
  <c r="AU22" i="42"/>
  <c r="AR23" i="42"/>
  <c r="AS23" i="42"/>
  <c r="AT23" i="42"/>
  <c r="AU23" i="42"/>
  <c r="AR24" i="42"/>
  <c r="AS24" i="42"/>
  <c r="AT24" i="42"/>
  <c r="AU24" i="42"/>
  <c r="AR25" i="42"/>
  <c r="AS25" i="42"/>
  <c r="AT25" i="42"/>
  <c r="AU25" i="42"/>
  <c r="AR6" i="41"/>
  <c r="AS6" i="41"/>
  <c r="AT6" i="41"/>
  <c r="AU6" i="41"/>
  <c r="AR7" i="41"/>
  <c r="AS7" i="41"/>
  <c r="AT7" i="41"/>
  <c r="AU7" i="41"/>
  <c r="AR8" i="41"/>
  <c r="AS8" i="41"/>
  <c r="AT8" i="41"/>
  <c r="AU8" i="41"/>
  <c r="AR9" i="41"/>
  <c r="AS9" i="41"/>
  <c r="AT9" i="41"/>
  <c r="AU9" i="41"/>
  <c r="AR10" i="41"/>
  <c r="AS10" i="41"/>
  <c r="AT10" i="41"/>
  <c r="AU10" i="41"/>
  <c r="AR11" i="41"/>
  <c r="AS11" i="41"/>
  <c r="AT11" i="41"/>
  <c r="AU11" i="41"/>
  <c r="AR12" i="41"/>
  <c r="AS12" i="41"/>
  <c r="AT12" i="41"/>
  <c r="AU12" i="41"/>
  <c r="AR13" i="41"/>
  <c r="AS13" i="41"/>
  <c r="AT13" i="41"/>
  <c r="AU13" i="41"/>
  <c r="AR14" i="41"/>
  <c r="AS14" i="41"/>
  <c r="AT14" i="41"/>
  <c r="AU14" i="41"/>
  <c r="AR15" i="41"/>
  <c r="AS15" i="41"/>
  <c r="AT15" i="41"/>
  <c r="AU15" i="41"/>
  <c r="AR16" i="41"/>
  <c r="AS16" i="41"/>
  <c r="AT16" i="41"/>
  <c r="AU16" i="41"/>
  <c r="AR17" i="41"/>
  <c r="AS17" i="41"/>
  <c r="AT17" i="41"/>
  <c r="AU17" i="41"/>
  <c r="AR18" i="41"/>
  <c r="AS18" i="41"/>
  <c r="AT18" i="41"/>
  <c r="AU18" i="41"/>
  <c r="AR19" i="41"/>
  <c r="AS19" i="41"/>
  <c r="AT19" i="41"/>
  <c r="AU19" i="41"/>
  <c r="AR20" i="41"/>
  <c r="AS20" i="41"/>
  <c r="AT20" i="41"/>
  <c r="AU20" i="41"/>
  <c r="AR21" i="41"/>
  <c r="AS21" i="41"/>
  <c r="AT21" i="41"/>
  <c r="AU21" i="41"/>
  <c r="AR22" i="41"/>
  <c r="AS22" i="41"/>
  <c r="AT22" i="41"/>
  <c r="AU22" i="41"/>
  <c r="AR23" i="41"/>
  <c r="AS23" i="41"/>
  <c r="AT23" i="41"/>
  <c r="AU23" i="41"/>
  <c r="AR24" i="41"/>
  <c r="AS24" i="41"/>
  <c r="AT24" i="41"/>
  <c r="AU24" i="41"/>
  <c r="AR25" i="41"/>
  <c r="AS25" i="41"/>
  <c r="AT25" i="41"/>
  <c r="AU25" i="41"/>
  <c r="AR6" i="40"/>
  <c r="AS6" i="40"/>
  <c r="AT6" i="40"/>
  <c r="AU6" i="40"/>
  <c r="AR7" i="40"/>
  <c r="AS7" i="40"/>
  <c r="AT7" i="40"/>
  <c r="AU7" i="40"/>
  <c r="AR8" i="40"/>
  <c r="AS8" i="40"/>
  <c r="AT8" i="40"/>
  <c r="AU8" i="40"/>
  <c r="K8" i="40" s="1"/>
  <c r="R10" i="13" s="1"/>
  <c r="H8" i="5" s="1"/>
  <c r="AR9" i="40"/>
  <c r="AS9" i="40"/>
  <c r="AT9" i="40"/>
  <c r="AU9" i="40"/>
  <c r="AR10" i="40"/>
  <c r="AS10" i="40"/>
  <c r="AT10" i="40"/>
  <c r="AU10" i="40"/>
  <c r="AR11" i="40"/>
  <c r="AS11" i="40"/>
  <c r="AT11" i="40"/>
  <c r="AU11" i="40"/>
  <c r="AR12" i="40"/>
  <c r="AS12" i="40"/>
  <c r="AT12" i="40"/>
  <c r="AU12" i="40"/>
  <c r="K12" i="40" s="1"/>
  <c r="R14" i="13" s="1"/>
  <c r="H12" i="5" s="1"/>
  <c r="AR13" i="40"/>
  <c r="AS13" i="40"/>
  <c r="AT13" i="40"/>
  <c r="AU13" i="40"/>
  <c r="AR14" i="40"/>
  <c r="AS14" i="40"/>
  <c r="AT14" i="40"/>
  <c r="AU14" i="40"/>
  <c r="AR15" i="40"/>
  <c r="AS15" i="40"/>
  <c r="AT15" i="40"/>
  <c r="AU15" i="40"/>
  <c r="AR16" i="40"/>
  <c r="AS16" i="40"/>
  <c r="AT16" i="40"/>
  <c r="AU16" i="40"/>
  <c r="AR17" i="40"/>
  <c r="AS17" i="40"/>
  <c r="AT17" i="40"/>
  <c r="AU17" i="40"/>
  <c r="AR18" i="40"/>
  <c r="K18" i="40" s="1"/>
  <c r="R20" i="13" s="1"/>
  <c r="H18" i="5" s="1"/>
  <c r="AS18" i="40"/>
  <c r="AT18" i="40"/>
  <c r="AU18" i="40"/>
  <c r="AR19" i="40"/>
  <c r="AS19" i="40"/>
  <c r="AT19" i="40"/>
  <c r="AU19" i="40"/>
  <c r="AR20" i="40"/>
  <c r="AS20" i="40"/>
  <c r="AT20" i="40"/>
  <c r="AU20" i="40"/>
  <c r="AR21" i="40"/>
  <c r="AS21" i="40"/>
  <c r="AT21" i="40"/>
  <c r="AU21" i="40"/>
  <c r="AR22" i="40"/>
  <c r="AS22" i="40"/>
  <c r="AT22" i="40"/>
  <c r="AU22" i="40"/>
  <c r="AR23" i="40"/>
  <c r="AS23" i="40"/>
  <c r="AT23" i="40"/>
  <c r="AU23" i="40"/>
  <c r="K23" i="40" s="1"/>
  <c r="R25" i="13" s="1"/>
  <c r="H23" i="5" s="1"/>
  <c r="AR24" i="40"/>
  <c r="AS24" i="40"/>
  <c r="AT24" i="40"/>
  <c r="AU24" i="40"/>
  <c r="AR25" i="40"/>
  <c r="AS25" i="40"/>
  <c r="AT25" i="40"/>
  <c r="AU25" i="40"/>
  <c r="AR6" i="39"/>
  <c r="AS6" i="39"/>
  <c r="AT6" i="39"/>
  <c r="AU6" i="39"/>
  <c r="AR7" i="39"/>
  <c r="AS7" i="39"/>
  <c r="AT7" i="39"/>
  <c r="AU7" i="39"/>
  <c r="AR8" i="39"/>
  <c r="AS8" i="39"/>
  <c r="AT8" i="39"/>
  <c r="AU8" i="39"/>
  <c r="AR9" i="39"/>
  <c r="AS9" i="39"/>
  <c r="AT9" i="39"/>
  <c r="AU9" i="39"/>
  <c r="AR10" i="39"/>
  <c r="AS10" i="39"/>
  <c r="AT10" i="39"/>
  <c r="AU10" i="39"/>
  <c r="AR11" i="39"/>
  <c r="AS11" i="39"/>
  <c r="AT11" i="39"/>
  <c r="AU11" i="39"/>
  <c r="AR12" i="39"/>
  <c r="AS12" i="39"/>
  <c r="AT12" i="39"/>
  <c r="AU12" i="39"/>
  <c r="AR13" i="39"/>
  <c r="AS13" i="39"/>
  <c r="AT13" i="39"/>
  <c r="AU13" i="39"/>
  <c r="AR14" i="39"/>
  <c r="AS14" i="39"/>
  <c r="AT14" i="39"/>
  <c r="AU14" i="39"/>
  <c r="AR15" i="39"/>
  <c r="AS15" i="39"/>
  <c r="AT15" i="39"/>
  <c r="AU15" i="39"/>
  <c r="AR16" i="39"/>
  <c r="AS16" i="39"/>
  <c r="AT16" i="39"/>
  <c r="AU16" i="39"/>
  <c r="AR17" i="39"/>
  <c r="AS17" i="39"/>
  <c r="AT17" i="39"/>
  <c r="AU17" i="39"/>
  <c r="AR18" i="39"/>
  <c r="AS18" i="39"/>
  <c r="AT18" i="39"/>
  <c r="AU18" i="39"/>
  <c r="AR19" i="39"/>
  <c r="AS19" i="39"/>
  <c r="AT19" i="39"/>
  <c r="AU19" i="39"/>
  <c r="AR20" i="39"/>
  <c r="AS20" i="39"/>
  <c r="AT20" i="39"/>
  <c r="AU20" i="39"/>
  <c r="AR21" i="39"/>
  <c r="AS21" i="39"/>
  <c r="AT21" i="39"/>
  <c r="AU21" i="39"/>
  <c r="AR22" i="39"/>
  <c r="AS22" i="39"/>
  <c r="AT22" i="39"/>
  <c r="AU22" i="39"/>
  <c r="AR23" i="39"/>
  <c r="AS23" i="39"/>
  <c r="AT23" i="39"/>
  <c r="AU23" i="39"/>
  <c r="AR24" i="39"/>
  <c r="AS24" i="39"/>
  <c r="AT24" i="39"/>
  <c r="AU24" i="39"/>
  <c r="AR25" i="39"/>
  <c r="AS25" i="39"/>
  <c r="AT25" i="39"/>
  <c r="AU25" i="39"/>
  <c r="AR6" i="38"/>
  <c r="AS6" i="38"/>
  <c r="AT6" i="38"/>
  <c r="AU6" i="38"/>
  <c r="AR7" i="38"/>
  <c r="AS7" i="38"/>
  <c r="AT7" i="38"/>
  <c r="AU7" i="38"/>
  <c r="AR8" i="38"/>
  <c r="AS8" i="38"/>
  <c r="AT8" i="38"/>
  <c r="AU8" i="38"/>
  <c r="AR9" i="38"/>
  <c r="AS9" i="38"/>
  <c r="AT9" i="38"/>
  <c r="AU9" i="38"/>
  <c r="AR10" i="38"/>
  <c r="AS10" i="38"/>
  <c r="AT10" i="38"/>
  <c r="AU10" i="38"/>
  <c r="AR11" i="38"/>
  <c r="AS11" i="38"/>
  <c r="AT11" i="38"/>
  <c r="AU11" i="38"/>
  <c r="AR12" i="38"/>
  <c r="AS12" i="38"/>
  <c r="AT12" i="38"/>
  <c r="AU12" i="38"/>
  <c r="AR13" i="38"/>
  <c r="AS13" i="38"/>
  <c r="AT13" i="38"/>
  <c r="AU13" i="38"/>
  <c r="AR14" i="38"/>
  <c r="AS14" i="38"/>
  <c r="AT14" i="38"/>
  <c r="AU14" i="38"/>
  <c r="AR15" i="38"/>
  <c r="AS15" i="38"/>
  <c r="AT15" i="38"/>
  <c r="AU15" i="38"/>
  <c r="AR16" i="38"/>
  <c r="AS16" i="38"/>
  <c r="AT16" i="38"/>
  <c r="AU16" i="38"/>
  <c r="AR17" i="38"/>
  <c r="AS17" i="38"/>
  <c r="AT17" i="38"/>
  <c r="AU17" i="38"/>
  <c r="AR18" i="38"/>
  <c r="AS18" i="38"/>
  <c r="AT18" i="38"/>
  <c r="AU18" i="38"/>
  <c r="AR19" i="38"/>
  <c r="AS19" i="38"/>
  <c r="AT19" i="38"/>
  <c r="AU19" i="38"/>
  <c r="AR20" i="38"/>
  <c r="AS20" i="38"/>
  <c r="AT20" i="38"/>
  <c r="AU20" i="38"/>
  <c r="AR21" i="38"/>
  <c r="AS21" i="38"/>
  <c r="AT21" i="38"/>
  <c r="AU21" i="38"/>
  <c r="AR22" i="38"/>
  <c r="AS22" i="38"/>
  <c r="AT22" i="38"/>
  <c r="AU22" i="38"/>
  <c r="AR23" i="38"/>
  <c r="AS23" i="38"/>
  <c r="AT23" i="38"/>
  <c r="AU23" i="38"/>
  <c r="AR24" i="38"/>
  <c r="AS24" i="38"/>
  <c r="AT24" i="38"/>
  <c r="AU24" i="38"/>
  <c r="AR25" i="38"/>
  <c r="AS25" i="38"/>
  <c r="AT25" i="38"/>
  <c r="AU25" i="38"/>
  <c r="AR6" i="37"/>
  <c r="AS6" i="37"/>
  <c r="AT6" i="37"/>
  <c r="AU6" i="37"/>
  <c r="AR7" i="37"/>
  <c r="AS7" i="37"/>
  <c r="AT7" i="37"/>
  <c r="AU7" i="37"/>
  <c r="AR8" i="37"/>
  <c r="AS8" i="37"/>
  <c r="AT8" i="37"/>
  <c r="AU8" i="37"/>
  <c r="AR9" i="37"/>
  <c r="AS9" i="37"/>
  <c r="AT9" i="37"/>
  <c r="AU9" i="37"/>
  <c r="AR10" i="37"/>
  <c r="AS10" i="37"/>
  <c r="AT10" i="37"/>
  <c r="AU10" i="37"/>
  <c r="AR11" i="37"/>
  <c r="AS11" i="37"/>
  <c r="AT11" i="37"/>
  <c r="AU11" i="37"/>
  <c r="AR12" i="37"/>
  <c r="AS12" i="37"/>
  <c r="AT12" i="37"/>
  <c r="AU12" i="37"/>
  <c r="AR13" i="37"/>
  <c r="AS13" i="37"/>
  <c r="AT13" i="37"/>
  <c r="AU13" i="37"/>
  <c r="AR14" i="37"/>
  <c r="AS14" i="37"/>
  <c r="AT14" i="37"/>
  <c r="AU14" i="37"/>
  <c r="AR15" i="37"/>
  <c r="AS15" i="37"/>
  <c r="AT15" i="37"/>
  <c r="AU15" i="37"/>
  <c r="AR16" i="37"/>
  <c r="AS16" i="37"/>
  <c r="AT16" i="37"/>
  <c r="AU16" i="37"/>
  <c r="AR17" i="37"/>
  <c r="AS17" i="37"/>
  <c r="AT17" i="37"/>
  <c r="AU17" i="37"/>
  <c r="AR18" i="37"/>
  <c r="AS18" i="37"/>
  <c r="AT18" i="37"/>
  <c r="AU18" i="37"/>
  <c r="AR19" i="37"/>
  <c r="AS19" i="37"/>
  <c r="AT19" i="37"/>
  <c r="AU19" i="37"/>
  <c r="AR20" i="37"/>
  <c r="AS20" i="37"/>
  <c r="AT20" i="37"/>
  <c r="AU20" i="37"/>
  <c r="AR21" i="37"/>
  <c r="AS21" i="37"/>
  <c r="AT21" i="37"/>
  <c r="AU21" i="37"/>
  <c r="AR22" i="37"/>
  <c r="AS22" i="37"/>
  <c r="AT22" i="37"/>
  <c r="AU22" i="37"/>
  <c r="AR23" i="37"/>
  <c r="AS23" i="37"/>
  <c r="AT23" i="37"/>
  <c r="AU23" i="37"/>
  <c r="AR24" i="37"/>
  <c r="AS24" i="37"/>
  <c r="AT24" i="37"/>
  <c r="AU24" i="37"/>
  <c r="AR25" i="37"/>
  <c r="AS25" i="37"/>
  <c r="AT25" i="37"/>
  <c r="AU25" i="37"/>
  <c r="AR6" i="36"/>
  <c r="AS6" i="36"/>
  <c r="AT6" i="36"/>
  <c r="AU6" i="36"/>
  <c r="AR7" i="36"/>
  <c r="AS7" i="36"/>
  <c r="AT7" i="36"/>
  <c r="AU7" i="36"/>
  <c r="AR8" i="36"/>
  <c r="AS8" i="36"/>
  <c r="AT8" i="36"/>
  <c r="AU8" i="36"/>
  <c r="AR9" i="36"/>
  <c r="AS9" i="36"/>
  <c r="AT9" i="36"/>
  <c r="AU9" i="36"/>
  <c r="AR10" i="36"/>
  <c r="AS10" i="36"/>
  <c r="AT10" i="36"/>
  <c r="AU10" i="36"/>
  <c r="AR11" i="36"/>
  <c r="AS11" i="36"/>
  <c r="AT11" i="36"/>
  <c r="AU11" i="36"/>
  <c r="AR12" i="36"/>
  <c r="AS12" i="36"/>
  <c r="AT12" i="36"/>
  <c r="AU12" i="36"/>
  <c r="AR13" i="36"/>
  <c r="AS13" i="36"/>
  <c r="AT13" i="36"/>
  <c r="AU13" i="36"/>
  <c r="AR14" i="36"/>
  <c r="AS14" i="36"/>
  <c r="AT14" i="36"/>
  <c r="AU14" i="36"/>
  <c r="AR15" i="36"/>
  <c r="AS15" i="36"/>
  <c r="AT15" i="36"/>
  <c r="AU15" i="36"/>
  <c r="AR16" i="36"/>
  <c r="AS16" i="36"/>
  <c r="AT16" i="36"/>
  <c r="AU16" i="36"/>
  <c r="AR17" i="36"/>
  <c r="AS17" i="36"/>
  <c r="AT17" i="36"/>
  <c r="AU17" i="36"/>
  <c r="AR18" i="36"/>
  <c r="AS18" i="36"/>
  <c r="AT18" i="36"/>
  <c r="AU18" i="36"/>
  <c r="AR19" i="36"/>
  <c r="AS19" i="36"/>
  <c r="AT19" i="36"/>
  <c r="AU19" i="36"/>
  <c r="AR20" i="36"/>
  <c r="AS20" i="36"/>
  <c r="AT20" i="36"/>
  <c r="AU20" i="36"/>
  <c r="AR21" i="36"/>
  <c r="AS21" i="36"/>
  <c r="AT21" i="36"/>
  <c r="AU21" i="36"/>
  <c r="AR22" i="36"/>
  <c r="AS22" i="36"/>
  <c r="AT22" i="36"/>
  <c r="AU22" i="36"/>
  <c r="AR23" i="36"/>
  <c r="AS23" i="36"/>
  <c r="AT23" i="36"/>
  <c r="AU23" i="36"/>
  <c r="AR24" i="36"/>
  <c r="AS24" i="36"/>
  <c r="AT24" i="36"/>
  <c r="AU24" i="36"/>
  <c r="AR25" i="36"/>
  <c r="AS25" i="36"/>
  <c r="AT25" i="36"/>
  <c r="AU25" i="36"/>
  <c r="AR6" i="35"/>
  <c r="AS6" i="35"/>
  <c r="AT6" i="35"/>
  <c r="AU6" i="35"/>
  <c r="AR7" i="35"/>
  <c r="AS7" i="35"/>
  <c r="AT7" i="35"/>
  <c r="AU7" i="35"/>
  <c r="AR8" i="35"/>
  <c r="AS8" i="35"/>
  <c r="AT8" i="35"/>
  <c r="AU8" i="35"/>
  <c r="AR9" i="35"/>
  <c r="AS9" i="35"/>
  <c r="AT9" i="35"/>
  <c r="AU9" i="35"/>
  <c r="AR10" i="35"/>
  <c r="AS10" i="35"/>
  <c r="AT10" i="35"/>
  <c r="AU10" i="35"/>
  <c r="AR11" i="35"/>
  <c r="AS11" i="35"/>
  <c r="AT11" i="35"/>
  <c r="AU11" i="35"/>
  <c r="AR12" i="35"/>
  <c r="AS12" i="35"/>
  <c r="AT12" i="35"/>
  <c r="AU12" i="35"/>
  <c r="AR13" i="35"/>
  <c r="AS13" i="35"/>
  <c r="AT13" i="35"/>
  <c r="AU13" i="35"/>
  <c r="AR14" i="35"/>
  <c r="AS14" i="35"/>
  <c r="AT14" i="35"/>
  <c r="AU14" i="35"/>
  <c r="AR15" i="35"/>
  <c r="AS15" i="35"/>
  <c r="AT15" i="35"/>
  <c r="AU15" i="35"/>
  <c r="AR16" i="35"/>
  <c r="AS16" i="35"/>
  <c r="AT16" i="35"/>
  <c r="AU16" i="35"/>
  <c r="AR17" i="35"/>
  <c r="AS17" i="35"/>
  <c r="AT17" i="35"/>
  <c r="AU17" i="35"/>
  <c r="AR18" i="35"/>
  <c r="AS18" i="35"/>
  <c r="AT18" i="35"/>
  <c r="AU18" i="35"/>
  <c r="AR19" i="35"/>
  <c r="AS19" i="35"/>
  <c r="AT19" i="35"/>
  <c r="AU19" i="35"/>
  <c r="AR20" i="35"/>
  <c r="AS20" i="35"/>
  <c r="AT20" i="35"/>
  <c r="AU20" i="35"/>
  <c r="AR21" i="35"/>
  <c r="AS21" i="35"/>
  <c r="AT21" i="35"/>
  <c r="AU21" i="35"/>
  <c r="AR22" i="35"/>
  <c r="AS22" i="35"/>
  <c r="AT22" i="35"/>
  <c r="AU22" i="35"/>
  <c r="AR23" i="35"/>
  <c r="AS23" i="35"/>
  <c r="AT23" i="35"/>
  <c r="AU23" i="35"/>
  <c r="AR24" i="35"/>
  <c r="AS24" i="35"/>
  <c r="AT24" i="35"/>
  <c r="AU24" i="35"/>
  <c r="AR25" i="35"/>
  <c r="AS25" i="35"/>
  <c r="AT25" i="35"/>
  <c r="AU25" i="35"/>
  <c r="AR6" i="34"/>
  <c r="AS6" i="34"/>
  <c r="AT6" i="34"/>
  <c r="AU6" i="34"/>
  <c r="AR7" i="34"/>
  <c r="AS7" i="34"/>
  <c r="AT7" i="34"/>
  <c r="AU7" i="34"/>
  <c r="AR8" i="34"/>
  <c r="AS8" i="34"/>
  <c r="AT8" i="34"/>
  <c r="AU8" i="34"/>
  <c r="AR9" i="34"/>
  <c r="AS9" i="34"/>
  <c r="AT9" i="34"/>
  <c r="AU9" i="34"/>
  <c r="AR10" i="34"/>
  <c r="AS10" i="34"/>
  <c r="AT10" i="34"/>
  <c r="AU10" i="34"/>
  <c r="AR11" i="34"/>
  <c r="AS11" i="34"/>
  <c r="AT11" i="34"/>
  <c r="AU11" i="34"/>
  <c r="AR12" i="34"/>
  <c r="AS12" i="34"/>
  <c r="AT12" i="34"/>
  <c r="AU12" i="34"/>
  <c r="AR13" i="34"/>
  <c r="AS13" i="34"/>
  <c r="AT13" i="34"/>
  <c r="AU13" i="34"/>
  <c r="AR14" i="34"/>
  <c r="AS14" i="34"/>
  <c r="AT14" i="34"/>
  <c r="AU14" i="34"/>
  <c r="AR15" i="34"/>
  <c r="AS15" i="34"/>
  <c r="AT15" i="34"/>
  <c r="AU15" i="34"/>
  <c r="AR16" i="34"/>
  <c r="AS16" i="34"/>
  <c r="AT16" i="34"/>
  <c r="AU16" i="34"/>
  <c r="AR17" i="34"/>
  <c r="AS17" i="34"/>
  <c r="AT17" i="34"/>
  <c r="AU17" i="34"/>
  <c r="AR18" i="34"/>
  <c r="AS18" i="34"/>
  <c r="AT18" i="34"/>
  <c r="AU18" i="34"/>
  <c r="AR19" i="34"/>
  <c r="AS19" i="34"/>
  <c r="AT19" i="34"/>
  <c r="AU19" i="34"/>
  <c r="AR20" i="34"/>
  <c r="AS20" i="34"/>
  <c r="AT20" i="34"/>
  <c r="AU20" i="34"/>
  <c r="AR21" i="34"/>
  <c r="AS21" i="34"/>
  <c r="AT21" i="34"/>
  <c r="AU21" i="34"/>
  <c r="AR22" i="34"/>
  <c r="AS22" i="34"/>
  <c r="AT22" i="34"/>
  <c r="AU22" i="34"/>
  <c r="AR23" i="34"/>
  <c r="AS23" i="34"/>
  <c r="AT23" i="34"/>
  <c r="AU23" i="34"/>
  <c r="AR24" i="34"/>
  <c r="AS24" i="34"/>
  <c r="AT24" i="34"/>
  <c r="AU24" i="34"/>
  <c r="AR25" i="34"/>
  <c r="AS25" i="34"/>
  <c r="AT25" i="34"/>
  <c r="AU25" i="34"/>
  <c r="AR6" i="33"/>
  <c r="AS6" i="33"/>
  <c r="AT6" i="33"/>
  <c r="AU6" i="33"/>
  <c r="AR7" i="33"/>
  <c r="AS7" i="33"/>
  <c r="AT7" i="33"/>
  <c r="AU7" i="33"/>
  <c r="AR8" i="33"/>
  <c r="AS8" i="33"/>
  <c r="AT8" i="33"/>
  <c r="AU8" i="33"/>
  <c r="AR9" i="33"/>
  <c r="AS9" i="33"/>
  <c r="AT9" i="33"/>
  <c r="AU9" i="33"/>
  <c r="AR10" i="33"/>
  <c r="AS10" i="33"/>
  <c r="AT10" i="33"/>
  <c r="AU10" i="33"/>
  <c r="AR11" i="33"/>
  <c r="AS11" i="33"/>
  <c r="AT11" i="33"/>
  <c r="AU11" i="33"/>
  <c r="AR12" i="33"/>
  <c r="AS12" i="33"/>
  <c r="AT12" i="33"/>
  <c r="AU12" i="33"/>
  <c r="AR13" i="33"/>
  <c r="AS13" i="33"/>
  <c r="AT13" i="33"/>
  <c r="AU13" i="33"/>
  <c r="AR14" i="33"/>
  <c r="AS14" i="33"/>
  <c r="AT14" i="33"/>
  <c r="AU14" i="33"/>
  <c r="AR15" i="33"/>
  <c r="AS15" i="33"/>
  <c r="AT15" i="33"/>
  <c r="AU15" i="33"/>
  <c r="AR16" i="33"/>
  <c r="AS16" i="33"/>
  <c r="AT16" i="33"/>
  <c r="AU16" i="33"/>
  <c r="AR17" i="33"/>
  <c r="AS17" i="33"/>
  <c r="AT17" i="33"/>
  <c r="AU17" i="33"/>
  <c r="AR18" i="33"/>
  <c r="AS18" i="33"/>
  <c r="AT18" i="33"/>
  <c r="AU18" i="33"/>
  <c r="AR19" i="33"/>
  <c r="AS19" i="33"/>
  <c r="AT19" i="33"/>
  <c r="AU19" i="33"/>
  <c r="AR20" i="33"/>
  <c r="AS20" i="33"/>
  <c r="AT20" i="33"/>
  <c r="AU20" i="33"/>
  <c r="AR21" i="33"/>
  <c r="AS21" i="33"/>
  <c r="AT21" i="33"/>
  <c r="AU21" i="33"/>
  <c r="AR22" i="33"/>
  <c r="AS22" i="33"/>
  <c r="AT22" i="33"/>
  <c r="AU22" i="33"/>
  <c r="AR23" i="33"/>
  <c r="AS23" i="33"/>
  <c r="AT23" i="33"/>
  <c r="AU23" i="33"/>
  <c r="AR24" i="33"/>
  <c r="AS24" i="33"/>
  <c r="AT24" i="33"/>
  <c r="AU24" i="33"/>
  <c r="AR25" i="33"/>
  <c r="AS25" i="33"/>
  <c r="AT25" i="33"/>
  <c r="AU25" i="33"/>
  <c r="AR6" i="32"/>
  <c r="AS6" i="32"/>
  <c r="AT6" i="32"/>
  <c r="AU6" i="32"/>
  <c r="AR7" i="32"/>
  <c r="AS7" i="32"/>
  <c r="AT7" i="32"/>
  <c r="AU7" i="32"/>
  <c r="AR8" i="32"/>
  <c r="AS8" i="32"/>
  <c r="AT8" i="32"/>
  <c r="AU8" i="32"/>
  <c r="AR9" i="32"/>
  <c r="AS9" i="32"/>
  <c r="AT9" i="32"/>
  <c r="AU9" i="32"/>
  <c r="AR10" i="32"/>
  <c r="AS10" i="32"/>
  <c r="AT10" i="32"/>
  <c r="AU10" i="32"/>
  <c r="AR11" i="32"/>
  <c r="AS11" i="32"/>
  <c r="AT11" i="32"/>
  <c r="AU11" i="32"/>
  <c r="AR12" i="32"/>
  <c r="AS12" i="32"/>
  <c r="AT12" i="32"/>
  <c r="AU12" i="32"/>
  <c r="AR13" i="32"/>
  <c r="AS13" i="32"/>
  <c r="AT13" i="32"/>
  <c r="AU13" i="32"/>
  <c r="AR14" i="32"/>
  <c r="AS14" i="32"/>
  <c r="AT14" i="32"/>
  <c r="AU14" i="32"/>
  <c r="AR15" i="32"/>
  <c r="AS15" i="32"/>
  <c r="AT15" i="32"/>
  <c r="AU15" i="32"/>
  <c r="AR16" i="32"/>
  <c r="AS16" i="32"/>
  <c r="AT16" i="32"/>
  <c r="AU16" i="32"/>
  <c r="AR17" i="32"/>
  <c r="AS17" i="32"/>
  <c r="AT17" i="32"/>
  <c r="AU17" i="32"/>
  <c r="AR18" i="32"/>
  <c r="AS18" i="32"/>
  <c r="AT18" i="32"/>
  <c r="AU18" i="32"/>
  <c r="AR19" i="32"/>
  <c r="AS19" i="32"/>
  <c r="AT19" i="32"/>
  <c r="AU19" i="32"/>
  <c r="AR20" i="32"/>
  <c r="AS20" i="32"/>
  <c r="AT20" i="32"/>
  <c r="AU20" i="32"/>
  <c r="AR21" i="32"/>
  <c r="AS21" i="32"/>
  <c r="AT21" i="32"/>
  <c r="AU21" i="32"/>
  <c r="AR22" i="32"/>
  <c r="AS22" i="32"/>
  <c r="AT22" i="32"/>
  <c r="AU22" i="32"/>
  <c r="AR23" i="32"/>
  <c r="AS23" i="32"/>
  <c r="AT23" i="32"/>
  <c r="AU23" i="32"/>
  <c r="AR24" i="32"/>
  <c r="AS24" i="32"/>
  <c r="AT24" i="32"/>
  <c r="AU24" i="32"/>
  <c r="AR25" i="32"/>
  <c r="AS25" i="32"/>
  <c r="AT25" i="32"/>
  <c r="AU25" i="32"/>
  <c r="AR6" i="31"/>
  <c r="AS6" i="31"/>
  <c r="AT6" i="31"/>
  <c r="AU6" i="31"/>
  <c r="AR7" i="31"/>
  <c r="AS7" i="31"/>
  <c r="AT7" i="31"/>
  <c r="AU7" i="31"/>
  <c r="AR8" i="31"/>
  <c r="AS8" i="31"/>
  <c r="AT8" i="31"/>
  <c r="AU8" i="31"/>
  <c r="AR9" i="31"/>
  <c r="AS9" i="31"/>
  <c r="AT9" i="31"/>
  <c r="AU9" i="31"/>
  <c r="AR10" i="31"/>
  <c r="AS10" i="31"/>
  <c r="AT10" i="31"/>
  <c r="AU10" i="31"/>
  <c r="AR11" i="31"/>
  <c r="AS11" i="31"/>
  <c r="AT11" i="31"/>
  <c r="AU11" i="31"/>
  <c r="AR12" i="31"/>
  <c r="AS12" i="31"/>
  <c r="AT12" i="31"/>
  <c r="AU12" i="31"/>
  <c r="AR13" i="31"/>
  <c r="AS13" i="31"/>
  <c r="AT13" i="31"/>
  <c r="AU13" i="31"/>
  <c r="AR14" i="31"/>
  <c r="AS14" i="31"/>
  <c r="AT14" i="31"/>
  <c r="AU14" i="31"/>
  <c r="AR15" i="31"/>
  <c r="AS15" i="31"/>
  <c r="AT15" i="31"/>
  <c r="AU15" i="31"/>
  <c r="AR16" i="31"/>
  <c r="AS16" i="31"/>
  <c r="AT16" i="31"/>
  <c r="AU16" i="31"/>
  <c r="AR17" i="31"/>
  <c r="AS17" i="31"/>
  <c r="AT17" i="31"/>
  <c r="AU17" i="31"/>
  <c r="AR18" i="31"/>
  <c r="AS18" i="31"/>
  <c r="AT18" i="31"/>
  <c r="AU18" i="31"/>
  <c r="AR19" i="31"/>
  <c r="AS19" i="31"/>
  <c r="AT19" i="31"/>
  <c r="AU19" i="31"/>
  <c r="AR20" i="31"/>
  <c r="AS20" i="31"/>
  <c r="AT20" i="31"/>
  <c r="AU20" i="31"/>
  <c r="AR21" i="31"/>
  <c r="AS21" i="31"/>
  <c r="AT21" i="31"/>
  <c r="AU21" i="31"/>
  <c r="AR22" i="31"/>
  <c r="AS22" i="31"/>
  <c r="AT22" i="31"/>
  <c r="AU22" i="31"/>
  <c r="AR23" i="31"/>
  <c r="AS23" i="31"/>
  <c r="AT23" i="31"/>
  <c r="AU23" i="31"/>
  <c r="AR24" i="31"/>
  <c r="AS24" i="31"/>
  <c r="AT24" i="31"/>
  <c r="AU24" i="31"/>
  <c r="AR25" i="31"/>
  <c r="AS25" i="31"/>
  <c r="AT25" i="31"/>
  <c r="AU25" i="31"/>
  <c r="AR6" i="30"/>
  <c r="AS6" i="30"/>
  <c r="AT6" i="30"/>
  <c r="AU6" i="30"/>
  <c r="AR7" i="30"/>
  <c r="AS7" i="30"/>
  <c r="AT7" i="30"/>
  <c r="AU7" i="30"/>
  <c r="AR8" i="30"/>
  <c r="AS8" i="30"/>
  <c r="AT8" i="30"/>
  <c r="AU8" i="30"/>
  <c r="AR9" i="30"/>
  <c r="AS9" i="30"/>
  <c r="AT9" i="30"/>
  <c r="AU9" i="30"/>
  <c r="AR10" i="30"/>
  <c r="AS10" i="30"/>
  <c r="AT10" i="30"/>
  <c r="AU10" i="30"/>
  <c r="AR11" i="30"/>
  <c r="AS11" i="30"/>
  <c r="AT11" i="30"/>
  <c r="AU11" i="30"/>
  <c r="AR12" i="30"/>
  <c r="AS12" i="30"/>
  <c r="AT12" i="30"/>
  <c r="AU12" i="30"/>
  <c r="AR13" i="30"/>
  <c r="AS13" i="30"/>
  <c r="AT13" i="30"/>
  <c r="AU13" i="30"/>
  <c r="AR14" i="30"/>
  <c r="AS14" i="30"/>
  <c r="AT14" i="30"/>
  <c r="AU14" i="30"/>
  <c r="AR15" i="30"/>
  <c r="AS15" i="30"/>
  <c r="AT15" i="30"/>
  <c r="AU15" i="30"/>
  <c r="AR16" i="30"/>
  <c r="AS16" i="30"/>
  <c r="AT16" i="30"/>
  <c r="AU16" i="30"/>
  <c r="AR17" i="30"/>
  <c r="AS17" i="30"/>
  <c r="AT17" i="30"/>
  <c r="AU17" i="30"/>
  <c r="AR18" i="30"/>
  <c r="AS18" i="30"/>
  <c r="AT18" i="30"/>
  <c r="AU18" i="30"/>
  <c r="AR19" i="30"/>
  <c r="AS19" i="30"/>
  <c r="AT19" i="30"/>
  <c r="AU19" i="30"/>
  <c r="AR20" i="30"/>
  <c r="AS20" i="30"/>
  <c r="AT20" i="30"/>
  <c r="AU20" i="30"/>
  <c r="AR21" i="30"/>
  <c r="AS21" i="30"/>
  <c r="AT21" i="30"/>
  <c r="AU21" i="30"/>
  <c r="AR22" i="30"/>
  <c r="AS22" i="30"/>
  <c r="AT22" i="30"/>
  <c r="AU22" i="30"/>
  <c r="AR23" i="30"/>
  <c r="AS23" i="30"/>
  <c r="AT23" i="30"/>
  <c r="AU23" i="30"/>
  <c r="AR24" i="30"/>
  <c r="AS24" i="30"/>
  <c r="AT24" i="30"/>
  <c r="AU24" i="30"/>
  <c r="AR25" i="30"/>
  <c r="AS25" i="30"/>
  <c r="AT25" i="30"/>
  <c r="AU25" i="30"/>
  <c r="AR6" i="29"/>
  <c r="AS6" i="29"/>
  <c r="AT6" i="29"/>
  <c r="AU6" i="29"/>
  <c r="AR7" i="29"/>
  <c r="AS7" i="29"/>
  <c r="AT7" i="29"/>
  <c r="AU7" i="29"/>
  <c r="AR8" i="29"/>
  <c r="AS8" i="29"/>
  <c r="AT8" i="29"/>
  <c r="AU8" i="29"/>
  <c r="AR9" i="29"/>
  <c r="AS9" i="29"/>
  <c r="AT9" i="29"/>
  <c r="AU9" i="29"/>
  <c r="AR10" i="29"/>
  <c r="AS10" i="29"/>
  <c r="AT10" i="29"/>
  <c r="AU10" i="29"/>
  <c r="AR11" i="29"/>
  <c r="AS11" i="29"/>
  <c r="AT11" i="29"/>
  <c r="AU11" i="29"/>
  <c r="AR12" i="29"/>
  <c r="AS12" i="29"/>
  <c r="AT12" i="29"/>
  <c r="AU12" i="29"/>
  <c r="AR13" i="29"/>
  <c r="AS13" i="29"/>
  <c r="AT13" i="29"/>
  <c r="AU13" i="29"/>
  <c r="AR14" i="29"/>
  <c r="AS14" i="29"/>
  <c r="AT14" i="29"/>
  <c r="AU14" i="29"/>
  <c r="AR15" i="29"/>
  <c r="AS15" i="29"/>
  <c r="AT15" i="29"/>
  <c r="AU15" i="29"/>
  <c r="AR16" i="29"/>
  <c r="AS16" i="29"/>
  <c r="AT16" i="29"/>
  <c r="AU16" i="29"/>
  <c r="AR17" i="29"/>
  <c r="AS17" i="29"/>
  <c r="AT17" i="29"/>
  <c r="AU17" i="29"/>
  <c r="AR18" i="29"/>
  <c r="AS18" i="29"/>
  <c r="AT18" i="29"/>
  <c r="AU18" i="29"/>
  <c r="AR19" i="29"/>
  <c r="AS19" i="29"/>
  <c r="AT19" i="29"/>
  <c r="AU19" i="29"/>
  <c r="AR20" i="29"/>
  <c r="AS20" i="29"/>
  <c r="AT20" i="29"/>
  <c r="AU20" i="29"/>
  <c r="AR21" i="29"/>
  <c r="AS21" i="29"/>
  <c r="AT21" i="29"/>
  <c r="AU21" i="29"/>
  <c r="AR22" i="29"/>
  <c r="AS22" i="29"/>
  <c r="AT22" i="29"/>
  <c r="AU22" i="29"/>
  <c r="AR23" i="29"/>
  <c r="AS23" i="29"/>
  <c r="AT23" i="29"/>
  <c r="AU23" i="29"/>
  <c r="AR24" i="29"/>
  <c r="AS24" i="29"/>
  <c r="AT24" i="29"/>
  <c r="AU24" i="29"/>
  <c r="AR25" i="29"/>
  <c r="AS25" i="29"/>
  <c r="AT25" i="29"/>
  <c r="AU25" i="29"/>
  <c r="AR6" i="28"/>
  <c r="AS6" i="28"/>
  <c r="AT6" i="28"/>
  <c r="AU6" i="28"/>
  <c r="AR7" i="28"/>
  <c r="AS7" i="28"/>
  <c r="AT7" i="28"/>
  <c r="AU7" i="28"/>
  <c r="AR8" i="28"/>
  <c r="AS8" i="28"/>
  <c r="AT8" i="28"/>
  <c r="AU8" i="28"/>
  <c r="AR9" i="28"/>
  <c r="AS9" i="28"/>
  <c r="AT9" i="28"/>
  <c r="AU9" i="28"/>
  <c r="AR10" i="28"/>
  <c r="AS10" i="28"/>
  <c r="AT10" i="28"/>
  <c r="AU10" i="28"/>
  <c r="AR11" i="28"/>
  <c r="AS11" i="28"/>
  <c r="AT11" i="28"/>
  <c r="AU11" i="28"/>
  <c r="AR12" i="28"/>
  <c r="AS12" i="28"/>
  <c r="AT12" i="28"/>
  <c r="AU12" i="28"/>
  <c r="AR13" i="28"/>
  <c r="AS13" i="28"/>
  <c r="AT13" i="28"/>
  <c r="AU13" i="28"/>
  <c r="AR14" i="28"/>
  <c r="AS14" i="28"/>
  <c r="AT14" i="28"/>
  <c r="AU14" i="28"/>
  <c r="AR15" i="28"/>
  <c r="AS15" i="28"/>
  <c r="AT15" i="28"/>
  <c r="AU15" i="28"/>
  <c r="AR16" i="28"/>
  <c r="AS16" i="28"/>
  <c r="AT16" i="28"/>
  <c r="AU16" i="28"/>
  <c r="AR17" i="28"/>
  <c r="AS17" i="28"/>
  <c r="AT17" i="28"/>
  <c r="AU17" i="28"/>
  <c r="AR18" i="28"/>
  <c r="AS18" i="28"/>
  <c r="AT18" i="28"/>
  <c r="AU18" i="28"/>
  <c r="AR19" i="28"/>
  <c r="AS19" i="28"/>
  <c r="AT19" i="28"/>
  <c r="AU19" i="28"/>
  <c r="AR20" i="28"/>
  <c r="AS20" i="28"/>
  <c r="AT20" i="28"/>
  <c r="AU20" i="28"/>
  <c r="AR21" i="28"/>
  <c r="AS21" i="28"/>
  <c r="AT21" i="28"/>
  <c r="AU21" i="28"/>
  <c r="AR22" i="28"/>
  <c r="AS22" i="28"/>
  <c r="AT22" i="28"/>
  <c r="AU22" i="28"/>
  <c r="AR23" i="28"/>
  <c r="AS23" i="28"/>
  <c r="AT23" i="28"/>
  <c r="AU23" i="28"/>
  <c r="AR24" i="28"/>
  <c r="AS24" i="28"/>
  <c r="AT24" i="28"/>
  <c r="AU24" i="28"/>
  <c r="AR25" i="28"/>
  <c r="AS25" i="28"/>
  <c r="AT25" i="28"/>
  <c r="AU25" i="28"/>
  <c r="AR6" i="27"/>
  <c r="AS6" i="27"/>
  <c r="AT6" i="27"/>
  <c r="AU6" i="27"/>
  <c r="AR7" i="27"/>
  <c r="AS7" i="27"/>
  <c r="AT7" i="27"/>
  <c r="AU7" i="27"/>
  <c r="AR8" i="27"/>
  <c r="AS8" i="27"/>
  <c r="AT8" i="27"/>
  <c r="AU8" i="27"/>
  <c r="AR9" i="27"/>
  <c r="AS9" i="27"/>
  <c r="AT9" i="27"/>
  <c r="AU9" i="27"/>
  <c r="AR10" i="27"/>
  <c r="AS10" i="27"/>
  <c r="AT10" i="27"/>
  <c r="AU10" i="27"/>
  <c r="AR11" i="27"/>
  <c r="AS11" i="27"/>
  <c r="AT11" i="27"/>
  <c r="AU11" i="27"/>
  <c r="AR12" i="27"/>
  <c r="AS12" i="27"/>
  <c r="AT12" i="27"/>
  <c r="AU12" i="27"/>
  <c r="AR13" i="27"/>
  <c r="AS13" i="27"/>
  <c r="AT13" i="27"/>
  <c r="AU13" i="27"/>
  <c r="AR14" i="27"/>
  <c r="AS14" i="27"/>
  <c r="AT14" i="27"/>
  <c r="AU14" i="27"/>
  <c r="AR15" i="27"/>
  <c r="AS15" i="27"/>
  <c r="AT15" i="27"/>
  <c r="AU15" i="27"/>
  <c r="AR16" i="27"/>
  <c r="AS16" i="27"/>
  <c r="AT16" i="27"/>
  <c r="AU16" i="27"/>
  <c r="AR17" i="27"/>
  <c r="AS17" i="27"/>
  <c r="AT17" i="27"/>
  <c r="AU17" i="27"/>
  <c r="AR18" i="27"/>
  <c r="AS18" i="27"/>
  <c r="AT18" i="27"/>
  <c r="AU18" i="27"/>
  <c r="AR19" i="27"/>
  <c r="AS19" i="27"/>
  <c r="AT19" i="27"/>
  <c r="AU19" i="27"/>
  <c r="AR20" i="27"/>
  <c r="AS20" i="27"/>
  <c r="AT20" i="27"/>
  <c r="AU20" i="27"/>
  <c r="AR21" i="27"/>
  <c r="AS21" i="27"/>
  <c r="AT21" i="27"/>
  <c r="AU21" i="27"/>
  <c r="AR22" i="27"/>
  <c r="AS22" i="27"/>
  <c r="AT22" i="27"/>
  <c r="AU22" i="27"/>
  <c r="AR23" i="27"/>
  <c r="AS23" i="27"/>
  <c r="AT23" i="27"/>
  <c r="AU23" i="27"/>
  <c r="AR24" i="27"/>
  <c r="AS24" i="27"/>
  <c r="AT24" i="27"/>
  <c r="AU24" i="27"/>
  <c r="AR25" i="27"/>
  <c r="AS25" i="27"/>
  <c r="AT25" i="27"/>
  <c r="AU25" i="27"/>
  <c r="AR6" i="26"/>
  <c r="AS6" i="26"/>
  <c r="AT6" i="26"/>
  <c r="AU6" i="26"/>
  <c r="AR7" i="26"/>
  <c r="AS7" i="26"/>
  <c r="AT7" i="26"/>
  <c r="AU7" i="26"/>
  <c r="AR8" i="26"/>
  <c r="AS8" i="26"/>
  <c r="AT8" i="26"/>
  <c r="AU8" i="26"/>
  <c r="AR9" i="26"/>
  <c r="AS9" i="26"/>
  <c r="AT9" i="26"/>
  <c r="AU9" i="26"/>
  <c r="AR10" i="26"/>
  <c r="AS10" i="26"/>
  <c r="AT10" i="26"/>
  <c r="AU10" i="26"/>
  <c r="AR11" i="26"/>
  <c r="AS11" i="26"/>
  <c r="AT11" i="26"/>
  <c r="AU11" i="26"/>
  <c r="AR12" i="26"/>
  <c r="AS12" i="26"/>
  <c r="AT12" i="26"/>
  <c r="AU12" i="26"/>
  <c r="AR13" i="26"/>
  <c r="AS13" i="26"/>
  <c r="AT13" i="26"/>
  <c r="AU13" i="26"/>
  <c r="AR14" i="26"/>
  <c r="AS14" i="26"/>
  <c r="AT14" i="26"/>
  <c r="AU14" i="26"/>
  <c r="AR15" i="26"/>
  <c r="AS15" i="26"/>
  <c r="AT15" i="26"/>
  <c r="AU15" i="26"/>
  <c r="AR16" i="26"/>
  <c r="AS16" i="26"/>
  <c r="AT16" i="26"/>
  <c r="AU16" i="26"/>
  <c r="AR17" i="26"/>
  <c r="AS17" i="26"/>
  <c r="AT17" i="26"/>
  <c r="AU17" i="26"/>
  <c r="AR18" i="26"/>
  <c r="AS18" i="26"/>
  <c r="AT18" i="26"/>
  <c r="AU18" i="26"/>
  <c r="AR19" i="26"/>
  <c r="AS19" i="26"/>
  <c r="AT19" i="26"/>
  <c r="AU19" i="26"/>
  <c r="AR20" i="26"/>
  <c r="AS20" i="26"/>
  <c r="AT20" i="26"/>
  <c r="AU20" i="26"/>
  <c r="AR21" i="26"/>
  <c r="AS21" i="26"/>
  <c r="AT21" i="26"/>
  <c r="AU21" i="26"/>
  <c r="AR22" i="26"/>
  <c r="AS22" i="26"/>
  <c r="AT22" i="26"/>
  <c r="AU22" i="26"/>
  <c r="AR23" i="26"/>
  <c r="AS23" i="26"/>
  <c r="AT23" i="26"/>
  <c r="AU23" i="26"/>
  <c r="AR24" i="26"/>
  <c r="AS24" i="26"/>
  <c r="AT24" i="26"/>
  <c r="AU24" i="26"/>
  <c r="AR25" i="26"/>
  <c r="AS25" i="26"/>
  <c r="AT25" i="26"/>
  <c r="AU25" i="26"/>
  <c r="AR6" i="25"/>
  <c r="AS6" i="25"/>
  <c r="AT6" i="25"/>
  <c r="AU6" i="25"/>
  <c r="AR7" i="25"/>
  <c r="AS7" i="25"/>
  <c r="AT7" i="25"/>
  <c r="AU7" i="25"/>
  <c r="AR8" i="25"/>
  <c r="AS8" i="25"/>
  <c r="AT8" i="25"/>
  <c r="AU8" i="25"/>
  <c r="AR9" i="25"/>
  <c r="AS9" i="25"/>
  <c r="AT9" i="25"/>
  <c r="AU9" i="25"/>
  <c r="AR10" i="25"/>
  <c r="AS10" i="25"/>
  <c r="AT10" i="25"/>
  <c r="AU10" i="25"/>
  <c r="AR11" i="25"/>
  <c r="AS11" i="25"/>
  <c r="AT11" i="25"/>
  <c r="AU11" i="25"/>
  <c r="AR12" i="25"/>
  <c r="AS12" i="25"/>
  <c r="AT12" i="25"/>
  <c r="AU12" i="25"/>
  <c r="AR13" i="25"/>
  <c r="AS13" i="25"/>
  <c r="AT13" i="25"/>
  <c r="AU13" i="25"/>
  <c r="AR14" i="25"/>
  <c r="AS14" i="25"/>
  <c r="AT14" i="25"/>
  <c r="AU14" i="25"/>
  <c r="AR15" i="25"/>
  <c r="AS15" i="25"/>
  <c r="AT15" i="25"/>
  <c r="AU15" i="25"/>
  <c r="AR16" i="25"/>
  <c r="AS16" i="25"/>
  <c r="AT16" i="25"/>
  <c r="AU16" i="25"/>
  <c r="AR17" i="25"/>
  <c r="AS17" i="25"/>
  <c r="AT17" i="25"/>
  <c r="AU17" i="25"/>
  <c r="AR18" i="25"/>
  <c r="AS18" i="25"/>
  <c r="AT18" i="25"/>
  <c r="AU18" i="25"/>
  <c r="AR19" i="25"/>
  <c r="AS19" i="25"/>
  <c r="AT19" i="25"/>
  <c r="AU19" i="25"/>
  <c r="AR20" i="25"/>
  <c r="AS20" i="25"/>
  <c r="AT20" i="25"/>
  <c r="AU20" i="25"/>
  <c r="AR21" i="25"/>
  <c r="AS21" i="25"/>
  <c r="AT21" i="25"/>
  <c r="AU21" i="25"/>
  <c r="AR22" i="25"/>
  <c r="AS22" i="25"/>
  <c r="AT22" i="25"/>
  <c r="AU22" i="25"/>
  <c r="AR23" i="25"/>
  <c r="AS23" i="25"/>
  <c r="AT23" i="25"/>
  <c r="AU23" i="25"/>
  <c r="AR24" i="25"/>
  <c r="AS24" i="25"/>
  <c r="AT24" i="25"/>
  <c r="AU24" i="25"/>
  <c r="AR25" i="25"/>
  <c r="AS25" i="25"/>
  <c r="AT25" i="25"/>
  <c r="AU25" i="25"/>
  <c r="AR6" i="24"/>
  <c r="AS6" i="24"/>
  <c r="AT6" i="24"/>
  <c r="AU6" i="24"/>
  <c r="AR7" i="24"/>
  <c r="AS7" i="24"/>
  <c r="AT7" i="24"/>
  <c r="AU7" i="24"/>
  <c r="AR8" i="24"/>
  <c r="AS8" i="24"/>
  <c r="AT8" i="24"/>
  <c r="AU8" i="24"/>
  <c r="AR9" i="24"/>
  <c r="AS9" i="24"/>
  <c r="AT9" i="24"/>
  <c r="AU9" i="24"/>
  <c r="AR10" i="24"/>
  <c r="AS10" i="24"/>
  <c r="AT10" i="24"/>
  <c r="AU10" i="24"/>
  <c r="AR11" i="24"/>
  <c r="AS11" i="24"/>
  <c r="AT11" i="24"/>
  <c r="AU11" i="24"/>
  <c r="AR12" i="24"/>
  <c r="AS12" i="24"/>
  <c r="AT12" i="24"/>
  <c r="AU12" i="24"/>
  <c r="AR13" i="24"/>
  <c r="AS13" i="24"/>
  <c r="AT13" i="24"/>
  <c r="AU13" i="24"/>
  <c r="AR14" i="24"/>
  <c r="AS14" i="24"/>
  <c r="AT14" i="24"/>
  <c r="AU14" i="24"/>
  <c r="AR15" i="24"/>
  <c r="AS15" i="24"/>
  <c r="AT15" i="24"/>
  <c r="AU15" i="24"/>
  <c r="AR16" i="24"/>
  <c r="AS16" i="24"/>
  <c r="AT16" i="24"/>
  <c r="AU16" i="24"/>
  <c r="AR17" i="24"/>
  <c r="AS17" i="24"/>
  <c r="AT17" i="24"/>
  <c r="AU17" i="24"/>
  <c r="AR18" i="24"/>
  <c r="AS18" i="24"/>
  <c r="AT18" i="24"/>
  <c r="AU18" i="24"/>
  <c r="AR19" i="24"/>
  <c r="AS19" i="24"/>
  <c r="AT19" i="24"/>
  <c r="AU19" i="24"/>
  <c r="AR20" i="24"/>
  <c r="AS20" i="24"/>
  <c r="AT20" i="24"/>
  <c r="AU20" i="24"/>
  <c r="AR21" i="24"/>
  <c r="AS21" i="24"/>
  <c r="AT21" i="24"/>
  <c r="AU21" i="24"/>
  <c r="AR22" i="24"/>
  <c r="AS22" i="24"/>
  <c r="AT22" i="24"/>
  <c r="AU22" i="24"/>
  <c r="AR23" i="24"/>
  <c r="AS23" i="24"/>
  <c r="AT23" i="24"/>
  <c r="AU23" i="24"/>
  <c r="AR24" i="24"/>
  <c r="AS24" i="24"/>
  <c r="AT24" i="24"/>
  <c r="AU24" i="24"/>
  <c r="AR25" i="24"/>
  <c r="AS25" i="24"/>
  <c r="AT25" i="24"/>
  <c r="AU25" i="24"/>
  <c r="B53" i="62"/>
  <c r="C53" i="62"/>
  <c r="D53" i="62"/>
  <c r="E53" i="62"/>
  <c r="F53" i="62"/>
  <c r="G53" i="62"/>
  <c r="H53" i="62"/>
  <c r="I53" i="62"/>
  <c r="J53" i="62"/>
  <c r="K53" i="62"/>
  <c r="L53" i="62"/>
  <c r="M53" i="62"/>
  <c r="N53" i="62"/>
  <c r="O53" i="62"/>
  <c r="P53" i="62"/>
  <c r="Q53" i="62"/>
  <c r="R53" i="62"/>
  <c r="S53" i="62"/>
  <c r="T53" i="62"/>
  <c r="U53" i="62"/>
  <c r="V53" i="62"/>
  <c r="W53" i="62"/>
  <c r="X53" i="62"/>
  <c r="Y53" i="62"/>
  <c r="Z53" i="62"/>
  <c r="AA53" i="62"/>
  <c r="AB53" i="62"/>
  <c r="AC53" i="62"/>
  <c r="AD53" i="62"/>
  <c r="AE53" i="62"/>
  <c r="AF53" i="62"/>
  <c r="B8" i="16"/>
  <c r="B6" i="4" s="1"/>
  <c r="C8" i="16"/>
  <c r="C6" i="4" s="1"/>
  <c r="D8" i="16"/>
  <c r="D6" i="4" s="1"/>
  <c r="E8" i="16"/>
  <c r="E6" i="4" s="1"/>
  <c r="F8" i="16"/>
  <c r="F6" i="4" s="1"/>
  <c r="G8" i="16"/>
  <c r="G6" i="4" s="1"/>
  <c r="H8" i="16"/>
  <c r="H6" i="4" s="1"/>
  <c r="I8" i="16"/>
  <c r="I6" i="4" s="1"/>
  <c r="J8" i="16"/>
  <c r="J6" i="4" s="1"/>
  <c r="K8" i="16"/>
  <c r="K6" i="4" s="1"/>
  <c r="L8" i="16"/>
  <c r="B6" i="8" s="1"/>
  <c r="M8" i="16"/>
  <c r="C6" i="8" s="1"/>
  <c r="N8" i="16"/>
  <c r="D6" i="8" s="1"/>
  <c r="O8" i="16"/>
  <c r="E6" i="8" s="1"/>
  <c r="P8" i="16"/>
  <c r="F6" i="8" s="1"/>
  <c r="Q8" i="16"/>
  <c r="G6" i="8" s="1"/>
  <c r="R8" i="16"/>
  <c r="H6" i="8" s="1"/>
  <c r="S8" i="16"/>
  <c r="I6" i="8" s="1"/>
  <c r="T8" i="16"/>
  <c r="J6" i="8" s="1"/>
  <c r="U8" i="16"/>
  <c r="K6" i="8" s="1"/>
  <c r="V8" i="16"/>
  <c r="B6" i="12" s="1"/>
  <c r="W8" i="16"/>
  <c r="C6" i="12" s="1"/>
  <c r="X8" i="16"/>
  <c r="D6" i="12" s="1"/>
  <c r="Y8" i="16"/>
  <c r="E6" i="12" s="1"/>
  <c r="Z8" i="16"/>
  <c r="F6" i="12" s="1"/>
  <c r="AA8" i="16"/>
  <c r="G6" i="12" s="1"/>
  <c r="AB8" i="16"/>
  <c r="H6" i="12" s="1"/>
  <c r="AC8" i="16"/>
  <c r="I6" i="12" s="1"/>
  <c r="AD8" i="16"/>
  <c r="J6" i="12" s="1"/>
  <c r="AE8" i="16"/>
  <c r="K6" i="12" s="1"/>
  <c r="AF8" i="16"/>
  <c r="B9" i="16"/>
  <c r="B7" i="4" s="1"/>
  <c r="C9" i="16"/>
  <c r="C7" i="4" s="1"/>
  <c r="D9" i="16"/>
  <c r="D7" i="4" s="1"/>
  <c r="E9" i="16"/>
  <c r="E7" i="4" s="1"/>
  <c r="F9" i="16"/>
  <c r="F7" i="4" s="1"/>
  <c r="G9" i="16"/>
  <c r="G7" i="4" s="1"/>
  <c r="H9" i="16"/>
  <c r="H7" i="4" s="1"/>
  <c r="I9" i="16"/>
  <c r="I7" i="4" s="1"/>
  <c r="J9" i="16"/>
  <c r="J7" i="4" s="1"/>
  <c r="K9" i="16"/>
  <c r="K7" i="4" s="1"/>
  <c r="L9" i="16"/>
  <c r="B7" i="8" s="1"/>
  <c r="M9" i="16"/>
  <c r="C7" i="8" s="1"/>
  <c r="N9" i="16"/>
  <c r="D7" i="8" s="1"/>
  <c r="O9" i="16"/>
  <c r="E7" i="8" s="1"/>
  <c r="P9" i="16"/>
  <c r="F7" i="8" s="1"/>
  <c r="Q9" i="16"/>
  <c r="G7" i="8" s="1"/>
  <c r="R9" i="16"/>
  <c r="H7" i="8" s="1"/>
  <c r="S9" i="16"/>
  <c r="I7" i="8" s="1"/>
  <c r="T9" i="16"/>
  <c r="J7" i="8" s="1"/>
  <c r="U9" i="16"/>
  <c r="K7" i="8" s="1"/>
  <c r="V9" i="16"/>
  <c r="B7" i="12" s="1"/>
  <c r="W9" i="16"/>
  <c r="C7" i="12" s="1"/>
  <c r="X9" i="16"/>
  <c r="D7" i="12" s="1"/>
  <c r="Y9" i="16"/>
  <c r="E7" i="12" s="1"/>
  <c r="Z9" i="16"/>
  <c r="F7" i="12" s="1"/>
  <c r="AA9" i="16"/>
  <c r="G7" i="12" s="1"/>
  <c r="AB9" i="16"/>
  <c r="H7" i="12" s="1"/>
  <c r="AC9" i="16"/>
  <c r="I7" i="12" s="1"/>
  <c r="AD9" i="16"/>
  <c r="J7" i="12" s="1"/>
  <c r="AE9" i="16"/>
  <c r="K7" i="12" s="1"/>
  <c r="AF9" i="16"/>
  <c r="B10" i="16"/>
  <c r="B8" i="4" s="1"/>
  <c r="C10" i="16"/>
  <c r="C8" i="4" s="1"/>
  <c r="D10" i="16"/>
  <c r="D8" i="4" s="1"/>
  <c r="E10" i="16"/>
  <c r="E8" i="4" s="1"/>
  <c r="F10" i="16"/>
  <c r="F8" i="4" s="1"/>
  <c r="G10" i="16"/>
  <c r="G8" i="4" s="1"/>
  <c r="H10" i="16"/>
  <c r="H8" i="4" s="1"/>
  <c r="I10" i="16"/>
  <c r="I8" i="4" s="1"/>
  <c r="J10" i="16"/>
  <c r="J8" i="4" s="1"/>
  <c r="K10" i="16"/>
  <c r="K8" i="4" s="1"/>
  <c r="L10" i="16"/>
  <c r="B8" i="8" s="1"/>
  <c r="M10" i="16"/>
  <c r="C8" i="8" s="1"/>
  <c r="N10" i="16"/>
  <c r="D8" i="8" s="1"/>
  <c r="O10" i="16"/>
  <c r="E8" i="8" s="1"/>
  <c r="P10" i="16"/>
  <c r="F8" i="8" s="1"/>
  <c r="Q10" i="16"/>
  <c r="G8" i="8" s="1"/>
  <c r="R10" i="16"/>
  <c r="H8" i="8" s="1"/>
  <c r="S10" i="16"/>
  <c r="I8" i="8" s="1"/>
  <c r="T10" i="16"/>
  <c r="J8" i="8" s="1"/>
  <c r="U10" i="16"/>
  <c r="K8" i="8" s="1"/>
  <c r="V10" i="16"/>
  <c r="B8" i="12" s="1"/>
  <c r="W10" i="16"/>
  <c r="C8" i="12" s="1"/>
  <c r="X10" i="16"/>
  <c r="D8" i="12" s="1"/>
  <c r="Y10" i="16"/>
  <c r="E8" i="12" s="1"/>
  <c r="Z10" i="16"/>
  <c r="F8" i="12" s="1"/>
  <c r="AA10" i="16"/>
  <c r="G8" i="12" s="1"/>
  <c r="AB10" i="16"/>
  <c r="H8" i="12" s="1"/>
  <c r="AC10" i="16"/>
  <c r="I8" i="12" s="1"/>
  <c r="AD10" i="16"/>
  <c r="J8" i="12" s="1"/>
  <c r="AE10" i="16"/>
  <c r="K8" i="12" s="1"/>
  <c r="AF10" i="16"/>
  <c r="B11" i="16"/>
  <c r="B9" i="4" s="1"/>
  <c r="C11" i="16"/>
  <c r="C9" i="4" s="1"/>
  <c r="D11" i="16"/>
  <c r="D9" i="4" s="1"/>
  <c r="E11" i="16"/>
  <c r="E9" i="4" s="1"/>
  <c r="F11" i="16"/>
  <c r="F9" i="4" s="1"/>
  <c r="G11" i="16"/>
  <c r="G9" i="4" s="1"/>
  <c r="H11" i="16"/>
  <c r="H9" i="4" s="1"/>
  <c r="I11" i="16"/>
  <c r="I9" i="4" s="1"/>
  <c r="J11" i="16"/>
  <c r="J9" i="4" s="1"/>
  <c r="K11" i="16"/>
  <c r="K9" i="4" s="1"/>
  <c r="L11" i="16"/>
  <c r="B9" i="8" s="1"/>
  <c r="M11" i="16"/>
  <c r="C9" i="8" s="1"/>
  <c r="N11" i="16"/>
  <c r="D9" i="8" s="1"/>
  <c r="O11" i="16"/>
  <c r="E9" i="8" s="1"/>
  <c r="P11" i="16"/>
  <c r="F9" i="8" s="1"/>
  <c r="Q11" i="16"/>
  <c r="G9" i="8" s="1"/>
  <c r="R11" i="16"/>
  <c r="H9" i="8" s="1"/>
  <c r="S11" i="16"/>
  <c r="I9" i="8" s="1"/>
  <c r="T11" i="16"/>
  <c r="J9" i="8" s="1"/>
  <c r="U11" i="16"/>
  <c r="K9" i="8" s="1"/>
  <c r="V11" i="16"/>
  <c r="B9" i="12" s="1"/>
  <c r="W11" i="16"/>
  <c r="C9" i="12" s="1"/>
  <c r="X11" i="16"/>
  <c r="D9" i="12" s="1"/>
  <c r="Y11" i="16"/>
  <c r="E9" i="12" s="1"/>
  <c r="Z11" i="16"/>
  <c r="F9" i="12" s="1"/>
  <c r="AA11" i="16"/>
  <c r="G9" i="12" s="1"/>
  <c r="AB11" i="16"/>
  <c r="H9" i="12" s="1"/>
  <c r="AC11" i="16"/>
  <c r="I9" i="12" s="1"/>
  <c r="AD11" i="16"/>
  <c r="J9" i="12" s="1"/>
  <c r="AE11" i="16"/>
  <c r="K9" i="12" s="1"/>
  <c r="AF11" i="16"/>
  <c r="B12" i="16"/>
  <c r="B10" i="4" s="1"/>
  <c r="C12" i="16"/>
  <c r="C10" i="4" s="1"/>
  <c r="D12" i="16"/>
  <c r="D10" i="4" s="1"/>
  <c r="E12" i="16"/>
  <c r="E10" i="4" s="1"/>
  <c r="F12" i="16"/>
  <c r="F10" i="4" s="1"/>
  <c r="G12" i="16"/>
  <c r="G10" i="4" s="1"/>
  <c r="H12" i="16"/>
  <c r="H10" i="4" s="1"/>
  <c r="I12" i="16"/>
  <c r="I10" i="4" s="1"/>
  <c r="J12" i="16"/>
  <c r="J10" i="4" s="1"/>
  <c r="K12" i="16"/>
  <c r="K10" i="4" s="1"/>
  <c r="L12" i="16"/>
  <c r="B10" i="8" s="1"/>
  <c r="M12" i="16"/>
  <c r="C10" i="8" s="1"/>
  <c r="N12" i="16"/>
  <c r="D10" i="8" s="1"/>
  <c r="O12" i="16"/>
  <c r="E10" i="8" s="1"/>
  <c r="P12" i="16"/>
  <c r="F10" i="8" s="1"/>
  <c r="Q12" i="16"/>
  <c r="G10" i="8" s="1"/>
  <c r="R12" i="16"/>
  <c r="H10" i="8" s="1"/>
  <c r="S12" i="16"/>
  <c r="I10" i="8" s="1"/>
  <c r="T12" i="16"/>
  <c r="J10" i="8" s="1"/>
  <c r="U12" i="16"/>
  <c r="K10" i="8" s="1"/>
  <c r="V12" i="16"/>
  <c r="B10" i="12" s="1"/>
  <c r="W12" i="16"/>
  <c r="C10" i="12" s="1"/>
  <c r="X12" i="16"/>
  <c r="D10" i="12" s="1"/>
  <c r="Y12" i="16"/>
  <c r="E10" i="12" s="1"/>
  <c r="Z12" i="16"/>
  <c r="F10" i="12" s="1"/>
  <c r="AA12" i="16"/>
  <c r="G10" i="12" s="1"/>
  <c r="AB12" i="16"/>
  <c r="H10" i="12" s="1"/>
  <c r="AC12" i="16"/>
  <c r="I10" i="12" s="1"/>
  <c r="AD12" i="16"/>
  <c r="J10" i="12" s="1"/>
  <c r="AE12" i="16"/>
  <c r="K10" i="12" s="1"/>
  <c r="AF12" i="16"/>
  <c r="B13" i="16"/>
  <c r="B11" i="4" s="1"/>
  <c r="C13" i="16"/>
  <c r="C11" i="4" s="1"/>
  <c r="D13" i="16"/>
  <c r="D11" i="4" s="1"/>
  <c r="E13" i="16"/>
  <c r="E11" i="4" s="1"/>
  <c r="F13" i="16"/>
  <c r="F11" i="4" s="1"/>
  <c r="G13" i="16"/>
  <c r="G11" i="4" s="1"/>
  <c r="H13" i="16"/>
  <c r="H11" i="4" s="1"/>
  <c r="I13" i="16"/>
  <c r="I11" i="4" s="1"/>
  <c r="J13" i="16"/>
  <c r="J11" i="4" s="1"/>
  <c r="K13" i="16"/>
  <c r="K11" i="4" s="1"/>
  <c r="L13" i="16"/>
  <c r="B11" i="8" s="1"/>
  <c r="M13" i="16"/>
  <c r="C11" i="8" s="1"/>
  <c r="N13" i="16"/>
  <c r="D11" i="8" s="1"/>
  <c r="O13" i="16"/>
  <c r="E11" i="8" s="1"/>
  <c r="P13" i="16"/>
  <c r="F11" i="8" s="1"/>
  <c r="Q13" i="16"/>
  <c r="G11" i="8" s="1"/>
  <c r="R13" i="16"/>
  <c r="H11" i="8" s="1"/>
  <c r="S13" i="16"/>
  <c r="I11" i="8" s="1"/>
  <c r="T13" i="16"/>
  <c r="J11" i="8" s="1"/>
  <c r="U13" i="16"/>
  <c r="K11" i="8" s="1"/>
  <c r="V13" i="16"/>
  <c r="B11" i="12" s="1"/>
  <c r="W13" i="16"/>
  <c r="C11" i="12" s="1"/>
  <c r="X13" i="16"/>
  <c r="D11" i="12" s="1"/>
  <c r="Y13" i="16"/>
  <c r="E11" i="12" s="1"/>
  <c r="Z13" i="16"/>
  <c r="F11" i="12" s="1"/>
  <c r="AA13" i="16"/>
  <c r="G11" i="12" s="1"/>
  <c r="AB13" i="16"/>
  <c r="H11" i="12" s="1"/>
  <c r="AC13" i="16"/>
  <c r="I11" i="12" s="1"/>
  <c r="AD13" i="16"/>
  <c r="J11" i="12" s="1"/>
  <c r="AE13" i="16"/>
  <c r="K11" i="12" s="1"/>
  <c r="AF13" i="16"/>
  <c r="B14" i="16"/>
  <c r="B12" i="4" s="1"/>
  <c r="C14" i="16"/>
  <c r="C12" i="4" s="1"/>
  <c r="D14" i="16"/>
  <c r="D12" i="4" s="1"/>
  <c r="E14" i="16"/>
  <c r="E12" i="4" s="1"/>
  <c r="F14" i="16"/>
  <c r="F12" i="4" s="1"/>
  <c r="G14" i="16"/>
  <c r="G12" i="4" s="1"/>
  <c r="H14" i="16"/>
  <c r="H12" i="4" s="1"/>
  <c r="I14" i="16"/>
  <c r="I12" i="4" s="1"/>
  <c r="J14" i="16"/>
  <c r="J12" i="4" s="1"/>
  <c r="K14" i="16"/>
  <c r="K12" i="4" s="1"/>
  <c r="L14" i="16"/>
  <c r="B12" i="8" s="1"/>
  <c r="M14" i="16"/>
  <c r="C12" i="8" s="1"/>
  <c r="N14" i="16"/>
  <c r="D12" i="8" s="1"/>
  <c r="O14" i="16"/>
  <c r="E12" i="8" s="1"/>
  <c r="P14" i="16"/>
  <c r="F12" i="8" s="1"/>
  <c r="Q14" i="16"/>
  <c r="G12" i="8" s="1"/>
  <c r="R14" i="16"/>
  <c r="H12" i="8" s="1"/>
  <c r="S14" i="16"/>
  <c r="I12" i="8" s="1"/>
  <c r="T14" i="16"/>
  <c r="J12" i="8" s="1"/>
  <c r="U14" i="16"/>
  <c r="K12" i="8" s="1"/>
  <c r="V14" i="16"/>
  <c r="B12" i="12" s="1"/>
  <c r="W14" i="16"/>
  <c r="C12" i="12" s="1"/>
  <c r="X14" i="16"/>
  <c r="D12" i="12" s="1"/>
  <c r="Y14" i="16"/>
  <c r="E12" i="12" s="1"/>
  <c r="Z14" i="16"/>
  <c r="F12" i="12" s="1"/>
  <c r="AA14" i="16"/>
  <c r="G12" i="12" s="1"/>
  <c r="AB14" i="16"/>
  <c r="H12" i="12" s="1"/>
  <c r="AC14" i="16"/>
  <c r="I12" i="12" s="1"/>
  <c r="AD14" i="16"/>
  <c r="J12" i="12" s="1"/>
  <c r="AE14" i="16"/>
  <c r="K12" i="12" s="1"/>
  <c r="AF14" i="16"/>
  <c r="B15" i="16"/>
  <c r="B13" i="4" s="1"/>
  <c r="C15" i="16"/>
  <c r="C13" i="4" s="1"/>
  <c r="D15" i="16"/>
  <c r="D13" i="4" s="1"/>
  <c r="E15" i="16"/>
  <c r="E13" i="4" s="1"/>
  <c r="F15" i="16"/>
  <c r="F13" i="4" s="1"/>
  <c r="G15" i="16"/>
  <c r="G13" i="4" s="1"/>
  <c r="H15" i="16"/>
  <c r="H13" i="4" s="1"/>
  <c r="I15" i="16"/>
  <c r="I13" i="4" s="1"/>
  <c r="J15" i="16"/>
  <c r="J13" i="4" s="1"/>
  <c r="K15" i="16"/>
  <c r="K13" i="4" s="1"/>
  <c r="L15" i="16"/>
  <c r="B13" i="8" s="1"/>
  <c r="M15" i="16"/>
  <c r="C13" i="8" s="1"/>
  <c r="N15" i="16"/>
  <c r="D13" i="8" s="1"/>
  <c r="O15" i="16"/>
  <c r="E13" i="8" s="1"/>
  <c r="P15" i="16"/>
  <c r="F13" i="8" s="1"/>
  <c r="Q15" i="16"/>
  <c r="G13" i="8" s="1"/>
  <c r="R15" i="16"/>
  <c r="H13" i="8" s="1"/>
  <c r="S15" i="16"/>
  <c r="I13" i="8" s="1"/>
  <c r="T15" i="16"/>
  <c r="J13" i="8" s="1"/>
  <c r="U15" i="16"/>
  <c r="K13" i="8" s="1"/>
  <c r="V15" i="16"/>
  <c r="B13" i="12" s="1"/>
  <c r="W15" i="16"/>
  <c r="C13" i="12" s="1"/>
  <c r="X15" i="16"/>
  <c r="D13" i="12" s="1"/>
  <c r="Y15" i="16"/>
  <c r="E13" i="12" s="1"/>
  <c r="Z15" i="16"/>
  <c r="F13" i="12" s="1"/>
  <c r="AA15" i="16"/>
  <c r="G13" i="12" s="1"/>
  <c r="AB15" i="16"/>
  <c r="H13" i="12" s="1"/>
  <c r="AC15" i="16"/>
  <c r="I13" i="12" s="1"/>
  <c r="AD15" i="16"/>
  <c r="J13" i="12" s="1"/>
  <c r="AE15" i="16"/>
  <c r="K13" i="12" s="1"/>
  <c r="AF15" i="16"/>
  <c r="B16" i="16"/>
  <c r="B14" i="4" s="1"/>
  <c r="C16" i="16"/>
  <c r="C14" i="4" s="1"/>
  <c r="D16" i="16"/>
  <c r="D14" i="4" s="1"/>
  <c r="E16" i="16"/>
  <c r="E14" i="4" s="1"/>
  <c r="F16" i="16"/>
  <c r="F14" i="4" s="1"/>
  <c r="G16" i="16"/>
  <c r="G14" i="4" s="1"/>
  <c r="H16" i="16"/>
  <c r="H14" i="4" s="1"/>
  <c r="I16" i="16"/>
  <c r="I14" i="4" s="1"/>
  <c r="J16" i="16"/>
  <c r="J14" i="4" s="1"/>
  <c r="K16" i="16"/>
  <c r="K14" i="4" s="1"/>
  <c r="L16" i="16"/>
  <c r="B14" i="8" s="1"/>
  <c r="M16" i="16"/>
  <c r="C14" i="8" s="1"/>
  <c r="N16" i="16"/>
  <c r="D14" i="8" s="1"/>
  <c r="O16" i="16"/>
  <c r="E14" i="8" s="1"/>
  <c r="P16" i="16"/>
  <c r="F14" i="8" s="1"/>
  <c r="Q16" i="16"/>
  <c r="G14" i="8" s="1"/>
  <c r="R16" i="16"/>
  <c r="H14" i="8" s="1"/>
  <c r="S16" i="16"/>
  <c r="I14" i="8" s="1"/>
  <c r="T16" i="16"/>
  <c r="J14" i="8" s="1"/>
  <c r="U16" i="16"/>
  <c r="K14" i="8" s="1"/>
  <c r="V16" i="16"/>
  <c r="B14" i="12" s="1"/>
  <c r="W16" i="16"/>
  <c r="C14" i="12" s="1"/>
  <c r="X16" i="16"/>
  <c r="D14" i="12" s="1"/>
  <c r="Y16" i="16"/>
  <c r="E14" i="12" s="1"/>
  <c r="Z16" i="16"/>
  <c r="F14" i="12" s="1"/>
  <c r="AA16" i="16"/>
  <c r="G14" i="12" s="1"/>
  <c r="AB16" i="16"/>
  <c r="H14" i="12" s="1"/>
  <c r="AC16" i="16"/>
  <c r="I14" i="12" s="1"/>
  <c r="AD16" i="16"/>
  <c r="J14" i="12" s="1"/>
  <c r="AE16" i="16"/>
  <c r="K14" i="12" s="1"/>
  <c r="AF16" i="16"/>
  <c r="B17" i="16"/>
  <c r="B15" i="4" s="1"/>
  <c r="C17" i="16"/>
  <c r="C15" i="4" s="1"/>
  <c r="D17" i="16"/>
  <c r="D15" i="4" s="1"/>
  <c r="E17" i="16"/>
  <c r="E15" i="4" s="1"/>
  <c r="F17" i="16"/>
  <c r="F15" i="4" s="1"/>
  <c r="G17" i="16"/>
  <c r="G15" i="4" s="1"/>
  <c r="H17" i="16"/>
  <c r="H15" i="4" s="1"/>
  <c r="I17" i="16"/>
  <c r="I15" i="4" s="1"/>
  <c r="J17" i="16"/>
  <c r="J15" i="4" s="1"/>
  <c r="K17" i="16"/>
  <c r="K15" i="4" s="1"/>
  <c r="L17" i="16"/>
  <c r="B15" i="8" s="1"/>
  <c r="M17" i="16"/>
  <c r="C15" i="8" s="1"/>
  <c r="N17" i="16"/>
  <c r="D15" i="8" s="1"/>
  <c r="O17" i="16"/>
  <c r="E15" i="8" s="1"/>
  <c r="P17" i="16"/>
  <c r="F15" i="8" s="1"/>
  <c r="Q17" i="16"/>
  <c r="G15" i="8" s="1"/>
  <c r="R17" i="16"/>
  <c r="H15" i="8" s="1"/>
  <c r="S17" i="16"/>
  <c r="I15" i="8" s="1"/>
  <c r="T17" i="16"/>
  <c r="J15" i="8" s="1"/>
  <c r="U17" i="16"/>
  <c r="K15" i="8" s="1"/>
  <c r="V17" i="16"/>
  <c r="B15" i="12" s="1"/>
  <c r="W17" i="16"/>
  <c r="C15" i="12" s="1"/>
  <c r="X17" i="16"/>
  <c r="D15" i="12" s="1"/>
  <c r="Y17" i="16"/>
  <c r="E15" i="12" s="1"/>
  <c r="Z17" i="16"/>
  <c r="F15" i="12" s="1"/>
  <c r="AA17" i="16"/>
  <c r="G15" i="12" s="1"/>
  <c r="AB17" i="16"/>
  <c r="H15" i="12" s="1"/>
  <c r="AC17" i="16"/>
  <c r="I15" i="12" s="1"/>
  <c r="AD17" i="16"/>
  <c r="J15" i="12" s="1"/>
  <c r="AE17" i="16"/>
  <c r="K15" i="12" s="1"/>
  <c r="AF17" i="16"/>
  <c r="B18" i="16"/>
  <c r="B16" i="4" s="1"/>
  <c r="C18" i="16"/>
  <c r="C16" i="4" s="1"/>
  <c r="D18" i="16"/>
  <c r="D16" i="4" s="1"/>
  <c r="E18" i="16"/>
  <c r="E16" i="4" s="1"/>
  <c r="F18" i="16"/>
  <c r="F16" i="4" s="1"/>
  <c r="G18" i="16"/>
  <c r="G16" i="4" s="1"/>
  <c r="H18" i="16"/>
  <c r="H16" i="4" s="1"/>
  <c r="I18" i="16"/>
  <c r="I16" i="4" s="1"/>
  <c r="J18" i="16"/>
  <c r="J16" i="4" s="1"/>
  <c r="K18" i="16"/>
  <c r="K16" i="4" s="1"/>
  <c r="L18" i="16"/>
  <c r="B16" i="8" s="1"/>
  <c r="M18" i="16"/>
  <c r="C16" i="8" s="1"/>
  <c r="N18" i="16"/>
  <c r="D16" i="8" s="1"/>
  <c r="O18" i="16"/>
  <c r="E16" i="8" s="1"/>
  <c r="P18" i="16"/>
  <c r="F16" i="8" s="1"/>
  <c r="Q18" i="16"/>
  <c r="G16" i="8" s="1"/>
  <c r="R18" i="16"/>
  <c r="H16" i="8" s="1"/>
  <c r="S18" i="16"/>
  <c r="I16" i="8" s="1"/>
  <c r="T18" i="16"/>
  <c r="J16" i="8" s="1"/>
  <c r="U18" i="16"/>
  <c r="K16" i="8" s="1"/>
  <c r="V18" i="16"/>
  <c r="B16" i="12" s="1"/>
  <c r="W18" i="16"/>
  <c r="C16" i="12" s="1"/>
  <c r="X18" i="16"/>
  <c r="D16" i="12" s="1"/>
  <c r="Y18" i="16"/>
  <c r="E16" i="12" s="1"/>
  <c r="Z18" i="16"/>
  <c r="F16" i="12" s="1"/>
  <c r="AA18" i="16"/>
  <c r="G16" i="12" s="1"/>
  <c r="AB18" i="16"/>
  <c r="H16" i="12" s="1"/>
  <c r="AC18" i="16"/>
  <c r="I16" i="12" s="1"/>
  <c r="AD18" i="16"/>
  <c r="J16" i="12" s="1"/>
  <c r="AE18" i="16"/>
  <c r="K16" i="12" s="1"/>
  <c r="AF18" i="16"/>
  <c r="AH18" i="16"/>
  <c r="J16" i="55" s="1"/>
  <c r="B19" i="16"/>
  <c r="B17" i="4" s="1"/>
  <c r="C19" i="16"/>
  <c r="C17" i="4" s="1"/>
  <c r="D19" i="16"/>
  <c r="D17" i="4" s="1"/>
  <c r="E19" i="16"/>
  <c r="E17" i="4" s="1"/>
  <c r="F19" i="16"/>
  <c r="F17" i="4" s="1"/>
  <c r="G19" i="16"/>
  <c r="G17" i="4" s="1"/>
  <c r="H19" i="16"/>
  <c r="H17" i="4" s="1"/>
  <c r="I19" i="16"/>
  <c r="I17" i="4" s="1"/>
  <c r="J19" i="16"/>
  <c r="J17" i="4" s="1"/>
  <c r="K19" i="16"/>
  <c r="K17" i="4" s="1"/>
  <c r="L19" i="16"/>
  <c r="B17" i="8" s="1"/>
  <c r="M19" i="16"/>
  <c r="C17" i="8" s="1"/>
  <c r="N19" i="16"/>
  <c r="D17" i="8" s="1"/>
  <c r="O19" i="16"/>
  <c r="E17" i="8" s="1"/>
  <c r="P19" i="16"/>
  <c r="F17" i="8" s="1"/>
  <c r="Q19" i="16"/>
  <c r="G17" i="8" s="1"/>
  <c r="R19" i="16"/>
  <c r="H17" i="8" s="1"/>
  <c r="S19" i="16"/>
  <c r="I17" i="8" s="1"/>
  <c r="T19" i="16"/>
  <c r="J17" i="8" s="1"/>
  <c r="U19" i="16"/>
  <c r="K17" i="8" s="1"/>
  <c r="V19" i="16"/>
  <c r="B17" i="12" s="1"/>
  <c r="W19" i="16"/>
  <c r="C17" i="12" s="1"/>
  <c r="X19" i="16"/>
  <c r="D17" i="12" s="1"/>
  <c r="Y19" i="16"/>
  <c r="E17" i="12" s="1"/>
  <c r="Z19" i="16"/>
  <c r="F17" i="12" s="1"/>
  <c r="AA19" i="16"/>
  <c r="G17" i="12" s="1"/>
  <c r="AB19" i="16"/>
  <c r="H17" i="12" s="1"/>
  <c r="AC19" i="16"/>
  <c r="I17" i="12" s="1"/>
  <c r="AD19" i="16"/>
  <c r="J17" i="12" s="1"/>
  <c r="AE19" i="16"/>
  <c r="K17" i="12" s="1"/>
  <c r="AF19" i="16"/>
  <c r="B20" i="16"/>
  <c r="C20" i="16"/>
  <c r="C18" i="4" s="1"/>
  <c r="D20" i="16"/>
  <c r="D18" i="4" s="1"/>
  <c r="E20" i="16"/>
  <c r="E18" i="4" s="1"/>
  <c r="F20" i="16"/>
  <c r="F18" i="4" s="1"/>
  <c r="G20" i="16"/>
  <c r="G18" i="4" s="1"/>
  <c r="H20" i="16"/>
  <c r="H18" i="4" s="1"/>
  <c r="I20" i="16"/>
  <c r="I18" i="4" s="1"/>
  <c r="J20" i="16"/>
  <c r="J18" i="4" s="1"/>
  <c r="K20" i="16"/>
  <c r="K18" i="4" s="1"/>
  <c r="L20" i="16"/>
  <c r="B18" i="8" s="1"/>
  <c r="M20" i="16"/>
  <c r="C18" i="8" s="1"/>
  <c r="N20" i="16"/>
  <c r="D18" i="8" s="1"/>
  <c r="O20" i="16"/>
  <c r="E18" i="8" s="1"/>
  <c r="P20" i="16"/>
  <c r="F18" i="8" s="1"/>
  <c r="Q20" i="16"/>
  <c r="G18" i="8" s="1"/>
  <c r="R20" i="16"/>
  <c r="H18" i="8" s="1"/>
  <c r="S20" i="16"/>
  <c r="I18" i="8" s="1"/>
  <c r="T20" i="16"/>
  <c r="J18" i="8" s="1"/>
  <c r="U20" i="16"/>
  <c r="K18" i="8" s="1"/>
  <c r="V20" i="16"/>
  <c r="B18" i="12" s="1"/>
  <c r="W20" i="16"/>
  <c r="C18" i="12" s="1"/>
  <c r="X20" i="16"/>
  <c r="D18" i="12" s="1"/>
  <c r="Y20" i="16"/>
  <c r="E18" i="12" s="1"/>
  <c r="Z20" i="16"/>
  <c r="F18" i="12" s="1"/>
  <c r="AA20" i="16"/>
  <c r="G18" i="12" s="1"/>
  <c r="AB20" i="16"/>
  <c r="H18" i="12" s="1"/>
  <c r="AC20" i="16"/>
  <c r="I18" i="12" s="1"/>
  <c r="AD20" i="16"/>
  <c r="J18" i="12" s="1"/>
  <c r="AE20" i="16"/>
  <c r="K18" i="12" s="1"/>
  <c r="AF20" i="16"/>
  <c r="B21" i="16"/>
  <c r="B19" i="4" s="1"/>
  <c r="C21" i="16"/>
  <c r="C19" i="4" s="1"/>
  <c r="D21" i="16"/>
  <c r="D19" i="4" s="1"/>
  <c r="E21" i="16"/>
  <c r="E19" i="4" s="1"/>
  <c r="F21" i="16"/>
  <c r="F19" i="4" s="1"/>
  <c r="G21" i="16"/>
  <c r="G19" i="4" s="1"/>
  <c r="H21" i="16"/>
  <c r="H19" i="4" s="1"/>
  <c r="I21" i="16"/>
  <c r="I19" i="4" s="1"/>
  <c r="J21" i="16"/>
  <c r="J19" i="4" s="1"/>
  <c r="K21" i="16"/>
  <c r="K19" i="4" s="1"/>
  <c r="L21" i="16"/>
  <c r="B19" i="8" s="1"/>
  <c r="M21" i="16"/>
  <c r="C19" i="8" s="1"/>
  <c r="N21" i="16"/>
  <c r="D19" i="8" s="1"/>
  <c r="O21" i="16"/>
  <c r="E19" i="8" s="1"/>
  <c r="P21" i="16"/>
  <c r="F19" i="8" s="1"/>
  <c r="Q21" i="16"/>
  <c r="G19" i="8" s="1"/>
  <c r="R21" i="16"/>
  <c r="H19" i="8" s="1"/>
  <c r="S21" i="16"/>
  <c r="I19" i="8" s="1"/>
  <c r="T21" i="16"/>
  <c r="J19" i="8" s="1"/>
  <c r="U21" i="16"/>
  <c r="K19" i="8" s="1"/>
  <c r="V21" i="16"/>
  <c r="B19" i="12" s="1"/>
  <c r="W21" i="16"/>
  <c r="C19" i="12" s="1"/>
  <c r="X21" i="16"/>
  <c r="D19" i="12" s="1"/>
  <c r="Y21" i="16"/>
  <c r="E19" i="12" s="1"/>
  <c r="Z21" i="16"/>
  <c r="F19" i="12" s="1"/>
  <c r="AA21" i="16"/>
  <c r="G19" i="12" s="1"/>
  <c r="AB21" i="16"/>
  <c r="H19" i="12" s="1"/>
  <c r="AC21" i="16"/>
  <c r="I19" i="12" s="1"/>
  <c r="AD21" i="16"/>
  <c r="J19" i="12" s="1"/>
  <c r="AE21" i="16"/>
  <c r="K19" i="12" s="1"/>
  <c r="AF21" i="16"/>
  <c r="B22" i="16"/>
  <c r="C22" i="16"/>
  <c r="C20" i="4" s="1"/>
  <c r="D22" i="16"/>
  <c r="D20" i="4" s="1"/>
  <c r="E22" i="16"/>
  <c r="E20" i="4" s="1"/>
  <c r="F22" i="16"/>
  <c r="F20" i="4" s="1"/>
  <c r="G22" i="16"/>
  <c r="G20" i="4" s="1"/>
  <c r="H22" i="16"/>
  <c r="H20" i="4" s="1"/>
  <c r="I22" i="16"/>
  <c r="I20" i="4" s="1"/>
  <c r="J22" i="16"/>
  <c r="J20" i="4" s="1"/>
  <c r="K22" i="16"/>
  <c r="K20" i="4" s="1"/>
  <c r="L22" i="16"/>
  <c r="B20" i="8" s="1"/>
  <c r="M22" i="16"/>
  <c r="C20" i="8" s="1"/>
  <c r="N22" i="16"/>
  <c r="D20" i="8" s="1"/>
  <c r="O22" i="16"/>
  <c r="E20" i="8" s="1"/>
  <c r="P22" i="16"/>
  <c r="F20" i="8" s="1"/>
  <c r="Q22" i="16"/>
  <c r="G20" i="8" s="1"/>
  <c r="R22" i="16"/>
  <c r="H20" i="8" s="1"/>
  <c r="S22" i="16"/>
  <c r="I20" i="8" s="1"/>
  <c r="T22" i="16"/>
  <c r="J20" i="8" s="1"/>
  <c r="U22" i="16"/>
  <c r="K20" i="8" s="1"/>
  <c r="V22" i="16"/>
  <c r="B20" i="12" s="1"/>
  <c r="W22" i="16"/>
  <c r="C20" i="12" s="1"/>
  <c r="X22" i="16"/>
  <c r="D20" i="12" s="1"/>
  <c r="Y22" i="16"/>
  <c r="E20" i="12" s="1"/>
  <c r="Z22" i="16"/>
  <c r="F20" i="12" s="1"/>
  <c r="AA22" i="16"/>
  <c r="G20" i="12" s="1"/>
  <c r="AB22" i="16"/>
  <c r="H20" i="12" s="1"/>
  <c r="AC22" i="16"/>
  <c r="I20" i="12" s="1"/>
  <c r="AD22" i="16"/>
  <c r="J20" i="12" s="1"/>
  <c r="AE22" i="16"/>
  <c r="K20" i="12" s="1"/>
  <c r="AF22" i="16"/>
  <c r="B23" i="16"/>
  <c r="B21" i="4" s="1"/>
  <c r="C23" i="16"/>
  <c r="C21" i="4" s="1"/>
  <c r="D23" i="16"/>
  <c r="D21" i="4" s="1"/>
  <c r="E23" i="16"/>
  <c r="E21" i="4" s="1"/>
  <c r="F23" i="16"/>
  <c r="F21" i="4" s="1"/>
  <c r="G23" i="16"/>
  <c r="H23" i="16"/>
  <c r="H21" i="4" s="1"/>
  <c r="I23" i="16"/>
  <c r="I21" i="4" s="1"/>
  <c r="J23" i="16"/>
  <c r="J21" i="4" s="1"/>
  <c r="K23" i="16"/>
  <c r="K21" i="4" s="1"/>
  <c r="L23" i="16"/>
  <c r="B21" i="8" s="1"/>
  <c r="M23" i="16"/>
  <c r="C21" i="8" s="1"/>
  <c r="N23" i="16"/>
  <c r="D21" i="8" s="1"/>
  <c r="O23" i="16"/>
  <c r="E21" i="8" s="1"/>
  <c r="P23" i="16"/>
  <c r="F21" i="8" s="1"/>
  <c r="Q23" i="16"/>
  <c r="G21" i="8" s="1"/>
  <c r="R23" i="16"/>
  <c r="H21" i="8" s="1"/>
  <c r="S23" i="16"/>
  <c r="I21" i="8" s="1"/>
  <c r="T23" i="16"/>
  <c r="J21" i="8" s="1"/>
  <c r="U23" i="16"/>
  <c r="K21" i="8" s="1"/>
  <c r="V23" i="16"/>
  <c r="B21" i="12" s="1"/>
  <c r="W23" i="16"/>
  <c r="C21" i="12" s="1"/>
  <c r="X23" i="16"/>
  <c r="D21" i="12" s="1"/>
  <c r="Y23" i="16"/>
  <c r="E21" i="12" s="1"/>
  <c r="Z23" i="16"/>
  <c r="F21" i="12" s="1"/>
  <c r="AA23" i="16"/>
  <c r="G21" i="12" s="1"/>
  <c r="AB23" i="16"/>
  <c r="H21" i="12" s="1"/>
  <c r="AC23" i="16"/>
  <c r="I21" i="12" s="1"/>
  <c r="AD23" i="16"/>
  <c r="J21" i="12" s="1"/>
  <c r="AE23" i="16"/>
  <c r="K21" i="12" s="1"/>
  <c r="AF23" i="16"/>
  <c r="B24" i="16"/>
  <c r="C24" i="16"/>
  <c r="C22" i="4" s="1"/>
  <c r="D24" i="16"/>
  <c r="D22" i="4" s="1"/>
  <c r="E24" i="16"/>
  <c r="E22" i="4" s="1"/>
  <c r="F24" i="16"/>
  <c r="F22" i="4" s="1"/>
  <c r="G24" i="16"/>
  <c r="G22" i="4" s="1"/>
  <c r="H24" i="16"/>
  <c r="H22" i="4" s="1"/>
  <c r="I24" i="16"/>
  <c r="I22" i="4" s="1"/>
  <c r="J24" i="16"/>
  <c r="J22" i="4" s="1"/>
  <c r="K24" i="16"/>
  <c r="K22" i="4" s="1"/>
  <c r="L24" i="16"/>
  <c r="B22" i="8" s="1"/>
  <c r="M24" i="16"/>
  <c r="C22" i="8" s="1"/>
  <c r="N24" i="16"/>
  <c r="D22" i="8" s="1"/>
  <c r="O24" i="16"/>
  <c r="E22" i="8" s="1"/>
  <c r="P24" i="16"/>
  <c r="F22" i="8" s="1"/>
  <c r="Q24" i="16"/>
  <c r="G22" i="8" s="1"/>
  <c r="R24" i="16"/>
  <c r="H22" i="8" s="1"/>
  <c r="S24" i="16"/>
  <c r="I22" i="8" s="1"/>
  <c r="T24" i="16"/>
  <c r="J22" i="8" s="1"/>
  <c r="U24" i="16"/>
  <c r="K22" i="8" s="1"/>
  <c r="V24" i="16"/>
  <c r="B22" i="12" s="1"/>
  <c r="W24" i="16"/>
  <c r="C22" i="12" s="1"/>
  <c r="X24" i="16"/>
  <c r="D22" i="12" s="1"/>
  <c r="Y24" i="16"/>
  <c r="E22" i="12" s="1"/>
  <c r="Z24" i="16"/>
  <c r="F22" i="12" s="1"/>
  <c r="AA24" i="16"/>
  <c r="G22" i="12" s="1"/>
  <c r="AB24" i="16"/>
  <c r="H22" i="12" s="1"/>
  <c r="AC24" i="16"/>
  <c r="I22" i="12" s="1"/>
  <c r="AD24" i="16"/>
  <c r="J22" i="12" s="1"/>
  <c r="AE24" i="16"/>
  <c r="K22" i="12" s="1"/>
  <c r="AF24" i="16"/>
  <c r="B25" i="16"/>
  <c r="B23" i="4" s="1"/>
  <c r="C25" i="16"/>
  <c r="C23" i="4" s="1"/>
  <c r="D25" i="16"/>
  <c r="D23" i="4" s="1"/>
  <c r="E25" i="16"/>
  <c r="E23" i="4" s="1"/>
  <c r="F25" i="16"/>
  <c r="F23" i="4" s="1"/>
  <c r="G25" i="16"/>
  <c r="G23" i="4" s="1"/>
  <c r="H25" i="16"/>
  <c r="H23" i="4" s="1"/>
  <c r="I25" i="16"/>
  <c r="I23" i="4" s="1"/>
  <c r="J25" i="16"/>
  <c r="J23" i="4" s="1"/>
  <c r="K25" i="16"/>
  <c r="K23" i="4" s="1"/>
  <c r="L25" i="16"/>
  <c r="B23" i="8" s="1"/>
  <c r="M25" i="16"/>
  <c r="C23" i="8" s="1"/>
  <c r="N25" i="16"/>
  <c r="D23" i="8" s="1"/>
  <c r="O25" i="16"/>
  <c r="E23" i="8" s="1"/>
  <c r="P25" i="16"/>
  <c r="F23" i="8" s="1"/>
  <c r="Q25" i="16"/>
  <c r="G23" i="8" s="1"/>
  <c r="R25" i="16"/>
  <c r="H23" i="8" s="1"/>
  <c r="S25" i="16"/>
  <c r="I23" i="8" s="1"/>
  <c r="T25" i="16"/>
  <c r="J23" i="8" s="1"/>
  <c r="U25" i="16"/>
  <c r="K23" i="8" s="1"/>
  <c r="V25" i="16"/>
  <c r="B23" i="12" s="1"/>
  <c r="W25" i="16"/>
  <c r="C23" i="12" s="1"/>
  <c r="X25" i="16"/>
  <c r="D23" i="12" s="1"/>
  <c r="Y25" i="16"/>
  <c r="E23" i="12" s="1"/>
  <c r="Z25" i="16"/>
  <c r="F23" i="12" s="1"/>
  <c r="AA25" i="16"/>
  <c r="G23" i="12" s="1"/>
  <c r="AB25" i="16"/>
  <c r="H23" i="12" s="1"/>
  <c r="AC25" i="16"/>
  <c r="I23" i="12" s="1"/>
  <c r="AD25" i="16"/>
  <c r="J23" i="12" s="1"/>
  <c r="AE25" i="16"/>
  <c r="K23" i="12" s="1"/>
  <c r="AF25" i="16"/>
  <c r="B26" i="16"/>
  <c r="C26" i="16"/>
  <c r="C24" i="4" s="1"/>
  <c r="D26" i="16"/>
  <c r="D24" i="4" s="1"/>
  <c r="E26" i="16"/>
  <c r="E24" i="4" s="1"/>
  <c r="F26" i="16"/>
  <c r="F24" i="4" s="1"/>
  <c r="G26" i="16"/>
  <c r="G24" i="4" s="1"/>
  <c r="H26" i="16"/>
  <c r="H24" i="4" s="1"/>
  <c r="I26" i="16"/>
  <c r="I24" i="4" s="1"/>
  <c r="J26" i="16"/>
  <c r="J24" i="4" s="1"/>
  <c r="K26" i="16"/>
  <c r="K24" i="4" s="1"/>
  <c r="L26" i="16"/>
  <c r="B24" i="8" s="1"/>
  <c r="M26" i="16"/>
  <c r="C24" i="8" s="1"/>
  <c r="N26" i="16"/>
  <c r="D24" i="8" s="1"/>
  <c r="O26" i="16"/>
  <c r="E24" i="8" s="1"/>
  <c r="P26" i="16"/>
  <c r="F24" i="8" s="1"/>
  <c r="Q26" i="16"/>
  <c r="G24" i="8" s="1"/>
  <c r="R26" i="16"/>
  <c r="H24" i="8" s="1"/>
  <c r="S26" i="16"/>
  <c r="I24" i="8" s="1"/>
  <c r="T26" i="16"/>
  <c r="J24" i="8" s="1"/>
  <c r="U26" i="16"/>
  <c r="K24" i="8" s="1"/>
  <c r="V26" i="16"/>
  <c r="B24" i="12" s="1"/>
  <c r="W26" i="16"/>
  <c r="C24" i="12" s="1"/>
  <c r="X26" i="16"/>
  <c r="D24" i="12" s="1"/>
  <c r="Y26" i="16"/>
  <c r="E24" i="12" s="1"/>
  <c r="Z26" i="16"/>
  <c r="F24" i="12" s="1"/>
  <c r="AA26" i="16"/>
  <c r="G24" i="12" s="1"/>
  <c r="AB26" i="16"/>
  <c r="H24" i="12" s="1"/>
  <c r="AC26" i="16"/>
  <c r="I24" i="12" s="1"/>
  <c r="AD26" i="16"/>
  <c r="J24" i="12" s="1"/>
  <c r="AE26" i="16"/>
  <c r="K24" i="12" s="1"/>
  <c r="AF26" i="16"/>
  <c r="B27" i="16"/>
  <c r="B25" i="4" s="1"/>
  <c r="C27" i="16"/>
  <c r="C25" i="4" s="1"/>
  <c r="D27" i="16"/>
  <c r="D25" i="4" s="1"/>
  <c r="E27" i="16"/>
  <c r="E25" i="4" s="1"/>
  <c r="F27" i="16"/>
  <c r="F25" i="4" s="1"/>
  <c r="G27" i="16"/>
  <c r="H27" i="16"/>
  <c r="H25" i="4" s="1"/>
  <c r="I27" i="16"/>
  <c r="I25" i="4" s="1"/>
  <c r="J27" i="16"/>
  <c r="J25" i="4" s="1"/>
  <c r="K27" i="16"/>
  <c r="K25" i="4" s="1"/>
  <c r="L27" i="16"/>
  <c r="B25" i="8" s="1"/>
  <c r="M27" i="16"/>
  <c r="C25" i="8" s="1"/>
  <c r="N27" i="16"/>
  <c r="D25" i="8" s="1"/>
  <c r="O27" i="16"/>
  <c r="E25" i="8" s="1"/>
  <c r="P27" i="16"/>
  <c r="F25" i="8" s="1"/>
  <c r="Q27" i="16"/>
  <c r="G25" i="8" s="1"/>
  <c r="R27" i="16"/>
  <c r="H25" i="8" s="1"/>
  <c r="S27" i="16"/>
  <c r="I25" i="8" s="1"/>
  <c r="T27" i="16"/>
  <c r="J25" i="8" s="1"/>
  <c r="U27" i="16"/>
  <c r="K25" i="8" s="1"/>
  <c r="V27" i="16"/>
  <c r="B25" i="12" s="1"/>
  <c r="W27" i="16"/>
  <c r="C25" i="12" s="1"/>
  <c r="X27" i="16"/>
  <c r="D25" i="12" s="1"/>
  <c r="Y27" i="16"/>
  <c r="E25" i="12" s="1"/>
  <c r="Z27" i="16"/>
  <c r="F25" i="12" s="1"/>
  <c r="AA27" i="16"/>
  <c r="G25" i="12" s="1"/>
  <c r="AB27" i="16"/>
  <c r="H25" i="12" s="1"/>
  <c r="AC27" i="16"/>
  <c r="I25" i="12" s="1"/>
  <c r="AD27" i="16"/>
  <c r="J25" i="12" s="1"/>
  <c r="AE27" i="16"/>
  <c r="K25" i="12" s="1"/>
  <c r="AF27" i="16"/>
  <c r="B28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B28" i="15"/>
  <c r="C28" i="15"/>
  <c r="D28" i="15"/>
  <c r="E28" i="15"/>
  <c r="F28" i="15"/>
  <c r="G28" i="15"/>
  <c r="H28" i="15"/>
  <c r="I28" i="15"/>
  <c r="J28" i="15"/>
  <c r="K28" i="15"/>
  <c r="L28" i="15"/>
  <c r="M28" i="15"/>
  <c r="N28" i="15"/>
  <c r="O28" i="15"/>
  <c r="P28" i="15"/>
  <c r="Q28" i="15"/>
  <c r="R28" i="15"/>
  <c r="S28" i="15"/>
  <c r="T28" i="15"/>
  <c r="U28" i="15"/>
  <c r="V28" i="15"/>
  <c r="W28" i="15"/>
  <c r="X28" i="15"/>
  <c r="Y28" i="15"/>
  <c r="Z28" i="15"/>
  <c r="AA28" i="15"/>
  <c r="AB28" i="15"/>
  <c r="AC28" i="15"/>
  <c r="AD28" i="15"/>
  <c r="AE28" i="15"/>
  <c r="AF28" i="15"/>
  <c r="B8" i="14"/>
  <c r="B6" i="3" s="1"/>
  <c r="W8" i="14"/>
  <c r="C6" i="10" s="1"/>
  <c r="X8" i="14"/>
  <c r="D6" i="10" s="1"/>
  <c r="B9" i="14"/>
  <c r="W9" i="14"/>
  <c r="C7" i="10" s="1"/>
  <c r="X9" i="14"/>
  <c r="D7" i="10" s="1"/>
  <c r="B10" i="14"/>
  <c r="B8" i="3" s="1"/>
  <c r="W10" i="14"/>
  <c r="C8" i="10" s="1"/>
  <c r="X10" i="14"/>
  <c r="D8" i="10" s="1"/>
  <c r="B11" i="14"/>
  <c r="B9" i="3" s="1"/>
  <c r="W11" i="14"/>
  <c r="C9" i="10" s="1"/>
  <c r="X11" i="14"/>
  <c r="D9" i="10" s="1"/>
  <c r="B12" i="14"/>
  <c r="B10" i="3" s="1"/>
  <c r="W12" i="14"/>
  <c r="C10" i="10" s="1"/>
  <c r="X12" i="14"/>
  <c r="D10" i="10" s="1"/>
  <c r="B13" i="14"/>
  <c r="B11" i="3" s="1"/>
  <c r="W13" i="14"/>
  <c r="C11" i="10" s="1"/>
  <c r="X13" i="14"/>
  <c r="D11" i="10" s="1"/>
  <c r="B14" i="14"/>
  <c r="W14" i="14"/>
  <c r="C12" i="10" s="1"/>
  <c r="X14" i="14"/>
  <c r="D12" i="10" s="1"/>
  <c r="B15" i="14"/>
  <c r="B13" i="3" s="1"/>
  <c r="W15" i="14"/>
  <c r="C13" i="10" s="1"/>
  <c r="X15" i="14"/>
  <c r="D13" i="10" s="1"/>
  <c r="B16" i="14"/>
  <c r="W16" i="14"/>
  <c r="C14" i="10" s="1"/>
  <c r="X16" i="14"/>
  <c r="D14" i="10" s="1"/>
  <c r="B17" i="14"/>
  <c r="B15" i="3" s="1"/>
  <c r="W17" i="14"/>
  <c r="C15" i="10" s="1"/>
  <c r="X17" i="14"/>
  <c r="D15" i="10" s="1"/>
  <c r="B18" i="14"/>
  <c r="W18" i="14"/>
  <c r="C16" i="10" s="1"/>
  <c r="X18" i="14"/>
  <c r="D16" i="10" s="1"/>
  <c r="B19" i="14"/>
  <c r="B17" i="3" s="1"/>
  <c r="W19" i="14"/>
  <c r="C17" i="10" s="1"/>
  <c r="X19" i="14"/>
  <c r="D17" i="10" s="1"/>
  <c r="B20" i="14"/>
  <c r="B18" i="3" s="1"/>
  <c r="W20" i="14"/>
  <c r="C18" i="10" s="1"/>
  <c r="X20" i="14"/>
  <c r="D18" i="10" s="1"/>
  <c r="B21" i="14"/>
  <c r="W21" i="14"/>
  <c r="C19" i="10" s="1"/>
  <c r="X21" i="14"/>
  <c r="D19" i="10" s="1"/>
  <c r="B22" i="14"/>
  <c r="B20" i="3" s="1"/>
  <c r="W22" i="14"/>
  <c r="C20" i="10" s="1"/>
  <c r="X22" i="14"/>
  <c r="D20" i="10" s="1"/>
  <c r="B23" i="14"/>
  <c r="B21" i="3" s="1"/>
  <c r="W23" i="14"/>
  <c r="C21" i="10" s="1"/>
  <c r="X23" i="14"/>
  <c r="D21" i="10" s="1"/>
  <c r="B24" i="14"/>
  <c r="W24" i="14"/>
  <c r="C22" i="10" s="1"/>
  <c r="X24" i="14"/>
  <c r="D22" i="10" s="1"/>
  <c r="B25" i="14"/>
  <c r="W25" i="14"/>
  <c r="C23" i="10" s="1"/>
  <c r="X25" i="14"/>
  <c r="D23" i="10" s="1"/>
  <c r="B26" i="14"/>
  <c r="B24" i="3" s="1"/>
  <c r="W26" i="14"/>
  <c r="C24" i="10" s="1"/>
  <c r="X26" i="14"/>
  <c r="D24" i="10" s="1"/>
  <c r="B27" i="14"/>
  <c r="W27" i="14"/>
  <c r="C25" i="10" s="1"/>
  <c r="X27" i="14"/>
  <c r="D25" i="10" s="1"/>
  <c r="B28" i="14"/>
  <c r="C28" i="14"/>
  <c r="D28" i="14"/>
  <c r="E28" i="14"/>
  <c r="F28" i="14"/>
  <c r="G28" i="14"/>
  <c r="H28" i="14"/>
  <c r="I28" i="14"/>
  <c r="J28" i="14"/>
  <c r="K28" i="14"/>
  <c r="L28" i="14"/>
  <c r="M28" i="14"/>
  <c r="N28" i="14"/>
  <c r="O28" i="14"/>
  <c r="P28" i="14"/>
  <c r="Q28" i="14"/>
  <c r="R28" i="14"/>
  <c r="S28" i="14"/>
  <c r="T28" i="14"/>
  <c r="U28" i="14"/>
  <c r="V28" i="14"/>
  <c r="W28" i="14"/>
  <c r="X28" i="14"/>
  <c r="Y28" i="14"/>
  <c r="Z28" i="14"/>
  <c r="AA28" i="14"/>
  <c r="AB28" i="14"/>
  <c r="AC28" i="14"/>
  <c r="AD28" i="14"/>
  <c r="AE28" i="14"/>
  <c r="AF28" i="14"/>
  <c r="A32" i="54"/>
  <c r="J32" i="54"/>
  <c r="K32" i="54" s="1"/>
  <c r="AF32" i="62" s="1"/>
  <c r="A33" i="54"/>
  <c r="J33" i="54"/>
  <c r="AF8" i="62" s="1"/>
  <c r="K33" i="54"/>
  <c r="AF33" i="62" s="1"/>
  <c r="A34" i="54"/>
  <c r="J34" i="54"/>
  <c r="A35" i="54"/>
  <c r="J35" i="54"/>
  <c r="AF10" i="62" s="1"/>
  <c r="K35" i="54"/>
  <c r="AF35" i="62" s="1"/>
  <c r="A36" i="54"/>
  <c r="J36" i="54"/>
  <c r="AF11" i="62" s="1"/>
  <c r="A37" i="54"/>
  <c r="J37" i="54"/>
  <c r="A38" i="54"/>
  <c r="J38" i="54"/>
  <c r="AF13" i="62" s="1"/>
  <c r="K38" i="54"/>
  <c r="AF38" i="62" s="1"/>
  <c r="A39" i="54"/>
  <c r="J39" i="54"/>
  <c r="A40" i="54"/>
  <c r="J40" i="54"/>
  <c r="AF15" i="62" s="1"/>
  <c r="A41" i="54"/>
  <c r="J41" i="54"/>
  <c r="AF16" i="62" s="1"/>
  <c r="K41" i="54"/>
  <c r="AF41" i="62" s="1"/>
  <c r="A42" i="54"/>
  <c r="J42" i="54"/>
  <c r="A43" i="54"/>
  <c r="J43" i="54"/>
  <c r="AF18" i="62" s="1"/>
  <c r="K43" i="54"/>
  <c r="AF43" i="62" s="1"/>
  <c r="A44" i="54"/>
  <c r="J44" i="54"/>
  <c r="AF19" i="62" s="1"/>
  <c r="A45" i="54"/>
  <c r="J45" i="54"/>
  <c r="A46" i="54"/>
  <c r="J46" i="54"/>
  <c r="AF21" i="62" s="1"/>
  <c r="K46" i="54"/>
  <c r="AF46" i="62" s="1"/>
  <c r="A47" i="54"/>
  <c r="J47" i="54"/>
  <c r="A48" i="54"/>
  <c r="J48" i="54"/>
  <c r="AF23" i="62" s="1"/>
  <c r="A49" i="54"/>
  <c r="J49" i="54"/>
  <c r="AF24" i="62" s="1"/>
  <c r="K49" i="54"/>
  <c r="AF49" i="62" s="1"/>
  <c r="A50" i="54"/>
  <c r="J50" i="54"/>
  <c r="A51" i="54"/>
  <c r="J51" i="54"/>
  <c r="AF26" i="62" s="1"/>
  <c r="K51" i="54"/>
  <c r="AF51" i="62" s="1"/>
  <c r="A52" i="54"/>
  <c r="J52" i="54"/>
  <c r="AF27" i="62" s="1"/>
  <c r="L6" i="54"/>
  <c r="AF8" i="15" s="1"/>
  <c r="M6" i="54"/>
  <c r="AF8" i="14" s="1"/>
  <c r="L7" i="54"/>
  <c r="AF9" i="15" s="1"/>
  <c r="M7" i="54"/>
  <c r="AF9" i="14" s="1"/>
  <c r="L8" i="54"/>
  <c r="AF10" i="15" s="1"/>
  <c r="M8" i="54"/>
  <c r="AF10" i="14" s="1"/>
  <c r="L9" i="54"/>
  <c r="AF11" i="15" s="1"/>
  <c r="M9" i="54"/>
  <c r="AF11" i="14" s="1"/>
  <c r="L10" i="54"/>
  <c r="AF12" i="15" s="1"/>
  <c r="M10" i="54"/>
  <c r="AF12" i="14" s="1"/>
  <c r="K11" i="54"/>
  <c r="AF13" i="13" s="1"/>
  <c r="L11" i="54"/>
  <c r="AF13" i="15" s="1"/>
  <c r="M11" i="54"/>
  <c r="AF13" i="14" s="1"/>
  <c r="L12" i="54"/>
  <c r="AF14" i="15" s="1"/>
  <c r="M12" i="54"/>
  <c r="AF14" i="14" s="1"/>
  <c r="L13" i="54"/>
  <c r="AF15" i="15" s="1"/>
  <c r="M13" i="54"/>
  <c r="AF15" i="14" s="1"/>
  <c r="L14" i="54"/>
  <c r="AF16" i="15" s="1"/>
  <c r="M14" i="54"/>
  <c r="AF16" i="14" s="1"/>
  <c r="L15" i="54"/>
  <c r="AF17" i="15" s="1"/>
  <c r="M15" i="54"/>
  <c r="AF17" i="14" s="1"/>
  <c r="L16" i="54"/>
  <c r="AF18" i="15" s="1"/>
  <c r="M16" i="54"/>
  <c r="AF18" i="14" s="1"/>
  <c r="L17" i="54"/>
  <c r="AF19" i="15" s="1"/>
  <c r="M17" i="54"/>
  <c r="AF19" i="14" s="1"/>
  <c r="L18" i="54"/>
  <c r="AF20" i="15" s="1"/>
  <c r="M18" i="54"/>
  <c r="AF20" i="14" s="1"/>
  <c r="L19" i="54"/>
  <c r="AF21" i="15" s="1"/>
  <c r="M19" i="54"/>
  <c r="AF21" i="14" s="1"/>
  <c r="L20" i="54"/>
  <c r="AF22" i="15" s="1"/>
  <c r="M20" i="54"/>
  <c r="AF22" i="14" s="1"/>
  <c r="L21" i="54"/>
  <c r="AF23" i="15" s="1"/>
  <c r="M21" i="54"/>
  <c r="AF23" i="14" s="1"/>
  <c r="L22" i="54"/>
  <c r="AF24" i="15" s="1"/>
  <c r="M22" i="54"/>
  <c r="AF24" i="14" s="1"/>
  <c r="L23" i="54"/>
  <c r="AF25" i="15" s="1"/>
  <c r="M23" i="54"/>
  <c r="AF25" i="14" s="1"/>
  <c r="L24" i="54"/>
  <c r="AF26" i="15" s="1"/>
  <c r="M24" i="54"/>
  <c r="AF26" i="14" s="1"/>
  <c r="K25" i="54"/>
  <c r="AF27" i="13" s="1"/>
  <c r="L25" i="54"/>
  <c r="AF27" i="15" s="1"/>
  <c r="M25" i="54"/>
  <c r="AF27" i="14" s="1"/>
  <c r="A32" i="53"/>
  <c r="J32" i="53"/>
  <c r="K32" i="53" s="1"/>
  <c r="AE32" i="62" s="1"/>
  <c r="A33" i="53"/>
  <c r="J33" i="53"/>
  <c r="A34" i="53"/>
  <c r="J34" i="53"/>
  <c r="AE9" i="62" s="1"/>
  <c r="K7" i="65" s="1"/>
  <c r="K34" i="53"/>
  <c r="AE34" i="62" s="1"/>
  <c r="A35" i="53"/>
  <c r="J35" i="53"/>
  <c r="AE10" i="62" s="1"/>
  <c r="K8" i="65" s="1"/>
  <c r="A36" i="53"/>
  <c r="J36" i="53"/>
  <c r="A37" i="53"/>
  <c r="J37" i="53"/>
  <c r="AE12" i="62" s="1"/>
  <c r="K10" i="65" s="1"/>
  <c r="K37" i="53"/>
  <c r="AE37" i="62" s="1"/>
  <c r="A38" i="53"/>
  <c r="J38" i="53"/>
  <c r="A39" i="53"/>
  <c r="J39" i="53"/>
  <c r="AE14" i="62" s="1"/>
  <c r="K12" i="65" s="1"/>
  <c r="A40" i="53"/>
  <c r="J40" i="53"/>
  <c r="AE15" i="62" s="1"/>
  <c r="K13" i="65" s="1"/>
  <c r="K40" i="53"/>
  <c r="AE40" i="62" s="1"/>
  <c r="A41" i="53"/>
  <c r="J41" i="53"/>
  <c r="A42" i="53"/>
  <c r="J42" i="53"/>
  <c r="AE17" i="62" s="1"/>
  <c r="K15" i="65" s="1"/>
  <c r="A43" i="53"/>
  <c r="J43" i="53"/>
  <c r="AE18" i="62" s="1"/>
  <c r="K16" i="65" s="1"/>
  <c r="A44" i="53"/>
  <c r="J44" i="53"/>
  <c r="AE19" i="62" s="1"/>
  <c r="K17" i="65" s="1"/>
  <c r="K44" i="53"/>
  <c r="AE44" i="62" s="1"/>
  <c r="A45" i="53"/>
  <c r="J45" i="53"/>
  <c r="A46" i="53"/>
  <c r="J46" i="53"/>
  <c r="AE21" i="62" s="1"/>
  <c r="K19" i="65" s="1"/>
  <c r="A47" i="53"/>
  <c r="J47" i="53"/>
  <c r="AE22" i="62" s="1"/>
  <c r="K20" i="65" s="1"/>
  <c r="A48" i="53"/>
  <c r="J48" i="53"/>
  <c r="AE23" i="62" s="1"/>
  <c r="K21" i="65" s="1"/>
  <c r="K48" i="53"/>
  <c r="AE48" i="62" s="1"/>
  <c r="A49" i="53"/>
  <c r="J49" i="53"/>
  <c r="A50" i="53"/>
  <c r="J50" i="53"/>
  <c r="AE25" i="62" s="1"/>
  <c r="K23" i="65" s="1"/>
  <c r="A51" i="53"/>
  <c r="J51" i="53"/>
  <c r="AE26" i="62" s="1"/>
  <c r="K24" i="65" s="1"/>
  <c r="A52" i="53"/>
  <c r="J52" i="53"/>
  <c r="AE27" i="62" s="1"/>
  <c r="K25" i="65" s="1"/>
  <c r="K52" i="53"/>
  <c r="AE52" i="62" s="1"/>
  <c r="L6" i="53"/>
  <c r="AE8" i="15" s="1"/>
  <c r="K6" i="11" s="1"/>
  <c r="M6" i="53"/>
  <c r="AE8" i="14" s="1"/>
  <c r="K6" i="10" s="1"/>
  <c r="L7" i="53"/>
  <c r="AE9" i="15" s="1"/>
  <c r="K7" i="11" s="1"/>
  <c r="M7" i="53"/>
  <c r="AE9" i="14" s="1"/>
  <c r="K7" i="10" s="1"/>
  <c r="L8" i="53"/>
  <c r="AE10" i="15" s="1"/>
  <c r="K8" i="11" s="1"/>
  <c r="M8" i="53"/>
  <c r="AE10" i="14" s="1"/>
  <c r="K8" i="10" s="1"/>
  <c r="L9" i="53"/>
  <c r="AE11" i="15" s="1"/>
  <c r="K9" i="11" s="1"/>
  <c r="M9" i="53"/>
  <c r="AE11" i="14" s="1"/>
  <c r="K9" i="10" s="1"/>
  <c r="L10" i="53"/>
  <c r="AE12" i="15" s="1"/>
  <c r="K10" i="11" s="1"/>
  <c r="M10" i="53"/>
  <c r="AE12" i="14" s="1"/>
  <c r="K10" i="10" s="1"/>
  <c r="K11" i="53"/>
  <c r="AE13" i="13"/>
  <c r="K11" i="9" s="1"/>
  <c r="L11" i="53"/>
  <c r="AE13" i="15" s="1"/>
  <c r="K11" i="11" s="1"/>
  <c r="M11" i="53"/>
  <c r="AE13" i="14" s="1"/>
  <c r="K11" i="10" s="1"/>
  <c r="L12" i="53"/>
  <c r="AE14" i="15" s="1"/>
  <c r="K12" i="11" s="1"/>
  <c r="M12" i="53"/>
  <c r="AE14" i="14" s="1"/>
  <c r="K12" i="10" s="1"/>
  <c r="L13" i="53"/>
  <c r="AE15" i="15" s="1"/>
  <c r="K13" i="11" s="1"/>
  <c r="M13" i="53"/>
  <c r="AE15" i="14" s="1"/>
  <c r="K13" i="10" s="1"/>
  <c r="L14" i="53"/>
  <c r="AE16" i="15" s="1"/>
  <c r="K14" i="11" s="1"/>
  <c r="M14" i="53"/>
  <c r="AE16" i="14" s="1"/>
  <c r="K14" i="10" s="1"/>
  <c r="L15" i="53"/>
  <c r="AE17" i="15" s="1"/>
  <c r="K15" i="11" s="1"/>
  <c r="M15" i="53"/>
  <c r="AE17" i="14" s="1"/>
  <c r="K15" i="10" s="1"/>
  <c r="L16" i="53"/>
  <c r="AE18" i="15" s="1"/>
  <c r="K16" i="11" s="1"/>
  <c r="M16" i="53"/>
  <c r="AE18" i="14" s="1"/>
  <c r="K16" i="10" s="1"/>
  <c r="L17" i="53"/>
  <c r="AE19" i="15" s="1"/>
  <c r="K17" i="11" s="1"/>
  <c r="M17" i="53"/>
  <c r="AE19" i="14" s="1"/>
  <c r="K17" i="10" s="1"/>
  <c r="L18" i="53"/>
  <c r="AE20" i="15" s="1"/>
  <c r="K18" i="11" s="1"/>
  <c r="M18" i="53"/>
  <c r="AE20" i="14" s="1"/>
  <c r="K18" i="10" s="1"/>
  <c r="L19" i="53"/>
  <c r="AE21" i="15" s="1"/>
  <c r="K19" i="11" s="1"/>
  <c r="M19" i="53"/>
  <c r="AE21" i="14" s="1"/>
  <c r="K19" i="10" s="1"/>
  <c r="L20" i="53"/>
  <c r="AE22" i="15" s="1"/>
  <c r="K20" i="11" s="1"/>
  <c r="M20" i="53"/>
  <c r="AE22" i="14" s="1"/>
  <c r="K20" i="10" s="1"/>
  <c r="L21" i="53"/>
  <c r="AE23" i="15" s="1"/>
  <c r="K21" i="11" s="1"/>
  <c r="M21" i="53"/>
  <c r="AE23" i="14" s="1"/>
  <c r="K21" i="10" s="1"/>
  <c r="L22" i="53"/>
  <c r="AE24" i="15" s="1"/>
  <c r="K22" i="11" s="1"/>
  <c r="M22" i="53"/>
  <c r="AE24" i="14" s="1"/>
  <c r="K22" i="10" s="1"/>
  <c r="L23" i="53"/>
  <c r="AE25" i="15" s="1"/>
  <c r="K23" i="11" s="1"/>
  <c r="M23" i="53"/>
  <c r="AE25" i="14" s="1"/>
  <c r="K23" i="10" s="1"/>
  <c r="L24" i="53"/>
  <c r="AE26" i="15" s="1"/>
  <c r="K24" i="11" s="1"/>
  <c r="M24" i="53"/>
  <c r="AE26" i="14" s="1"/>
  <c r="K24" i="10" s="1"/>
  <c r="K25" i="53"/>
  <c r="AE27" i="13"/>
  <c r="K25" i="9" s="1"/>
  <c r="L25" i="53"/>
  <c r="AE27" i="15" s="1"/>
  <c r="K25" i="11" s="1"/>
  <c r="M25" i="53"/>
  <c r="AE27" i="14" s="1"/>
  <c r="K25" i="10" s="1"/>
  <c r="A52" i="52"/>
  <c r="J52" i="52"/>
  <c r="AD27" i="62" s="1"/>
  <c r="J25" i="65" s="1"/>
  <c r="A32" i="52"/>
  <c r="J32" i="52"/>
  <c r="K32" i="52"/>
  <c r="AD32" i="62" s="1"/>
  <c r="A33" i="52"/>
  <c r="J33" i="52"/>
  <c r="A34" i="52"/>
  <c r="J34" i="52"/>
  <c r="AD9" i="62" s="1"/>
  <c r="J7" i="65" s="1"/>
  <c r="K34" i="52"/>
  <c r="AD34" i="62" s="1"/>
  <c r="A35" i="52"/>
  <c r="J35" i="52"/>
  <c r="AD10" i="62" s="1"/>
  <c r="J8" i="65" s="1"/>
  <c r="A36" i="52"/>
  <c r="J36" i="52"/>
  <c r="AD11" i="62" s="1"/>
  <c r="J9" i="65" s="1"/>
  <c r="A37" i="52"/>
  <c r="J37" i="52"/>
  <c r="A38" i="52"/>
  <c r="J38" i="52"/>
  <c r="AD13" i="62" s="1"/>
  <c r="J11" i="65" s="1"/>
  <c r="K38" i="52"/>
  <c r="AD38" i="62" s="1"/>
  <c r="A39" i="52"/>
  <c r="J39" i="52"/>
  <c r="AD14" i="62" s="1"/>
  <c r="J12" i="65" s="1"/>
  <c r="A40" i="52"/>
  <c r="J40" i="52"/>
  <c r="AD15" i="62" s="1"/>
  <c r="J13" i="65" s="1"/>
  <c r="A41" i="52"/>
  <c r="J41" i="52"/>
  <c r="A42" i="52"/>
  <c r="J42" i="52"/>
  <c r="AD17" i="62" s="1"/>
  <c r="J15" i="65" s="1"/>
  <c r="K42" i="52"/>
  <c r="AD42" i="62" s="1"/>
  <c r="A43" i="52"/>
  <c r="J43" i="52"/>
  <c r="AD18" i="62" s="1"/>
  <c r="J16" i="65" s="1"/>
  <c r="A44" i="52"/>
  <c r="J44" i="52"/>
  <c r="AD19" i="62" s="1"/>
  <c r="J17" i="65" s="1"/>
  <c r="A45" i="52"/>
  <c r="J45" i="52"/>
  <c r="A46" i="52"/>
  <c r="J46" i="52"/>
  <c r="AD21" i="62" s="1"/>
  <c r="J19" i="65" s="1"/>
  <c r="K46" i="52"/>
  <c r="AD46" i="62" s="1"/>
  <c r="A47" i="52"/>
  <c r="J47" i="52"/>
  <c r="AD22" i="62" s="1"/>
  <c r="J20" i="65" s="1"/>
  <c r="A48" i="52"/>
  <c r="J48" i="52"/>
  <c r="AD23" i="62" s="1"/>
  <c r="J21" i="65" s="1"/>
  <c r="A49" i="52"/>
  <c r="J49" i="52"/>
  <c r="A50" i="52"/>
  <c r="J50" i="52"/>
  <c r="AD25" i="62" s="1"/>
  <c r="J23" i="65" s="1"/>
  <c r="K50" i="52"/>
  <c r="AD50" i="62" s="1"/>
  <c r="A51" i="52"/>
  <c r="J51" i="52"/>
  <c r="AD26" i="62" s="1"/>
  <c r="J24" i="65" s="1"/>
  <c r="L6" i="52"/>
  <c r="AD8" i="15" s="1"/>
  <c r="J6" i="11" s="1"/>
  <c r="M6" i="52"/>
  <c r="AD8" i="14" s="1"/>
  <c r="J6" i="10" s="1"/>
  <c r="L7" i="52"/>
  <c r="AD9" i="15" s="1"/>
  <c r="J7" i="11" s="1"/>
  <c r="M7" i="52"/>
  <c r="AD9" i="14" s="1"/>
  <c r="J7" i="10" s="1"/>
  <c r="L8" i="52"/>
  <c r="AD10" i="15" s="1"/>
  <c r="J8" i="11" s="1"/>
  <c r="M8" i="52"/>
  <c r="AD10" i="14" s="1"/>
  <c r="J8" i="10" s="1"/>
  <c r="L9" i="52"/>
  <c r="AD11" i="15" s="1"/>
  <c r="J9" i="11" s="1"/>
  <c r="M9" i="52"/>
  <c r="AD11" i="14" s="1"/>
  <c r="J9" i="10" s="1"/>
  <c r="L10" i="52"/>
  <c r="AD12" i="15" s="1"/>
  <c r="J10" i="11" s="1"/>
  <c r="M10" i="52"/>
  <c r="AD12" i="14" s="1"/>
  <c r="J10" i="10" s="1"/>
  <c r="K11" i="52"/>
  <c r="AD13" i="13" s="1"/>
  <c r="J11" i="9" s="1"/>
  <c r="L11" i="52"/>
  <c r="AD13" i="15" s="1"/>
  <c r="J11" i="11" s="1"/>
  <c r="M11" i="52"/>
  <c r="AD13" i="14" s="1"/>
  <c r="J11" i="10" s="1"/>
  <c r="L12" i="52"/>
  <c r="AD14" i="15" s="1"/>
  <c r="J12" i="11" s="1"/>
  <c r="M12" i="52"/>
  <c r="AD14" i="14" s="1"/>
  <c r="J12" i="10" s="1"/>
  <c r="L13" i="52"/>
  <c r="AD15" i="15" s="1"/>
  <c r="J13" i="11" s="1"/>
  <c r="M13" i="52"/>
  <c r="AD15" i="14" s="1"/>
  <c r="J13" i="10" s="1"/>
  <c r="L14" i="52"/>
  <c r="AD16" i="15" s="1"/>
  <c r="J14" i="11" s="1"/>
  <c r="M14" i="52"/>
  <c r="AD16" i="14" s="1"/>
  <c r="J14" i="10" s="1"/>
  <c r="L15" i="52"/>
  <c r="AD17" i="15" s="1"/>
  <c r="J15" i="11" s="1"/>
  <c r="M15" i="52"/>
  <c r="AD17" i="14" s="1"/>
  <c r="J15" i="10" s="1"/>
  <c r="L16" i="52"/>
  <c r="AD18" i="15" s="1"/>
  <c r="J16" i="11" s="1"/>
  <c r="M16" i="52"/>
  <c r="AD18" i="14" s="1"/>
  <c r="J16" i="10" s="1"/>
  <c r="L17" i="52"/>
  <c r="AD19" i="15" s="1"/>
  <c r="J17" i="11" s="1"/>
  <c r="M17" i="52"/>
  <c r="AD19" i="14" s="1"/>
  <c r="J17" i="10" s="1"/>
  <c r="L18" i="52"/>
  <c r="AD20" i="15" s="1"/>
  <c r="J18" i="11" s="1"/>
  <c r="M18" i="52"/>
  <c r="AD20" i="14" s="1"/>
  <c r="J18" i="10" s="1"/>
  <c r="L19" i="52"/>
  <c r="AD21" i="15" s="1"/>
  <c r="J19" i="11" s="1"/>
  <c r="M19" i="52"/>
  <c r="AD21" i="14" s="1"/>
  <c r="J19" i="10" s="1"/>
  <c r="L20" i="52"/>
  <c r="AD22" i="15" s="1"/>
  <c r="J20" i="11" s="1"/>
  <c r="M20" i="52"/>
  <c r="AD22" i="14" s="1"/>
  <c r="J20" i="10" s="1"/>
  <c r="L21" i="52"/>
  <c r="AD23" i="15" s="1"/>
  <c r="J21" i="11" s="1"/>
  <c r="M21" i="52"/>
  <c r="AD23" i="14" s="1"/>
  <c r="J21" i="10" s="1"/>
  <c r="L22" i="52"/>
  <c r="AD24" i="15" s="1"/>
  <c r="J22" i="11" s="1"/>
  <c r="M22" i="52"/>
  <c r="AD24" i="14" s="1"/>
  <c r="J22" i="10" s="1"/>
  <c r="L23" i="52"/>
  <c r="AD25" i="15" s="1"/>
  <c r="J23" i="11" s="1"/>
  <c r="M23" i="52"/>
  <c r="AD25" i="14" s="1"/>
  <c r="J23" i="10" s="1"/>
  <c r="L24" i="52"/>
  <c r="AD26" i="15" s="1"/>
  <c r="J24" i="11" s="1"/>
  <c r="M24" i="52"/>
  <c r="AD26" i="14" s="1"/>
  <c r="J24" i="10" s="1"/>
  <c r="K25" i="52"/>
  <c r="AD27" i="13" s="1"/>
  <c r="J25" i="9" s="1"/>
  <c r="L25" i="52"/>
  <c r="AD27" i="15" s="1"/>
  <c r="J25" i="11" s="1"/>
  <c r="M25" i="52"/>
  <c r="AD27" i="14" s="1"/>
  <c r="J25" i="10" s="1"/>
  <c r="A32" i="51"/>
  <c r="J32" i="51"/>
  <c r="K32" i="51" s="1"/>
  <c r="AC32" i="62"/>
  <c r="A33" i="51"/>
  <c r="J33" i="51"/>
  <c r="A34" i="51"/>
  <c r="J34" i="51"/>
  <c r="AC9" i="62" s="1"/>
  <c r="I7" i="65" s="1"/>
  <c r="A35" i="51"/>
  <c r="J35" i="51"/>
  <c r="AC10" i="62" s="1"/>
  <c r="I8" i="65" s="1"/>
  <c r="A36" i="51"/>
  <c r="J36" i="51"/>
  <c r="AC11" i="62" s="1"/>
  <c r="I9" i="65" s="1"/>
  <c r="K36" i="51"/>
  <c r="AC36" i="62" s="1"/>
  <c r="A37" i="51"/>
  <c r="J37" i="51"/>
  <c r="A38" i="51"/>
  <c r="J38" i="51"/>
  <c r="AC13" i="62" s="1"/>
  <c r="I11" i="65" s="1"/>
  <c r="A39" i="51"/>
  <c r="J39" i="51"/>
  <c r="AC14" i="62" s="1"/>
  <c r="I12" i="65" s="1"/>
  <c r="A40" i="51"/>
  <c r="J40" i="51"/>
  <c r="AC15" i="62" s="1"/>
  <c r="I13" i="65" s="1"/>
  <c r="K40" i="51"/>
  <c r="AC40" i="62" s="1"/>
  <c r="A41" i="51"/>
  <c r="J41" i="51"/>
  <c r="A42" i="51"/>
  <c r="J42" i="51"/>
  <c r="AC17" i="62" s="1"/>
  <c r="I15" i="65" s="1"/>
  <c r="A43" i="51"/>
  <c r="J43" i="51"/>
  <c r="AC18" i="62" s="1"/>
  <c r="I16" i="65" s="1"/>
  <c r="A44" i="51"/>
  <c r="J44" i="51"/>
  <c r="AC19" i="62" s="1"/>
  <c r="I17" i="65" s="1"/>
  <c r="K44" i="51"/>
  <c r="AC44" i="62" s="1"/>
  <c r="A45" i="51"/>
  <c r="J45" i="51"/>
  <c r="A46" i="51"/>
  <c r="J46" i="51"/>
  <c r="AC21" i="62" s="1"/>
  <c r="I19" i="65" s="1"/>
  <c r="A47" i="51"/>
  <c r="J47" i="51"/>
  <c r="AC22" i="62" s="1"/>
  <c r="I20" i="65" s="1"/>
  <c r="A48" i="51"/>
  <c r="J48" i="51"/>
  <c r="AC23" i="62" s="1"/>
  <c r="I21" i="65" s="1"/>
  <c r="K48" i="51"/>
  <c r="AC48" i="62" s="1"/>
  <c r="A49" i="51"/>
  <c r="J49" i="51"/>
  <c r="A50" i="51"/>
  <c r="J50" i="51"/>
  <c r="AC25" i="62" s="1"/>
  <c r="I23" i="65" s="1"/>
  <c r="A51" i="51"/>
  <c r="J51" i="51"/>
  <c r="AC26" i="62" s="1"/>
  <c r="I24" i="65" s="1"/>
  <c r="A52" i="51"/>
  <c r="J52" i="51"/>
  <c r="AC27" i="62" s="1"/>
  <c r="I25" i="65" s="1"/>
  <c r="K52" i="51"/>
  <c r="AC52" i="62" s="1"/>
  <c r="L6" i="51"/>
  <c r="AC8" i="15" s="1"/>
  <c r="I6" i="11" s="1"/>
  <c r="M6" i="51"/>
  <c r="AC8" i="14" s="1"/>
  <c r="I6" i="10" s="1"/>
  <c r="L7" i="51"/>
  <c r="AC9" i="15" s="1"/>
  <c r="I7" i="11" s="1"/>
  <c r="M7" i="51"/>
  <c r="AC9" i="14" s="1"/>
  <c r="I7" i="10" s="1"/>
  <c r="L8" i="51"/>
  <c r="AC10" i="15" s="1"/>
  <c r="I8" i="11" s="1"/>
  <c r="M8" i="51"/>
  <c r="AC10" i="14" s="1"/>
  <c r="I8" i="10" s="1"/>
  <c r="L9" i="51"/>
  <c r="AC11" i="15" s="1"/>
  <c r="I9" i="11" s="1"/>
  <c r="M9" i="51"/>
  <c r="AC11" i="14" s="1"/>
  <c r="I9" i="10" s="1"/>
  <c r="L10" i="51"/>
  <c r="AC12" i="15" s="1"/>
  <c r="I10" i="11" s="1"/>
  <c r="M10" i="51"/>
  <c r="AC12" i="14" s="1"/>
  <c r="I10" i="10" s="1"/>
  <c r="K11" i="51"/>
  <c r="AC13" i="13"/>
  <c r="I11" i="9" s="1"/>
  <c r="L11" i="51"/>
  <c r="AC13" i="15" s="1"/>
  <c r="I11" i="11" s="1"/>
  <c r="M11" i="51"/>
  <c r="AC13" i="14" s="1"/>
  <c r="I11" i="10" s="1"/>
  <c r="L12" i="51"/>
  <c r="AC14" i="15" s="1"/>
  <c r="I12" i="11" s="1"/>
  <c r="M12" i="51"/>
  <c r="AC14" i="14" s="1"/>
  <c r="I12" i="10" s="1"/>
  <c r="L13" i="51"/>
  <c r="AC15" i="15" s="1"/>
  <c r="I13" i="11" s="1"/>
  <c r="M13" i="51"/>
  <c r="AC15" i="14" s="1"/>
  <c r="I13" i="10" s="1"/>
  <c r="L14" i="51"/>
  <c r="AC16" i="15" s="1"/>
  <c r="I14" i="11" s="1"/>
  <c r="M14" i="51"/>
  <c r="AC16" i="14" s="1"/>
  <c r="I14" i="10" s="1"/>
  <c r="L15" i="51"/>
  <c r="AC17" i="15" s="1"/>
  <c r="I15" i="11" s="1"/>
  <c r="M15" i="51"/>
  <c r="AC17" i="14" s="1"/>
  <c r="I15" i="10" s="1"/>
  <c r="L16" i="51"/>
  <c r="AC18" i="15" s="1"/>
  <c r="I16" i="11" s="1"/>
  <c r="M16" i="51"/>
  <c r="AC18" i="14" s="1"/>
  <c r="I16" i="10" s="1"/>
  <c r="L17" i="51"/>
  <c r="AC19" i="15" s="1"/>
  <c r="I17" i="11" s="1"/>
  <c r="M17" i="51"/>
  <c r="AC19" i="14" s="1"/>
  <c r="I17" i="10" s="1"/>
  <c r="L18" i="51"/>
  <c r="AC20" i="15" s="1"/>
  <c r="I18" i="11" s="1"/>
  <c r="M18" i="51"/>
  <c r="AC20" i="14" s="1"/>
  <c r="I18" i="10" s="1"/>
  <c r="L19" i="51"/>
  <c r="AC21" i="15" s="1"/>
  <c r="I19" i="11" s="1"/>
  <c r="M19" i="51"/>
  <c r="AC21" i="14" s="1"/>
  <c r="I19" i="10" s="1"/>
  <c r="L20" i="51"/>
  <c r="AC22" i="15" s="1"/>
  <c r="I20" i="11" s="1"/>
  <c r="M20" i="51"/>
  <c r="AC22" i="14" s="1"/>
  <c r="I20" i="10" s="1"/>
  <c r="L21" i="51"/>
  <c r="AC23" i="15" s="1"/>
  <c r="I21" i="11" s="1"/>
  <c r="M21" i="51"/>
  <c r="AC23" i="14" s="1"/>
  <c r="I21" i="10" s="1"/>
  <c r="L22" i="51"/>
  <c r="AC24" i="15" s="1"/>
  <c r="I22" i="11" s="1"/>
  <c r="M22" i="51"/>
  <c r="AC24" i="14" s="1"/>
  <c r="I22" i="10" s="1"/>
  <c r="L23" i="51"/>
  <c r="AC25" i="15" s="1"/>
  <c r="I23" i="11" s="1"/>
  <c r="M23" i="51"/>
  <c r="AC25" i="14" s="1"/>
  <c r="I23" i="10" s="1"/>
  <c r="L24" i="51"/>
  <c r="AC26" i="15" s="1"/>
  <c r="I24" i="11" s="1"/>
  <c r="M24" i="51"/>
  <c r="AC26" i="14" s="1"/>
  <c r="I24" i="10" s="1"/>
  <c r="K25" i="51"/>
  <c r="AC27" i="13"/>
  <c r="I25" i="9" s="1"/>
  <c r="L25" i="51"/>
  <c r="AC27" i="15" s="1"/>
  <c r="I25" i="11" s="1"/>
  <c r="M25" i="51"/>
  <c r="AC27" i="14" s="1"/>
  <c r="I25" i="10" s="1"/>
  <c r="A32" i="50"/>
  <c r="J32" i="50"/>
  <c r="K32" i="50" s="1"/>
  <c r="AB32" i="62" s="1"/>
  <c r="A33" i="50"/>
  <c r="J33" i="50"/>
  <c r="AB8" i="62" s="1"/>
  <c r="H6" i="65" s="1"/>
  <c r="A34" i="50"/>
  <c r="J34" i="50"/>
  <c r="AB9" i="62" s="1"/>
  <c r="H7" i="65" s="1"/>
  <c r="K34" i="50"/>
  <c r="AB34" i="62" s="1"/>
  <c r="A35" i="50"/>
  <c r="J35" i="50"/>
  <c r="A36" i="50"/>
  <c r="J36" i="50"/>
  <c r="AB11" i="62" s="1"/>
  <c r="H9" i="65" s="1"/>
  <c r="A37" i="50"/>
  <c r="J37" i="50"/>
  <c r="AB12" i="62" s="1"/>
  <c r="H10" i="65" s="1"/>
  <c r="A38" i="50"/>
  <c r="J38" i="50"/>
  <c r="AB13" i="62" s="1"/>
  <c r="H11" i="65" s="1"/>
  <c r="K38" i="50"/>
  <c r="AB38" i="62" s="1"/>
  <c r="A39" i="50"/>
  <c r="J39" i="50"/>
  <c r="A40" i="50"/>
  <c r="J40" i="50"/>
  <c r="AB15" i="62" s="1"/>
  <c r="H13" i="65" s="1"/>
  <c r="A41" i="50"/>
  <c r="J41" i="50"/>
  <c r="AB16" i="62" s="1"/>
  <c r="H14" i="65" s="1"/>
  <c r="A42" i="50"/>
  <c r="J42" i="50"/>
  <c r="AB17" i="62" s="1"/>
  <c r="H15" i="65" s="1"/>
  <c r="K42" i="50"/>
  <c r="AB42" i="62" s="1"/>
  <c r="A43" i="50"/>
  <c r="J43" i="50"/>
  <c r="A44" i="50"/>
  <c r="J44" i="50"/>
  <c r="AB19" i="62" s="1"/>
  <c r="H17" i="65" s="1"/>
  <c r="A45" i="50"/>
  <c r="J45" i="50"/>
  <c r="AB20" i="62" s="1"/>
  <c r="H18" i="65" s="1"/>
  <c r="A46" i="50"/>
  <c r="J46" i="50"/>
  <c r="AB21" i="62" s="1"/>
  <c r="H19" i="65" s="1"/>
  <c r="K46" i="50"/>
  <c r="AB46" i="62" s="1"/>
  <c r="A47" i="50"/>
  <c r="J47" i="50"/>
  <c r="A48" i="50"/>
  <c r="J48" i="50"/>
  <c r="AB23" i="62" s="1"/>
  <c r="H21" i="65" s="1"/>
  <c r="A49" i="50"/>
  <c r="J49" i="50"/>
  <c r="AB24" i="62" s="1"/>
  <c r="H22" i="65" s="1"/>
  <c r="A50" i="50"/>
  <c r="J50" i="50"/>
  <c r="AB25" i="62" s="1"/>
  <c r="H23" i="65" s="1"/>
  <c r="K50" i="50"/>
  <c r="AB50" i="62" s="1"/>
  <c r="A51" i="50"/>
  <c r="J51" i="50"/>
  <c r="A52" i="50"/>
  <c r="J52" i="50"/>
  <c r="AB27" i="62" s="1"/>
  <c r="H25" i="65" s="1"/>
  <c r="L6" i="50"/>
  <c r="AB8" i="15" s="1"/>
  <c r="H6" i="11" s="1"/>
  <c r="M6" i="50"/>
  <c r="AB8" i="14" s="1"/>
  <c r="H6" i="10" s="1"/>
  <c r="L7" i="50"/>
  <c r="AB9" i="15" s="1"/>
  <c r="H7" i="11" s="1"/>
  <c r="M7" i="50"/>
  <c r="AB9" i="14" s="1"/>
  <c r="H7" i="10" s="1"/>
  <c r="L8" i="50"/>
  <c r="AB10" i="15" s="1"/>
  <c r="H8" i="11" s="1"/>
  <c r="M8" i="50"/>
  <c r="AB10" i="14" s="1"/>
  <c r="H8" i="10" s="1"/>
  <c r="L9" i="50"/>
  <c r="AB11" i="15" s="1"/>
  <c r="H9" i="11" s="1"/>
  <c r="M9" i="50"/>
  <c r="AB11" i="14" s="1"/>
  <c r="H9" i="10" s="1"/>
  <c r="L10" i="50"/>
  <c r="AB12" i="15" s="1"/>
  <c r="H10" i="11" s="1"/>
  <c r="M10" i="50"/>
  <c r="AB12" i="14" s="1"/>
  <c r="H10" i="10" s="1"/>
  <c r="K11" i="50"/>
  <c r="AB13" i="13" s="1"/>
  <c r="H11" i="9" s="1"/>
  <c r="L11" i="50"/>
  <c r="AB13" i="15" s="1"/>
  <c r="H11" i="11" s="1"/>
  <c r="M11" i="50"/>
  <c r="AB13" i="14" s="1"/>
  <c r="H11" i="10" s="1"/>
  <c r="L12" i="50"/>
  <c r="AB14" i="15" s="1"/>
  <c r="H12" i="11" s="1"/>
  <c r="M12" i="50"/>
  <c r="AB14" i="14" s="1"/>
  <c r="H12" i="10" s="1"/>
  <c r="L13" i="50"/>
  <c r="AB15" i="15" s="1"/>
  <c r="H13" i="11" s="1"/>
  <c r="M13" i="50"/>
  <c r="AB15" i="14" s="1"/>
  <c r="H13" i="10" s="1"/>
  <c r="L14" i="50"/>
  <c r="AB16" i="15" s="1"/>
  <c r="H14" i="11" s="1"/>
  <c r="M14" i="50"/>
  <c r="AB16" i="14" s="1"/>
  <c r="H14" i="10" s="1"/>
  <c r="L15" i="50"/>
  <c r="AB17" i="15" s="1"/>
  <c r="H15" i="11" s="1"/>
  <c r="M15" i="50"/>
  <c r="AB17" i="14" s="1"/>
  <c r="H15" i="10" s="1"/>
  <c r="L16" i="50"/>
  <c r="AB18" i="15" s="1"/>
  <c r="H16" i="11" s="1"/>
  <c r="M16" i="50"/>
  <c r="AB18" i="14" s="1"/>
  <c r="H16" i="10" s="1"/>
  <c r="L17" i="50"/>
  <c r="AB19" i="15" s="1"/>
  <c r="H17" i="11" s="1"/>
  <c r="M17" i="50"/>
  <c r="AB19" i="14" s="1"/>
  <c r="H17" i="10" s="1"/>
  <c r="L18" i="50"/>
  <c r="AB20" i="15" s="1"/>
  <c r="H18" i="11" s="1"/>
  <c r="M18" i="50"/>
  <c r="AB20" i="14" s="1"/>
  <c r="H18" i="10" s="1"/>
  <c r="L19" i="50"/>
  <c r="AB21" i="15" s="1"/>
  <c r="H19" i="11" s="1"/>
  <c r="M19" i="50"/>
  <c r="AB21" i="14" s="1"/>
  <c r="H19" i="10" s="1"/>
  <c r="L20" i="50"/>
  <c r="AB22" i="15" s="1"/>
  <c r="H20" i="11" s="1"/>
  <c r="M20" i="50"/>
  <c r="AB22" i="14" s="1"/>
  <c r="H20" i="10" s="1"/>
  <c r="L21" i="50"/>
  <c r="AB23" i="15" s="1"/>
  <c r="H21" i="11" s="1"/>
  <c r="M21" i="50"/>
  <c r="AB23" i="14" s="1"/>
  <c r="H21" i="10" s="1"/>
  <c r="L22" i="50"/>
  <c r="AB24" i="15" s="1"/>
  <c r="H22" i="11" s="1"/>
  <c r="M22" i="50"/>
  <c r="AB24" i="14" s="1"/>
  <c r="H22" i="10" s="1"/>
  <c r="L23" i="50"/>
  <c r="AB25" i="15" s="1"/>
  <c r="H23" i="11" s="1"/>
  <c r="M23" i="50"/>
  <c r="AB25" i="14" s="1"/>
  <c r="H23" i="10" s="1"/>
  <c r="L24" i="50"/>
  <c r="AB26" i="15" s="1"/>
  <c r="H24" i="11" s="1"/>
  <c r="M24" i="50"/>
  <c r="AB26" i="14" s="1"/>
  <c r="H24" i="10" s="1"/>
  <c r="K25" i="50"/>
  <c r="AB27" i="13" s="1"/>
  <c r="H25" i="9" s="1"/>
  <c r="L25" i="50"/>
  <c r="AB27" i="15" s="1"/>
  <c r="H25" i="11" s="1"/>
  <c r="M25" i="50"/>
  <c r="AB27" i="14" s="1"/>
  <c r="H25" i="10" s="1"/>
  <c r="A32" i="49"/>
  <c r="J32" i="49"/>
  <c r="K32" i="49"/>
  <c r="AA32" i="62" s="1"/>
  <c r="A33" i="49"/>
  <c r="J33" i="49"/>
  <c r="AA8" i="62" s="1"/>
  <c r="G6" i="65" s="1"/>
  <c r="K33" i="49"/>
  <c r="AA33" i="62" s="1"/>
  <c r="A34" i="49"/>
  <c r="J34" i="49"/>
  <c r="AA9" i="62" s="1"/>
  <c r="G7" i="65" s="1"/>
  <c r="N7" i="65" s="1"/>
  <c r="A35" i="49"/>
  <c r="J35" i="49"/>
  <c r="AA10" i="62" s="1"/>
  <c r="G8" i="65" s="1"/>
  <c r="A36" i="49"/>
  <c r="J36" i="49"/>
  <c r="A37" i="49"/>
  <c r="J37" i="49"/>
  <c r="AA12" i="62" s="1"/>
  <c r="G10" i="65" s="1"/>
  <c r="K37" i="49"/>
  <c r="AA37" i="62" s="1"/>
  <c r="A38" i="49"/>
  <c r="J38" i="49"/>
  <c r="AA13" i="62" s="1"/>
  <c r="G11" i="65" s="1"/>
  <c r="A39" i="49"/>
  <c r="J39" i="49"/>
  <c r="AA14" i="62" s="1"/>
  <c r="G12" i="65" s="1"/>
  <c r="A40" i="49"/>
  <c r="J40" i="49"/>
  <c r="A41" i="49"/>
  <c r="J41" i="49"/>
  <c r="AA16" i="62" s="1"/>
  <c r="G14" i="65" s="1"/>
  <c r="K41" i="49"/>
  <c r="AA41" i="62" s="1"/>
  <c r="A42" i="49"/>
  <c r="J42" i="49"/>
  <c r="AA17" i="62" s="1"/>
  <c r="G15" i="65" s="1"/>
  <c r="N15" i="65" s="1"/>
  <c r="A43" i="49"/>
  <c r="J43" i="49"/>
  <c r="AA18" i="62" s="1"/>
  <c r="G16" i="65" s="1"/>
  <c r="A44" i="49"/>
  <c r="J44" i="49"/>
  <c r="A45" i="49"/>
  <c r="J45" i="49"/>
  <c r="AA20" i="62" s="1"/>
  <c r="G18" i="65" s="1"/>
  <c r="K45" i="49"/>
  <c r="AA45" i="62" s="1"/>
  <c r="A46" i="49"/>
  <c r="J46" i="49"/>
  <c r="AA21" i="62" s="1"/>
  <c r="G19" i="65" s="1"/>
  <c r="N19" i="65" s="1"/>
  <c r="A47" i="49"/>
  <c r="J47" i="49"/>
  <c r="AA22" i="62" s="1"/>
  <c r="G20" i="65" s="1"/>
  <c r="A48" i="49"/>
  <c r="J48" i="49"/>
  <c r="A49" i="49"/>
  <c r="J49" i="49"/>
  <c r="AA24" i="62" s="1"/>
  <c r="G22" i="65" s="1"/>
  <c r="K49" i="49"/>
  <c r="AA49" i="62" s="1"/>
  <c r="A50" i="49"/>
  <c r="J50" i="49"/>
  <c r="AA25" i="62" s="1"/>
  <c r="G23" i="65" s="1"/>
  <c r="N23" i="65" s="1"/>
  <c r="A51" i="49"/>
  <c r="J51" i="49"/>
  <c r="AA26" i="62" s="1"/>
  <c r="G24" i="65" s="1"/>
  <c r="A52" i="49"/>
  <c r="J52" i="49"/>
  <c r="L6" i="49"/>
  <c r="AA8" i="15" s="1"/>
  <c r="G6" i="11" s="1"/>
  <c r="N6" i="11" s="1"/>
  <c r="M6" i="49"/>
  <c r="AA8" i="14" s="1"/>
  <c r="G6" i="10" s="1"/>
  <c r="L7" i="49"/>
  <c r="AA9" i="15" s="1"/>
  <c r="G7" i="11" s="1"/>
  <c r="N7" i="11" s="1"/>
  <c r="M7" i="49"/>
  <c r="AA9" i="14" s="1"/>
  <c r="G7" i="10" s="1"/>
  <c r="L8" i="49"/>
  <c r="AA10" i="15" s="1"/>
  <c r="G8" i="11" s="1"/>
  <c r="N8" i="11" s="1"/>
  <c r="M8" i="49"/>
  <c r="AA10" i="14" s="1"/>
  <c r="G8" i="10" s="1"/>
  <c r="L9" i="49"/>
  <c r="AA11" i="15" s="1"/>
  <c r="G9" i="11" s="1"/>
  <c r="N9" i="11" s="1"/>
  <c r="M9" i="49"/>
  <c r="AA11" i="14" s="1"/>
  <c r="G9" i="10" s="1"/>
  <c r="L10" i="49"/>
  <c r="AA12" i="15" s="1"/>
  <c r="G10" i="11" s="1"/>
  <c r="N10" i="11" s="1"/>
  <c r="M10" i="49"/>
  <c r="AA12" i="14" s="1"/>
  <c r="G10" i="10" s="1"/>
  <c r="K11" i="49"/>
  <c r="AA13" i="13" s="1"/>
  <c r="G11" i="9" s="1"/>
  <c r="L11" i="49"/>
  <c r="AA13" i="15" s="1"/>
  <c r="G11" i="11" s="1"/>
  <c r="M11" i="49"/>
  <c r="AA13" i="14" s="1"/>
  <c r="G11" i="10" s="1"/>
  <c r="L12" i="49"/>
  <c r="AA14" i="15" s="1"/>
  <c r="G12" i="11" s="1"/>
  <c r="N12" i="11" s="1"/>
  <c r="M12" i="49"/>
  <c r="AA14" i="14" s="1"/>
  <c r="G12" i="10" s="1"/>
  <c r="L13" i="49"/>
  <c r="AA15" i="15" s="1"/>
  <c r="G13" i="11" s="1"/>
  <c r="M13" i="49"/>
  <c r="AA15" i="14" s="1"/>
  <c r="G13" i="10" s="1"/>
  <c r="L14" i="49"/>
  <c r="AA16" i="15" s="1"/>
  <c r="G14" i="11" s="1"/>
  <c r="N14" i="11" s="1"/>
  <c r="M14" i="49"/>
  <c r="AA16" i="14" s="1"/>
  <c r="G14" i="10" s="1"/>
  <c r="L15" i="49"/>
  <c r="AA17" i="15" s="1"/>
  <c r="G15" i="11" s="1"/>
  <c r="M15" i="49"/>
  <c r="AA17" i="14" s="1"/>
  <c r="G15" i="10" s="1"/>
  <c r="L16" i="49"/>
  <c r="AA18" i="15" s="1"/>
  <c r="G16" i="11" s="1"/>
  <c r="N16" i="11" s="1"/>
  <c r="M16" i="49"/>
  <c r="AA18" i="14" s="1"/>
  <c r="G16" i="10" s="1"/>
  <c r="L17" i="49"/>
  <c r="AA19" i="15" s="1"/>
  <c r="G17" i="11" s="1"/>
  <c r="M17" i="49"/>
  <c r="AA19" i="14" s="1"/>
  <c r="G17" i="10" s="1"/>
  <c r="L18" i="49"/>
  <c r="AA20" i="15" s="1"/>
  <c r="G18" i="11" s="1"/>
  <c r="N18" i="11" s="1"/>
  <c r="M18" i="49"/>
  <c r="AA20" i="14" s="1"/>
  <c r="G18" i="10" s="1"/>
  <c r="L19" i="49"/>
  <c r="AA21" i="15" s="1"/>
  <c r="G19" i="11" s="1"/>
  <c r="M19" i="49"/>
  <c r="AA21" i="14" s="1"/>
  <c r="G19" i="10" s="1"/>
  <c r="L20" i="49"/>
  <c r="AA22" i="15" s="1"/>
  <c r="G20" i="11" s="1"/>
  <c r="N20" i="11" s="1"/>
  <c r="M20" i="49"/>
  <c r="AA22" i="14" s="1"/>
  <c r="G20" i="10" s="1"/>
  <c r="L21" i="49"/>
  <c r="AA23" i="15" s="1"/>
  <c r="G21" i="11" s="1"/>
  <c r="M21" i="49"/>
  <c r="AA23" i="14" s="1"/>
  <c r="G21" i="10" s="1"/>
  <c r="L22" i="49"/>
  <c r="AA24" i="15" s="1"/>
  <c r="G22" i="11" s="1"/>
  <c r="N22" i="11" s="1"/>
  <c r="M22" i="49"/>
  <c r="AA24" i="14" s="1"/>
  <c r="G22" i="10" s="1"/>
  <c r="L23" i="49"/>
  <c r="AA25" i="15" s="1"/>
  <c r="G23" i="11" s="1"/>
  <c r="M23" i="49"/>
  <c r="AA25" i="14" s="1"/>
  <c r="G23" i="10" s="1"/>
  <c r="L24" i="49"/>
  <c r="AA26" i="15" s="1"/>
  <c r="G24" i="11" s="1"/>
  <c r="N24" i="11" s="1"/>
  <c r="M24" i="49"/>
  <c r="AA26" i="14" s="1"/>
  <c r="G24" i="10" s="1"/>
  <c r="K25" i="49"/>
  <c r="AA27" i="13" s="1"/>
  <c r="G25" i="9" s="1"/>
  <c r="L25" i="49"/>
  <c r="AA27" i="15" s="1"/>
  <c r="G25" i="11" s="1"/>
  <c r="M25" i="49"/>
  <c r="AA27" i="14" s="1"/>
  <c r="G25" i="10" s="1"/>
  <c r="A32" i="48"/>
  <c r="J32" i="48"/>
  <c r="K32" i="48" s="1"/>
  <c r="Z32" i="62" s="1"/>
  <c r="A33" i="48"/>
  <c r="J33" i="48"/>
  <c r="Z8" i="62" s="1"/>
  <c r="F6" i="65" s="1"/>
  <c r="A34" i="48"/>
  <c r="J34" i="48"/>
  <c r="A35" i="48"/>
  <c r="J35" i="48"/>
  <c r="Z10" i="62" s="1"/>
  <c r="F8" i="65" s="1"/>
  <c r="K35" i="48"/>
  <c r="Z35" i="62" s="1"/>
  <c r="A36" i="48"/>
  <c r="J36" i="48"/>
  <c r="Z11" i="62" s="1"/>
  <c r="F9" i="65" s="1"/>
  <c r="A37" i="48"/>
  <c r="J37" i="48"/>
  <c r="Z12" i="62" s="1"/>
  <c r="F10" i="65" s="1"/>
  <c r="A38" i="48"/>
  <c r="J38" i="48"/>
  <c r="A39" i="48"/>
  <c r="J39" i="48"/>
  <c r="Z14" i="62" s="1"/>
  <c r="F12" i="65" s="1"/>
  <c r="K39" i="48"/>
  <c r="Z39" i="62" s="1"/>
  <c r="A40" i="48"/>
  <c r="J40" i="48"/>
  <c r="Z15" i="62" s="1"/>
  <c r="F13" i="65" s="1"/>
  <c r="A41" i="48"/>
  <c r="J41" i="48"/>
  <c r="Z16" i="62" s="1"/>
  <c r="F14" i="65" s="1"/>
  <c r="A42" i="48"/>
  <c r="J42" i="48"/>
  <c r="A43" i="48"/>
  <c r="J43" i="48"/>
  <c r="Z18" i="62" s="1"/>
  <c r="F16" i="65" s="1"/>
  <c r="K43" i="48"/>
  <c r="Z43" i="62" s="1"/>
  <c r="A44" i="48"/>
  <c r="J44" i="48"/>
  <c r="Z19" i="62" s="1"/>
  <c r="F17" i="65" s="1"/>
  <c r="A45" i="48"/>
  <c r="J45" i="48"/>
  <c r="Z20" i="62" s="1"/>
  <c r="F18" i="65" s="1"/>
  <c r="A46" i="48"/>
  <c r="J46" i="48"/>
  <c r="A47" i="48"/>
  <c r="J47" i="48"/>
  <c r="Z22" i="62" s="1"/>
  <c r="F20" i="65" s="1"/>
  <c r="K47" i="48"/>
  <c r="Z47" i="62" s="1"/>
  <c r="A48" i="48"/>
  <c r="J48" i="48"/>
  <c r="Z23" i="62" s="1"/>
  <c r="F21" i="65" s="1"/>
  <c r="A49" i="48"/>
  <c r="J49" i="48"/>
  <c r="Z24" i="62" s="1"/>
  <c r="F22" i="65" s="1"/>
  <c r="A50" i="48"/>
  <c r="J50" i="48"/>
  <c r="A51" i="48"/>
  <c r="J51" i="48"/>
  <c r="Z26" i="62" s="1"/>
  <c r="F24" i="65" s="1"/>
  <c r="K51" i="48"/>
  <c r="Z51" i="62" s="1"/>
  <c r="A52" i="48"/>
  <c r="J52" i="48"/>
  <c r="Z27" i="62" s="1"/>
  <c r="F25" i="65" s="1"/>
  <c r="K25" i="48"/>
  <c r="Z27" i="13"/>
  <c r="F25" i="9" s="1"/>
  <c r="L25" i="48"/>
  <c r="Z27" i="15" s="1"/>
  <c r="F25" i="11" s="1"/>
  <c r="M25" i="48"/>
  <c r="Z27" i="14" s="1"/>
  <c r="F25" i="10" s="1"/>
  <c r="L6" i="48"/>
  <c r="Z8" i="15" s="1"/>
  <c r="F6" i="11" s="1"/>
  <c r="M6" i="48"/>
  <c r="Z8" i="14" s="1"/>
  <c r="F6" i="10" s="1"/>
  <c r="L7" i="48"/>
  <c r="Z9" i="15" s="1"/>
  <c r="F7" i="11" s="1"/>
  <c r="M7" i="48"/>
  <c r="Z9" i="14" s="1"/>
  <c r="F7" i="10" s="1"/>
  <c r="L8" i="48"/>
  <c r="Z10" i="15" s="1"/>
  <c r="F8" i="11" s="1"/>
  <c r="M8" i="48"/>
  <c r="Z10" i="14" s="1"/>
  <c r="F8" i="10" s="1"/>
  <c r="L9" i="48"/>
  <c r="Z11" i="15" s="1"/>
  <c r="F9" i="11" s="1"/>
  <c r="M9" i="48"/>
  <c r="Z11" i="14" s="1"/>
  <c r="F9" i="10" s="1"/>
  <c r="L10" i="48"/>
  <c r="Z12" i="15" s="1"/>
  <c r="F10" i="11" s="1"/>
  <c r="M10" i="48"/>
  <c r="Z12" i="14" s="1"/>
  <c r="F10" i="10" s="1"/>
  <c r="K11" i="48"/>
  <c r="Z13" i="13"/>
  <c r="F11" i="9" s="1"/>
  <c r="L11" i="48"/>
  <c r="Z13" i="15" s="1"/>
  <c r="F11" i="11" s="1"/>
  <c r="M11" i="48"/>
  <c r="Z13" i="14" s="1"/>
  <c r="F11" i="10" s="1"/>
  <c r="L12" i="48"/>
  <c r="Z14" i="15" s="1"/>
  <c r="F12" i="11" s="1"/>
  <c r="M12" i="48"/>
  <c r="Z14" i="14" s="1"/>
  <c r="F12" i="10" s="1"/>
  <c r="L13" i="48"/>
  <c r="Z15" i="15" s="1"/>
  <c r="F13" i="11" s="1"/>
  <c r="M13" i="48"/>
  <c r="Z15" i="14" s="1"/>
  <c r="F13" i="10" s="1"/>
  <c r="L14" i="48"/>
  <c r="Z16" i="15" s="1"/>
  <c r="F14" i="11" s="1"/>
  <c r="M14" i="48"/>
  <c r="Z16" i="14" s="1"/>
  <c r="F14" i="10" s="1"/>
  <c r="L15" i="48"/>
  <c r="Z17" i="15" s="1"/>
  <c r="F15" i="11" s="1"/>
  <c r="M15" i="48"/>
  <c r="Z17" i="14" s="1"/>
  <c r="F15" i="10" s="1"/>
  <c r="L16" i="48"/>
  <c r="Z18" i="15" s="1"/>
  <c r="F16" i="11" s="1"/>
  <c r="M16" i="48"/>
  <c r="Z18" i="14" s="1"/>
  <c r="F16" i="10" s="1"/>
  <c r="L17" i="48"/>
  <c r="Z19" i="15" s="1"/>
  <c r="F17" i="11" s="1"/>
  <c r="M17" i="48"/>
  <c r="Z19" i="14" s="1"/>
  <c r="F17" i="10" s="1"/>
  <c r="L18" i="48"/>
  <c r="Z20" i="15" s="1"/>
  <c r="F18" i="11" s="1"/>
  <c r="M18" i="48"/>
  <c r="Z20" i="14" s="1"/>
  <c r="F18" i="10" s="1"/>
  <c r="L19" i="48"/>
  <c r="Z21" i="15" s="1"/>
  <c r="F19" i="11" s="1"/>
  <c r="M19" i="48"/>
  <c r="Z21" i="14" s="1"/>
  <c r="F19" i="10" s="1"/>
  <c r="L20" i="48"/>
  <c r="Z22" i="15" s="1"/>
  <c r="F20" i="11" s="1"/>
  <c r="M20" i="48"/>
  <c r="Z22" i="14" s="1"/>
  <c r="F20" i="10" s="1"/>
  <c r="L21" i="48"/>
  <c r="Z23" i="15" s="1"/>
  <c r="F21" i="11" s="1"/>
  <c r="M21" i="48"/>
  <c r="Z23" i="14" s="1"/>
  <c r="F21" i="10" s="1"/>
  <c r="L22" i="48"/>
  <c r="Z24" i="15" s="1"/>
  <c r="F22" i="11" s="1"/>
  <c r="M22" i="48"/>
  <c r="Z24" i="14" s="1"/>
  <c r="F22" i="10" s="1"/>
  <c r="L23" i="48"/>
  <c r="Z25" i="15" s="1"/>
  <c r="F23" i="11" s="1"/>
  <c r="M23" i="48"/>
  <c r="Z25" i="14" s="1"/>
  <c r="F23" i="10" s="1"/>
  <c r="L24" i="48"/>
  <c r="Z26" i="15" s="1"/>
  <c r="F24" i="11" s="1"/>
  <c r="M24" i="48"/>
  <c r="Z26" i="14" s="1"/>
  <c r="F24" i="10" s="1"/>
  <c r="A32" i="47"/>
  <c r="J32" i="47"/>
  <c r="K32" i="47"/>
  <c r="Y32" i="62" s="1"/>
  <c r="A33" i="47"/>
  <c r="J33" i="47"/>
  <c r="Y8" i="62" s="1"/>
  <c r="E6" i="65" s="1"/>
  <c r="K33" i="47"/>
  <c r="Y33" i="62" s="1"/>
  <c r="A34" i="47"/>
  <c r="J34" i="47"/>
  <c r="Y9" i="62" s="1"/>
  <c r="E7" i="65" s="1"/>
  <c r="A35" i="47"/>
  <c r="J35" i="47"/>
  <c r="Y10" i="62" s="1"/>
  <c r="E8" i="65" s="1"/>
  <c r="A36" i="47"/>
  <c r="J36" i="47"/>
  <c r="A37" i="47"/>
  <c r="J37" i="47"/>
  <c r="Y12" i="62" s="1"/>
  <c r="E10" i="65" s="1"/>
  <c r="K37" i="47"/>
  <c r="Y37" i="62" s="1"/>
  <c r="A38" i="47"/>
  <c r="J38" i="47"/>
  <c r="Y13" i="62" s="1"/>
  <c r="E11" i="65" s="1"/>
  <c r="A39" i="47"/>
  <c r="J39" i="47"/>
  <c r="Y14" i="62" s="1"/>
  <c r="E12" i="65" s="1"/>
  <c r="A40" i="47"/>
  <c r="J40" i="47"/>
  <c r="A41" i="47"/>
  <c r="J41" i="47"/>
  <c r="Y16" i="62" s="1"/>
  <c r="E14" i="65" s="1"/>
  <c r="K41" i="47"/>
  <c r="Y41" i="62" s="1"/>
  <c r="A42" i="47"/>
  <c r="J42" i="47"/>
  <c r="Y17" i="62" s="1"/>
  <c r="E15" i="65" s="1"/>
  <c r="A43" i="47"/>
  <c r="J43" i="47"/>
  <c r="Y18" i="62" s="1"/>
  <c r="E16" i="65" s="1"/>
  <c r="A44" i="47"/>
  <c r="J44" i="47"/>
  <c r="A45" i="47"/>
  <c r="J45" i="47"/>
  <c r="Y20" i="62" s="1"/>
  <c r="E18" i="65" s="1"/>
  <c r="K45" i="47"/>
  <c r="Y45" i="62" s="1"/>
  <c r="A46" i="47"/>
  <c r="J46" i="47"/>
  <c r="Y21" i="62" s="1"/>
  <c r="E19" i="65" s="1"/>
  <c r="A47" i="47"/>
  <c r="J47" i="47"/>
  <c r="Y22" i="62" s="1"/>
  <c r="E20" i="65" s="1"/>
  <c r="A48" i="47"/>
  <c r="J48" i="47"/>
  <c r="A49" i="47"/>
  <c r="J49" i="47"/>
  <c r="Y24" i="62" s="1"/>
  <c r="E22" i="65" s="1"/>
  <c r="K49" i="47"/>
  <c r="Y49" i="62" s="1"/>
  <c r="A50" i="47"/>
  <c r="J50" i="47"/>
  <c r="Y25" i="62" s="1"/>
  <c r="E23" i="65" s="1"/>
  <c r="A51" i="47"/>
  <c r="J51" i="47"/>
  <c r="Y26" i="62" s="1"/>
  <c r="E24" i="65" s="1"/>
  <c r="A52" i="47"/>
  <c r="J52" i="47"/>
  <c r="L6" i="47"/>
  <c r="Y8" i="15" s="1"/>
  <c r="E6" i="11" s="1"/>
  <c r="M6" i="47"/>
  <c r="Y8" i="14" s="1"/>
  <c r="E6" i="10" s="1"/>
  <c r="L7" i="47"/>
  <c r="Y9" i="15" s="1"/>
  <c r="E7" i="11" s="1"/>
  <c r="M7" i="47"/>
  <c r="Y9" i="14" s="1"/>
  <c r="E7" i="10" s="1"/>
  <c r="L8" i="47"/>
  <c r="Y10" i="15" s="1"/>
  <c r="E8" i="11" s="1"/>
  <c r="M8" i="47"/>
  <c r="Y10" i="14" s="1"/>
  <c r="E8" i="10" s="1"/>
  <c r="L9" i="47"/>
  <c r="Y11" i="15" s="1"/>
  <c r="E9" i="11" s="1"/>
  <c r="M9" i="47"/>
  <c r="Y11" i="14" s="1"/>
  <c r="E9" i="10" s="1"/>
  <c r="L10" i="47"/>
  <c r="Y12" i="15" s="1"/>
  <c r="E10" i="11" s="1"/>
  <c r="M10" i="47"/>
  <c r="Y12" i="14" s="1"/>
  <c r="E10" i="10" s="1"/>
  <c r="K11" i="47"/>
  <c r="Y13" i="13" s="1"/>
  <c r="E11" i="9" s="1"/>
  <c r="L11" i="47"/>
  <c r="Y13" i="15" s="1"/>
  <c r="E11" i="11" s="1"/>
  <c r="M11" i="47"/>
  <c r="Y13" i="14" s="1"/>
  <c r="E11" i="10" s="1"/>
  <c r="L12" i="47"/>
  <c r="Y14" i="15" s="1"/>
  <c r="E12" i="11" s="1"/>
  <c r="M12" i="47"/>
  <c r="Y14" i="14" s="1"/>
  <c r="E12" i="10" s="1"/>
  <c r="L13" i="47"/>
  <c r="Y15" i="15" s="1"/>
  <c r="E13" i="11" s="1"/>
  <c r="M13" i="47"/>
  <c r="Y15" i="14" s="1"/>
  <c r="E13" i="10" s="1"/>
  <c r="L14" i="47"/>
  <c r="Y16" i="15" s="1"/>
  <c r="E14" i="11" s="1"/>
  <c r="M14" i="47"/>
  <c r="Y16" i="14" s="1"/>
  <c r="E14" i="10" s="1"/>
  <c r="L15" i="47"/>
  <c r="Y17" i="15" s="1"/>
  <c r="E15" i="11" s="1"/>
  <c r="M15" i="47"/>
  <c r="Y17" i="14" s="1"/>
  <c r="E15" i="10" s="1"/>
  <c r="L16" i="47"/>
  <c r="Y18" i="15" s="1"/>
  <c r="E16" i="11" s="1"/>
  <c r="M16" i="47"/>
  <c r="Y18" i="14" s="1"/>
  <c r="E16" i="10" s="1"/>
  <c r="L17" i="47"/>
  <c r="Y19" i="15" s="1"/>
  <c r="E17" i="11" s="1"/>
  <c r="M17" i="47"/>
  <c r="Y19" i="14" s="1"/>
  <c r="E17" i="10" s="1"/>
  <c r="L18" i="47"/>
  <c r="Y20" i="15" s="1"/>
  <c r="E18" i="11" s="1"/>
  <c r="M18" i="47"/>
  <c r="Y20" i="14" s="1"/>
  <c r="E18" i="10" s="1"/>
  <c r="L19" i="47"/>
  <c r="Y21" i="15" s="1"/>
  <c r="E19" i="11" s="1"/>
  <c r="M19" i="47"/>
  <c r="Y21" i="14" s="1"/>
  <c r="E19" i="10" s="1"/>
  <c r="L20" i="47"/>
  <c r="Y22" i="15" s="1"/>
  <c r="E20" i="11" s="1"/>
  <c r="M20" i="47"/>
  <c r="Y22" i="14" s="1"/>
  <c r="E20" i="10" s="1"/>
  <c r="L21" i="47"/>
  <c r="Y23" i="15" s="1"/>
  <c r="E21" i="11" s="1"/>
  <c r="M21" i="47"/>
  <c r="Y23" i="14" s="1"/>
  <c r="E21" i="10" s="1"/>
  <c r="L22" i="47"/>
  <c r="Y24" i="15" s="1"/>
  <c r="E22" i="11" s="1"/>
  <c r="M22" i="47"/>
  <c r="Y24" i="14" s="1"/>
  <c r="E22" i="10" s="1"/>
  <c r="L23" i="47"/>
  <c r="Y25" i="15" s="1"/>
  <c r="E23" i="11" s="1"/>
  <c r="M23" i="47"/>
  <c r="Y25" i="14" s="1"/>
  <c r="E23" i="10" s="1"/>
  <c r="L24" i="47"/>
  <c r="Y26" i="15" s="1"/>
  <c r="E24" i="11" s="1"/>
  <c r="M24" i="47"/>
  <c r="Y26" i="14" s="1"/>
  <c r="E24" i="10" s="1"/>
  <c r="K25" i="47"/>
  <c r="Y27" i="13" s="1"/>
  <c r="E25" i="9" s="1"/>
  <c r="L25" i="47"/>
  <c r="Y27" i="15" s="1"/>
  <c r="E25" i="11" s="1"/>
  <c r="M25" i="47"/>
  <c r="Y27" i="14" s="1"/>
  <c r="E25" i="10" s="1"/>
  <c r="A32" i="46"/>
  <c r="J32" i="46"/>
  <c r="K32" i="46" s="1"/>
  <c r="X32" i="62" s="1"/>
  <c r="A33" i="46"/>
  <c r="J33" i="46"/>
  <c r="X8" i="62" s="1"/>
  <c r="D6" i="65" s="1"/>
  <c r="A34" i="46"/>
  <c r="J34" i="46"/>
  <c r="A35" i="46"/>
  <c r="J35" i="46"/>
  <c r="X10" i="62" s="1"/>
  <c r="D8" i="65" s="1"/>
  <c r="K35" i="46"/>
  <c r="X35" i="62" s="1"/>
  <c r="A36" i="46"/>
  <c r="J36" i="46"/>
  <c r="X11" i="62" s="1"/>
  <c r="D9" i="65" s="1"/>
  <c r="A37" i="46"/>
  <c r="J37" i="46"/>
  <c r="X12" i="62" s="1"/>
  <c r="D10" i="65" s="1"/>
  <c r="A38" i="46"/>
  <c r="J38" i="46"/>
  <c r="A39" i="46"/>
  <c r="J39" i="46"/>
  <c r="X14" i="62" s="1"/>
  <c r="D12" i="65" s="1"/>
  <c r="K39" i="46"/>
  <c r="X39" i="62" s="1"/>
  <c r="A40" i="46"/>
  <c r="J40" i="46"/>
  <c r="X15" i="62" s="1"/>
  <c r="D13" i="65" s="1"/>
  <c r="A41" i="46"/>
  <c r="J41" i="46"/>
  <c r="X16" i="62" s="1"/>
  <c r="D14" i="65" s="1"/>
  <c r="A42" i="46"/>
  <c r="J42" i="46"/>
  <c r="A43" i="46"/>
  <c r="J43" i="46"/>
  <c r="X18" i="62" s="1"/>
  <c r="D16" i="65" s="1"/>
  <c r="K43" i="46"/>
  <c r="X43" i="62" s="1"/>
  <c r="A44" i="46"/>
  <c r="J44" i="46"/>
  <c r="X19" i="62" s="1"/>
  <c r="D17" i="65" s="1"/>
  <c r="A45" i="46"/>
  <c r="J45" i="46"/>
  <c r="X20" i="62" s="1"/>
  <c r="D18" i="65" s="1"/>
  <c r="A46" i="46"/>
  <c r="J46" i="46"/>
  <c r="A47" i="46"/>
  <c r="J47" i="46"/>
  <c r="X22" i="62" s="1"/>
  <c r="D20" i="65" s="1"/>
  <c r="K47" i="46"/>
  <c r="X47" i="62" s="1"/>
  <c r="A48" i="46"/>
  <c r="J48" i="46"/>
  <c r="X23" i="62" s="1"/>
  <c r="D21" i="65" s="1"/>
  <c r="A49" i="46"/>
  <c r="J49" i="46"/>
  <c r="X24" i="62" s="1"/>
  <c r="D22" i="65" s="1"/>
  <c r="A50" i="46"/>
  <c r="J50" i="46"/>
  <c r="A51" i="46"/>
  <c r="J51" i="46"/>
  <c r="X26" i="62" s="1"/>
  <c r="D24" i="65" s="1"/>
  <c r="K51" i="46"/>
  <c r="X51" i="62" s="1"/>
  <c r="A52" i="46"/>
  <c r="J52" i="46"/>
  <c r="X27" i="62" s="1"/>
  <c r="D25" i="65" s="1"/>
  <c r="L6" i="46"/>
  <c r="X8" i="15" s="1"/>
  <c r="D6" i="11" s="1"/>
  <c r="L7" i="46"/>
  <c r="X9" i="15" s="1"/>
  <c r="D7" i="11" s="1"/>
  <c r="L8" i="46"/>
  <c r="X10" i="15" s="1"/>
  <c r="D8" i="11" s="1"/>
  <c r="L9" i="46"/>
  <c r="X11" i="15" s="1"/>
  <c r="D9" i="11" s="1"/>
  <c r="L10" i="46"/>
  <c r="X12" i="15" s="1"/>
  <c r="D10" i="11" s="1"/>
  <c r="K11" i="46"/>
  <c r="X13" i="13" s="1"/>
  <c r="D11" i="9" s="1"/>
  <c r="L11" i="46"/>
  <c r="X13" i="15" s="1"/>
  <c r="D11" i="11" s="1"/>
  <c r="L12" i="46"/>
  <c r="X14" i="15" s="1"/>
  <c r="D12" i="11" s="1"/>
  <c r="L13" i="46"/>
  <c r="X15" i="15" s="1"/>
  <c r="D13" i="11" s="1"/>
  <c r="L14" i="46"/>
  <c r="X16" i="15" s="1"/>
  <c r="D14" i="11" s="1"/>
  <c r="L15" i="46"/>
  <c r="X17" i="15" s="1"/>
  <c r="D15" i="11" s="1"/>
  <c r="L16" i="46"/>
  <c r="X18" i="15" s="1"/>
  <c r="D16" i="11" s="1"/>
  <c r="L17" i="46"/>
  <c r="X19" i="15" s="1"/>
  <c r="D17" i="11" s="1"/>
  <c r="L18" i="46"/>
  <c r="X20" i="15" s="1"/>
  <c r="D18" i="11" s="1"/>
  <c r="L19" i="46"/>
  <c r="X21" i="15" s="1"/>
  <c r="D19" i="11" s="1"/>
  <c r="L20" i="46"/>
  <c r="X22" i="15" s="1"/>
  <c r="D20" i="11" s="1"/>
  <c r="L21" i="46"/>
  <c r="X23" i="15" s="1"/>
  <c r="D21" i="11" s="1"/>
  <c r="L22" i="46"/>
  <c r="X24" i="15" s="1"/>
  <c r="D22" i="11" s="1"/>
  <c r="L23" i="46"/>
  <c r="X25" i="15" s="1"/>
  <c r="D23" i="11" s="1"/>
  <c r="L24" i="46"/>
  <c r="X26" i="15" s="1"/>
  <c r="D24" i="11" s="1"/>
  <c r="K25" i="46"/>
  <c r="X27" i="13" s="1"/>
  <c r="D25" i="9" s="1"/>
  <c r="L25" i="46"/>
  <c r="X27" i="15" s="1"/>
  <c r="D25" i="11" s="1"/>
  <c r="A32" i="45"/>
  <c r="J32" i="45"/>
  <c r="K32" i="45" s="1"/>
  <c r="A33" i="45"/>
  <c r="J33" i="45"/>
  <c r="W8" i="62" s="1"/>
  <c r="C6" i="65" s="1"/>
  <c r="A34" i="45"/>
  <c r="J34" i="45"/>
  <c r="W9" i="62" s="1"/>
  <c r="C7" i="65" s="1"/>
  <c r="A35" i="45"/>
  <c r="J35" i="45"/>
  <c r="W10" i="62" s="1"/>
  <c r="C8" i="65" s="1"/>
  <c r="K35" i="45"/>
  <c r="W35" i="62" s="1"/>
  <c r="A36" i="45"/>
  <c r="J36" i="45"/>
  <c r="A37" i="45"/>
  <c r="J37" i="45"/>
  <c r="W12" i="62" s="1"/>
  <c r="C10" i="65" s="1"/>
  <c r="A38" i="45"/>
  <c r="J38" i="45"/>
  <c r="W13" i="62" s="1"/>
  <c r="C11" i="65" s="1"/>
  <c r="A39" i="45"/>
  <c r="J39" i="45"/>
  <c r="W14" i="62" s="1"/>
  <c r="C12" i="65" s="1"/>
  <c r="K39" i="45"/>
  <c r="W39" i="62" s="1"/>
  <c r="A40" i="45"/>
  <c r="J40" i="45"/>
  <c r="A41" i="45"/>
  <c r="J41" i="45"/>
  <c r="W16" i="62" s="1"/>
  <c r="C14" i="65" s="1"/>
  <c r="A42" i="45"/>
  <c r="J42" i="45"/>
  <c r="W17" i="62" s="1"/>
  <c r="C15" i="65" s="1"/>
  <c r="A43" i="45"/>
  <c r="J43" i="45"/>
  <c r="W18" i="62" s="1"/>
  <c r="C16" i="65" s="1"/>
  <c r="K43" i="45"/>
  <c r="W43" i="62" s="1"/>
  <c r="A44" i="45"/>
  <c r="J44" i="45"/>
  <c r="A45" i="45"/>
  <c r="J45" i="45"/>
  <c r="W20" i="62" s="1"/>
  <c r="C18" i="65" s="1"/>
  <c r="A46" i="45"/>
  <c r="J46" i="45"/>
  <c r="W21" i="62" s="1"/>
  <c r="C19" i="65" s="1"/>
  <c r="A47" i="45"/>
  <c r="J47" i="45"/>
  <c r="W22" i="62" s="1"/>
  <c r="C20" i="65" s="1"/>
  <c r="K47" i="45"/>
  <c r="W47" i="62" s="1"/>
  <c r="A48" i="45"/>
  <c r="J48" i="45"/>
  <c r="A49" i="45"/>
  <c r="J49" i="45"/>
  <c r="W24" i="62" s="1"/>
  <c r="C22" i="65" s="1"/>
  <c r="A50" i="45"/>
  <c r="J50" i="45"/>
  <c r="W25" i="62" s="1"/>
  <c r="C23" i="65" s="1"/>
  <c r="A51" i="45"/>
  <c r="J51" i="45"/>
  <c r="W26" i="62" s="1"/>
  <c r="C24" i="65" s="1"/>
  <c r="A52" i="45"/>
  <c r="J52" i="45"/>
  <c r="W27" i="62" s="1"/>
  <c r="C25" i="65" s="1"/>
  <c r="L6" i="45"/>
  <c r="W8" i="15" s="1"/>
  <c r="C6" i="11" s="1"/>
  <c r="L7" i="45"/>
  <c r="W9" i="15" s="1"/>
  <c r="C7" i="11" s="1"/>
  <c r="L8" i="45"/>
  <c r="W10" i="15" s="1"/>
  <c r="C8" i="11" s="1"/>
  <c r="L9" i="45"/>
  <c r="W11" i="15" s="1"/>
  <c r="C9" i="11" s="1"/>
  <c r="L10" i="45"/>
  <c r="W12" i="15" s="1"/>
  <c r="C10" i="11" s="1"/>
  <c r="K11" i="45"/>
  <c r="W13" i="13" s="1"/>
  <c r="C11" i="9" s="1"/>
  <c r="L11" i="45"/>
  <c r="W13" i="15" s="1"/>
  <c r="C11" i="11" s="1"/>
  <c r="L12" i="45"/>
  <c r="W14" i="15" s="1"/>
  <c r="C12" i="11" s="1"/>
  <c r="L13" i="45"/>
  <c r="W15" i="15" s="1"/>
  <c r="C13" i="11" s="1"/>
  <c r="L14" i="45"/>
  <c r="W16" i="15" s="1"/>
  <c r="C14" i="11" s="1"/>
  <c r="L15" i="45"/>
  <c r="W17" i="15" s="1"/>
  <c r="C15" i="11" s="1"/>
  <c r="L16" i="45"/>
  <c r="W18" i="15" s="1"/>
  <c r="C16" i="11" s="1"/>
  <c r="L17" i="45"/>
  <c r="W19" i="15" s="1"/>
  <c r="C17" i="11" s="1"/>
  <c r="L18" i="45"/>
  <c r="W20" i="15" s="1"/>
  <c r="C18" i="11" s="1"/>
  <c r="L19" i="45"/>
  <c r="W21" i="15" s="1"/>
  <c r="C19" i="11" s="1"/>
  <c r="L20" i="45"/>
  <c r="W22" i="15" s="1"/>
  <c r="C20" i="11" s="1"/>
  <c r="L21" i="45"/>
  <c r="W23" i="15" s="1"/>
  <c r="C21" i="11" s="1"/>
  <c r="L22" i="45"/>
  <c r="W24" i="15" s="1"/>
  <c r="C22" i="11" s="1"/>
  <c r="L23" i="45"/>
  <c r="W25" i="15" s="1"/>
  <c r="C23" i="11" s="1"/>
  <c r="L24" i="45"/>
  <c r="W26" i="15" s="1"/>
  <c r="C24" i="11" s="1"/>
  <c r="K25" i="45"/>
  <c r="W27" i="13" s="1"/>
  <c r="C25" i="9" s="1"/>
  <c r="L25" i="45"/>
  <c r="W27" i="15" s="1"/>
  <c r="C25" i="11" s="1"/>
  <c r="A52" i="44"/>
  <c r="J52" i="44"/>
  <c r="V27" i="62" s="1"/>
  <c r="B25" i="65" s="1"/>
  <c r="A32" i="44"/>
  <c r="J32" i="44"/>
  <c r="K32" i="44"/>
  <c r="V32" i="62" s="1"/>
  <c r="A33" i="44"/>
  <c r="J33" i="44"/>
  <c r="A34" i="44"/>
  <c r="J34" i="44"/>
  <c r="V9" i="62" s="1"/>
  <c r="B7" i="65" s="1"/>
  <c r="K34" i="44"/>
  <c r="V34" i="62" s="1"/>
  <c r="A35" i="44"/>
  <c r="J35" i="44"/>
  <c r="V10" i="62" s="1"/>
  <c r="B8" i="65" s="1"/>
  <c r="A36" i="44"/>
  <c r="J36" i="44"/>
  <c r="V11" i="62" s="1"/>
  <c r="B9" i="65" s="1"/>
  <c r="A37" i="44"/>
  <c r="J37" i="44"/>
  <c r="A38" i="44"/>
  <c r="J38" i="44"/>
  <c r="V13" i="62" s="1"/>
  <c r="B11" i="65" s="1"/>
  <c r="K38" i="44"/>
  <c r="V38" i="62" s="1"/>
  <c r="A39" i="44"/>
  <c r="J39" i="44"/>
  <c r="V14" i="62" s="1"/>
  <c r="B12" i="65" s="1"/>
  <c r="A40" i="44"/>
  <c r="J40" i="44"/>
  <c r="V15" i="62" s="1"/>
  <c r="B13" i="65" s="1"/>
  <c r="A41" i="44"/>
  <c r="J41" i="44"/>
  <c r="A42" i="44"/>
  <c r="J42" i="44"/>
  <c r="V17" i="62" s="1"/>
  <c r="B15" i="65" s="1"/>
  <c r="K42" i="44"/>
  <c r="V42" i="62" s="1"/>
  <c r="A43" i="44"/>
  <c r="J43" i="44"/>
  <c r="V18" i="62" s="1"/>
  <c r="B16" i="65" s="1"/>
  <c r="A44" i="44"/>
  <c r="J44" i="44"/>
  <c r="V19" i="62" s="1"/>
  <c r="B17" i="65" s="1"/>
  <c r="A45" i="44"/>
  <c r="J45" i="44"/>
  <c r="A46" i="44"/>
  <c r="J46" i="44"/>
  <c r="V21" i="62" s="1"/>
  <c r="B19" i="65" s="1"/>
  <c r="K46" i="44"/>
  <c r="V46" i="62" s="1"/>
  <c r="A47" i="44"/>
  <c r="J47" i="44"/>
  <c r="V22" i="62" s="1"/>
  <c r="B20" i="65" s="1"/>
  <c r="A48" i="44"/>
  <c r="J48" i="44"/>
  <c r="V23" i="62" s="1"/>
  <c r="B21" i="65" s="1"/>
  <c r="A49" i="44"/>
  <c r="J49" i="44"/>
  <c r="A50" i="44"/>
  <c r="J50" i="44"/>
  <c r="V25" i="62" s="1"/>
  <c r="B23" i="65" s="1"/>
  <c r="K50" i="44"/>
  <c r="V50" i="62" s="1"/>
  <c r="A51" i="44"/>
  <c r="J51" i="44"/>
  <c r="V26" i="62" s="1"/>
  <c r="B24" i="65" s="1"/>
  <c r="L6" i="44"/>
  <c r="V8" i="15" s="1"/>
  <c r="B6" i="11" s="1"/>
  <c r="M6" i="44"/>
  <c r="V8" i="14" s="1"/>
  <c r="B6" i="10" s="1"/>
  <c r="L7" i="44"/>
  <c r="V9" i="15" s="1"/>
  <c r="B7" i="11" s="1"/>
  <c r="M7" i="44"/>
  <c r="V9" i="14" s="1"/>
  <c r="B7" i="10" s="1"/>
  <c r="L8" i="44"/>
  <c r="V10" i="15" s="1"/>
  <c r="B8" i="11" s="1"/>
  <c r="M8" i="44"/>
  <c r="V10" i="14" s="1"/>
  <c r="B8" i="10" s="1"/>
  <c r="L9" i="44"/>
  <c r="V11" i="15" s="1"/>
  <c r="B9" i="11" s="1"/>
  <c r="M9" i="44"/>
  <c r="V11" i="14" s="1"/>
  <c r="B9" i="10" s="1"/>
  <c r="L10" i="44"/>
  <c r="V12" i="15" s="1"/>
  <c r="B10" i="11" s="1"/>
  <c r="M10" i="44"/>
  <c r="V12" i="14" s="1"/>
  <c r="B10" i="10" s="1"/>
  <c r="K11" i="44"/>
  <c r="V13" i="13" s="1"/>
  <c r="B11" i="9" s="1"/>
  <c r="L11" i="44"/>
  <c r="V13" i="15" s="1"/>
  <c r="B11" i="11" s="1"/>
  <c r="M11" i="44"/>
  <c r="V13" i="14" s="1"/>
  <c r="B11" i="10" s="1"/>
  <c r="L12" i="44"/>
  <c r="V14" i="15" s="1"/>
  <c r="B12" i="11" s="1"/>
  <c r="M12" i="44"/>
  <c r="V14" i="14" s="1"/>
  <c r="B12" i="10" s="1"/>
  <c r="L13" i="44"/>
  <c r="V15" i="15" s="1"/>
  <c r="B13" i="11" s="1"/>
  <c r="M13" i="44"/>
  <c r="V15" i="14" s="1"/>
  <c r="B13" i="10" s="1"/>
  <c r="L14" i="44"/>
  <c r="V16" i="15" s="1"/>
  <c r="B14" i="11" s="1"/>
  <c r="M14" i="44"/>
  <c r="V16" i="14" s="1"/>
  <c r="B14" i="10" s="1"/>
  <c r="L15" i="44"/>
  <c r="V17" i="15" s="1"/>
  <c r="B15" i="11" s="1"/>
  <c r="M15" i="44"/>
  <c r="V17" i="14" s="1"/>
  <c r="B15" i="10" s="1"/>
  <c r="L16" i="44"/>
  <c r="V18" i="15" s="1"/>
  <c r="B16" i="11" s="1"/>
  <c r="M16" i="44"/>
  <c r="V18" i="14" s="1"/>
  <c r="B16" i="10" s="1"/>
  <c r="L17" i="44"/>
  <c r="V19" i="15" s="1"/>
  <c r="B17" i="11" s="1"/>
  <c r="M17" i="44"/>
  <c r="V19" i="14" s="1"/>
  <c r="B17" i="10" s="1"/>
  <c r="L18" i="44"/>
  <c r="V20" i="15" s="1"/>
  <c r="B18" i="11" s="1"/>
  <c r="M18" i="44"/>
  <c r="V20" i="14" s="1"/>
  <c r="B18" i="10" s="1"/>
  <c r="L19" i="44"/>
  <c r="V21" i="15" s="1"/>
  <c r="B19" i="11" s="1"/>
  <c r="M19" i="44"/>
  <c r="V21" i="14" s="1"/>
  <c r="B19" i="10" s="1"/>
  <c r="L20" i="44"/>
  <c r="V22" i="15" s="1"/>
  <c r="B20" i="11" s="1"/>
  <c r="M20" i="44"/>
  <c r="V22" i="14" s="1"/>
  <c r="B20" i="10" s="1"/>
  <c r="L21" i="44"/>
  <c r="V23" i="15" s="1"/>
  <c r="B21" i="11" s="1"/>
  <c r="M21" i="44"/>
  <c r="V23" i="14" s="1"/>
  <c r="B21" i="10" s="1"/>
  <c r="L22" i="44"/>
  <c r="V24" i="15" s="1"/>
  <c r="B22" i="11" s="1"/>
  <c r="M22" i="44"/>
  <c r="V24" i="14" s="1"/>
  <c r="B22" i="10" s="1"/>
  <c r="L23" i="44"/>
  <c r="V25" i="15" s="1"/>
  <c r="B23" i="11" s="1"/>
  <c r="M23" i="44"/>
  <c r="V25" i="14" s="1"/>
  <c r="B23" i="10" s="1"/>
  <c r="L24" i="44"/>
  <c r="V26" i="15" s="1"/>
  <c r="B24" i="11" s="1"/>
  <c r="M24" i="44"/>
  <c r="V26" i="14" s="1"/>
  <c r="B24" i="10" s="1"/>
  <c r="K25" i="44"/>
  <c r="V27" i="13" s="1"/>
  <c r="B25" i="9" s="1"/>
  <c r="L25" i="44"/>
  <c r="V27" i="15" s="1"/>
  <c r="B25" i="11" s="1"/>
  <c r="M25" i="44"/>
  <c r="V27" i="14" s="1"/>
  <c r="B25" i="10" s="1"/>
  <c r="A32" i="43"/>
  <c r="J32" i="43"/>
  <c r="K32" i="43" s="1"/>
  <c r="U32" i="62" s="1"/>
  <c r="A33" i="43"/>
  <c r="J33" i="43"/>
  <c r="A34" i="43"/>
  <c r="J34" i="43"/>
  <c r="U9" i="62" s="1"/>
  <c r="K7" i="64" s="1"/>
  <c r="A35" i="43"/>
  <c r="J35" i="43"/>
  <c r="U10" i="62" s="1"/>
  <c r="K8" i="64" s="1"/>
  <c r="A36" i="43"/>
  <c r="J36" i="43"/>
  <c r="U11" i="62" s="1"/>
  <c r="K9" i="64" s="1"/>
  <c r="K36" i="43"/>
  <c r="U36" i="62" s="1"/>
  <c r="A37" i="43"/>
  <c r="J37" i="43"/>
  <c r="A38" i="43"/>
  <c r="J38" i="43"/>
  <c r="U13" i="62" s="1"/>
  <c r="K11" i="64" s="1"/>
  <c r="A39" i="43"/>
  <c r="J39" i="43"/>
  <c r="U14" i="62" s="1"/>
  <c r="K12" i="64" s="1"/>
  <c r="A40" i="43"/>
  <c r="J40" i="43"/>
  <c r="U15" i="62" s="1"/>
  <c r="K13" i="64" s="1"/>
  <c r="K40" i="43"/>
  <c r="U40" i="62" s="1"/>
  <c r="A41" i="43"/>
  <c r="J41" i="43"/>
  <c r="A42" i="43"/>
  <c r="J42" i="43"/>
  <c r="U17" i="62" s="1"/>
  <c r="K15" i="64" s="1"/>
  <c r="A43" i="43"/>
  <c r="J43" i="43"/>
  <c r="U18" i="62" s="1"/>
  <c r="K16" i="64" s="1"/>
  <c r="A44" i="43"/>
  <c r="J44" i="43"/>
  <c r="U19" i="62" s="1"/>
  <c r="K17" i="64" s="1"/>
  <c r="K44" i="43"/>
  <c r="U44" i="62" s="1"/>
  <c r="A45" i="43"/>
  <c r="J45" i="43"/>
  <c r="A46" i="43"/>
  <c r="J46" i="43"/>
  <c r="U21" i="62" s="1"/>
  <c r="K19" i="64" s="1"/>
  <c r="A47" i="43"/>
  <c r="J47" i="43"/>
  <c r="U22" i="62" s="1"/>
  <c r="K20" i="64" s="1"/>
  <c r="A48" i="43"/>
  <c r="J48" i="43"/>
  <c r="U23" i="62" s="1"/>
  <c r="K21" i="64" s="1"/>
  <c r="K48" i="43"/>
  <c r="U48" i="62" s="1"/>
  <c r="A49" i="43"/>
  <c r="J49" i="43"/>
  <c r="A50" i="43"/>
  <c r="J50" i="43"/>
  <c r="U25" i="62" s="1"/>
  <c r="K23" i="64" s="1"/>
  <c r="A51" i="43"/>
  <c r="J51" i="43"/>
  <c r="U26" i="62" s="1"/>
  <c r="K24" i="64" s="1"/>
  <c r="A52" i="43"/>
  <c r="J52" i="43"/>
  <c r="U27" i="62" s="1"/>
  <c r="K25" i="64" s="1"/>
  <c r="K52" i="43"/>
  <c r="U52" i="62" s="1"/>
  <c r="L6" i="43"/>
  <c r="U8" i="15" s="1"/>
  <c r="K6" i="6" s="1"/>
  <c r="M6" i="43"/>
  <c r="U8" i="14" s="1"/>
  <c r="K6" i="7" s="1"/>
  <c r="L7" i="43"/>
  <c r="U9" i="15" s="1"/>
  <c r="K7" i="6" s="1"/>
  <c r="M7" i="43"/>
  <c r="U9" i="14" s="1"/>
  <c r="K7" i="7" s="1"/>
  <c r="L8" i="43"/>
  <c r="U10" i="15" s="1"/>
  <c r="K8" i="6" s="1"/>
  <c r="M8" i="43"/>
  <c r="U10" i="14" s="1"/>
  <c r="K8" i="7" s="1"/>
  <c r="L9" i="43"/>
  <c r="U11" i="15" s="1"/>
  <c r="K9" i="6" s="1"/>
  <c r="M9" i="43"/>
  <c r="U11" i="14" s="1"/>
  <c r="K9" i="7" s="1"/>
  <c r="L10" i="43"/>
  <c r="U12" i="15" s="1"/>
  <c r="K10" i="6" s="1"/>
  <c r="M10" i="43"/>
  <c r="U12" i="14" s="1"/>
  <c r="K10" i="7" s="1"/>
  <c r="K11" i="43"/>
  <c r="U13" i="13" s="1"/>
  <c r="K11" i="5" s="1"/>
  <c r="L11" i="43"/>
  <c r="U13" i="15" s="1"/>
  <c r="K11" i="6" s="1"/>
  <c r="M11" i="43"/>
  <c r="U13" i="14" s="1"/>
  <c r="K11" i="7" s="1"/>
  <c r="L12" i="43"/>
  <c r="U14" i="15" s="1"/>
  <c r="K12" i="6" s="1"/>
  <c r="M12" i="43"/>
  <c r="U14" i="14" s="1"/>
  <c r="K12" i="7" s="1"/>
  <c r="L13" i="43"/>
  <c r="U15" i="15" s="1"/>
  <c r="K13" i="6" s="1"/>
  <c r="M13" i="43"/>
  <c r="U15" i="14" s="1"/>
  <c r="K13" i="7" s="1"/>
  <c r="L14" i="43"/>
  <c r="U16" i="15" s="1"/>
  <c r="K14" i="6" s="1"/>
  <c r="M14" i="43"/>
  <c r="U16" i="14" s="1"/>
  <c r="K14" i="7" s="1"/>
  <c r="L15" i="43"/>
  <c r="U17" i="15" s="1"/>
  <c r="K15" i="6" s="1"/>
  <c r="M15" i="43"/>
  <c r="U17" i="14" s="1"/>
  <c r="K15" i="7" s="1"/>
  <c r="L16" i="43"/>
  <c r="U18" i="15" s="1"/>
  <c r="K16" i="6" s="1"/>
  <c r="M16" i="43"/>
  <c r="U18" i="14" s="1"/>
  <c r="K16" i="7" s="1"/>
  <c r="L17" i="43"/>
  <c r="U19" i="15" s="1"/>
  <c r="K17" i="6" s="1"/>
  <c r="M17" i="43"/>
  <c r="U19" i="14" s="1"/>
  <c r="K17" i="7" s="1"/>
  <c r="L18" i="43"/>
  <c r="U20" i="15" s="1"/>
  <c r="K18" i="6" s="1"/>
  <c r="M18" i="43"/>
  <c r="U20" i="14" s="1"/>
  <c r="K18" i="7" s="1"/>
  <c r="L19" i="43"/>
  <c r="U21" i="15" s="1"/>
  <c r="K19" i="6" s="1"/>
  <c r="M19" i="43"/>
  <c r="U21" i="14" s="1"/>
  <c r="K19" i="7" s="1"/>
  <c r="L20" i="43"/>
  <c r="U22" i="15" s="1"/>
  <c r="K20" i="6" s="1"/>
  <c r="M20" i="43"/>
  <c r="U22" i="14" s="1"/>
  <c r="K20" i="7" s="1"/>
  <c r="L21" i="43"/>
  <c r="U23" i="15" s="1"/>
  <c r="K21" i="6" s="1"/>
  <c r="M21" i="43"/>
  <c r="U23" i="14" s="1"/>
  <c r="K21" i="7" s="1"/>
  <c r="L22" i="43"/>
  <c r="U24" i="15" s="1"/>
  <c r="K22" i="6" s="1"/>
  <c r="M22" i="43"/>
  <c r="U24" i="14" s="1"/>
  <c r="K22" i="7" s="1"/>
  <c r="L23" i="43"/>
  <c r="U25" i="15" s="1"/>
  <c r="K23" i="6" s="1"/>
  <c r="M23" i="43"/>
  <c r="U25" i="14" s="1"/>
  <c r="K23" i="7" s="1"/>
  <c r="L24" i="43"/>
  <c r="U26" i="15" s="1"/>
  <c r="K24" i="6" s="1"/>
  <c r="M24" i="43"/>
  <c r="U26" i="14" s="1"/>
  <c r="K24" i="7" s="1"/>
  <c r="K25" i="43"/>
  <c r="U27" i="13" s="1"/>
  <c r="K25" i="5" s="1"/>
  <c r="L25" i="43"/>
  <c r="U27" i="15" s="1"/>
  <c r="K25" i="6" s="1"/>
  <c r="M25" i="43"/>
  <c r="U27" i="14" s="1"/>
  <c r="K25" i="7" s="1"/>
  <c r="A32" i="42"/>
  <c r="J32" i="42"/>
  <c r="K32" i="42" s="1"/>
  <c r="T32" i="62" s="1"/>
  <c r="A33" i="42"/>
  <c r="J33" i="42"/>
  <c r="A34" i="42"/>
  <c r="J34" i="42"/>
  <c r="T9" i="62" s="1"/>
  <c r="J7" i="64" s="1"/>
  <c r="A35" i="42"/>
  <c r="J35" i="42"/>
  <c r="T10" i="62" s="1"/>
  <c r="J8" i="64" s="1"/>
  <c r="A36" i="42"/>
  <c r="J36" i="42"/>
  <c r="T11" i="62" s="1"/>
  <c r="J9" i="64" s="1"/>
  <c r="K36" i="42"/>
  <c r="T36" i="62" s="1"/>
  <c r="A37" i="42"/>
  <c r="J37" i="42"/>
  <c r="A38" i="42"/>
  <c r="J38" i="42"/>
  <c r="T13" i="62" s="1"/>
  <c r="J11" i="64" s="1"/>
  <c r="A39" i="42"/>
  <c r="J39" i="42"/>
  <c r="T14" i="62" s="1"/>
  <c r="J12" i="64" s="1"/>
  <c r="A40" i="42"/>
  <c r="J40" i="42"/>
  <c r="T15" i="62" s="1"/>
  <c r="J13" i="64" s="1"/>
  <c r="K40" i="42"/>
  <c r="T40" i="62" s="1"/>
  <c r="A41" i="42"/>
  <c r="J41" i="42"/>
  <c r="A42" i="42"/>
  <c r="J42" i="42"/>
  <c r="T17" i="62" s="1"/>
  <c r="J15" i="64" s="1"/>
  <c r="A43" i="42"/>
  <c r="J43" i="42"/>
  <c r="T18" i="62" s="1"/>
  <c r="J16" i="64" s="1"/>
  <c r="A44" i="42"/>
  <c r="J44" i="42"/>
  <c r="T19" i="62" s="1"/>
  <c r="J17" i="64" s="1"/>
  <c r="K44" i="42"/>
  <c r="T44" i="62" s="1"/>
  <c r="A45" i="42"/>
  <c r="J45" i="42"/>
  <c r="A46" i="42"/>
  <c r="J46" i="42"/>
  <c r="T21" i="62" s="1"/>
  <c r="J19" i="64" s="1"/>
  <c r="A47" i="42"/>
  <c r="J47" i="42"/>
  <c r="T22" i="62" s="1"/>
  <c r="J20" i="64" s="1"/>
  <c r="A48" i="42"/>
  <c r="J48" i="42"/>
  <c r="T23" i="62" s="1"/>
  <c r="J21" i="64" s="1"/>
  <c r="K48" i="42"/>
  <c r="T48" i="62" s="1"/>
  <c r="A49" i="42"/>
  <c r="J49" i="42"/>
  <c r="A50" i="42"/>
  <c r="J50" i="42"/>
  <c r="T25" i="62" s="1"/>
  <c r="J23" i="64" s="1"/>
  <c r="A51" i="42"/>
  <c r="J51" i="42"/>
  <c r="T26" i="62" s="1"/>
  <c r="J24" i="64" s="1"/>
  <c r="A52" i="42"/>
  <c r="J52" i="42"/>
  <c r="T27" i="62" s="1"/>
  <c r="J25" i="64" s="1"/>
  <c r="K52" i="42"/>
  <c r="T52" i="62" s="1"/>
  <c r="L6" i="42"/>
  <c r="T8" i="15" s="1"/>
  <c r="J6" i="6" s="1"/>
  <c r="M6" i="42"/>
  <c r="T8" i="14" s="1"/>
  <c r="J6" i="7" s="1"/>
  <c r="L7" i="42"/>
  <c r="T9" i="15" s="1"/>
  <c r="J7" i="6" s="1"/>
  <c r="M7" i="42"/>
  <c r="T9" i="14" s="1"/>
  <c r="J7" i="7" s="1"/>
  <c r="L8" i="42"/>
  <c r="T10" i="15" s="1"/>
  <c r="J8" i="6" s="1"/>
  <c r="M8" i="42"/>
  <c r="T10" i="14" s="1"/>
  <c r="J8" i="7" s="1"/>
  <c r="L9" i="42"/>
  <c r="T11" i="15" s="1"/>
  <c r="J9" i="6" s="1"/>
  <c r="M9" i="42"/>
  <c r="T11" i="14" s="1"/>
  <c r="J9" i="7" s="1"/>
  <c r="L10" i="42"/>
  <c r="T12" i="15" s="1"/>
  <c r="J10" i="6" s="1"/>
  <c r="M10" i="42"/>
  <c r="T12" i="14" s="1"/>
  <c r="J10" i="7" s="1"/>
  <c r="K11" i="42"/>
  <c r="T13" i="13"/>
  <c r="J11" i="5" s="1"/>
  <c r="L11" i="42"/>
  <c r="T13" i="15" s="1"/>
  <c r="J11" i="6" s="1"/>
  <c r="M11" i="42"/>
  <c r="T13" i="14" s="1"/>
  <c r="J11" i="7" s="1"/>
  <c r="L12" i="42"/>
  <c r="T14" i="15" s="1"/>
  <c r="J12" i="6" s="1"/>
  <c r="M12" i="42"/>
  <c r="T14" i="14" s="1"/>
  <c r="J12" i="7" s="1"/>
  <c r="L13" i="42"/>
  <c r="T15" i="15" s="1"/>
  <c r="J13" i="6" s="1"/>
  <c r="M13" i="42"/>
  <c r="T15" i="14" s="1"/>
  <c r="J13" i="7" s="1"/>
  <c r="L14" i="42"/>
  <c r="T16" i="15" s="1"/>
  <c r="J14" i="6" s="1"/>
  <c r="M14" i="42"/>
  <c r="T16" i="14" s="1"/>
  <c r="J14" i="7" s="1"/>
  <c r="L15" i="42"/>
  <c r="T17" i="15" s="1"/>
  <c r="J15" i="6" s="1"/>
  <c r="M15" i="42"/>
  <c r="T17" i="14" s="1"/>
  <c r="J15" i="7" s="1"/>
  <c r="L16" i="42"/>
  <c r="T18" i="15" s="1"/>
  <c r="J16" i="6" s="1"/>
  <c r="M16" i="42"/>
  <c r="T18" i="14" s="1"/>
  <c r="J16" i="7" s="1"/>
  <c r="L17" i="42"/>
  <c r="T19" i="15" s="1"/>
  <c r="J17" i="6" s="1"/>
  <c r="M17" i="42"/>
  <c r="T19" i="14" s="1"/>
  <c r="J17" i="7" s="1"/>
  <c r="L18" i="42"/>
  <c r="T20" i="15" s="1"/>
  <c r="J18" i="6" s="1"/>
  <c r="M18" i="42"/>
  <c r="T20" i="14" s="1"/>
  <c r="J18" i="7" s="1"/>
  <c r="L19" i="42"/>
  <c r="T21" i="15" s="1"/>
  <c r="J19" i="6" s="1"/>
  <c r="M19" i="42"/>
  <c r="T21" i="14" s="1"/>
  <c r="J19" i="7" s="1"/>
  <c r="L20" i="42"/>
  <c r="T22" i="15" s="1"/>
  <c r="J20" i="6" s="1"/>
  <c r="M20" i="42"/>
  <c r="T22" i="14" s="1"/>
  <c r="J20" i="7" s="1"/>
  <c r="L21" i="42"/>
  <c r="T23" i="15" s="1"/>
  <c r="J21" i="6" s="1"/>
  <c r="M21" i="42"/>
  <c r="T23" i="14" s="1"/>
  <c r="J21" i="7" s="1"/>
  <c r="L22" i="42"/>
  <c r="T24" i="15" s="1"/>
  <c r="J22" i="6" s="1"/>
  <c r="M22" i="42"/>
  <c r="T24" i="14" s="1"/>
  <c r="J22" i="7" s="1"/>
  <c r="L23" i="42"/>
  <c r="T25" i="15" s="1"/>
  <c r="J23" i="6" s="1"/>
  <c r="M23" i="42"/>
  <c r="T25" i="14" s="1"/>
  <c r="J23" i="7" s="1"/>
  <c r="L24" i="42"/>
  <c r="T26" i="15" s="1"/>
  <c r="J24" i="6" s="1"/>
  <c r="M24" i="42"/>
  <c r="T26" i="14" s="1"/>
  <c r="J24" i="7" s="1"/>
  <c r="K25" i="42"/>
  <c r="T27" i="13" s="1"/>
  <c r="J25" i="5" s="1"/>
  <c r="L25" i="42"/>
  <c r="T27" i="15" s="1"/>
  <c r="J25" i="6" s="1"/>
  <c r="M25" i="42"/>
  <c r="T27" i="14" s="1"/>
  <c r="J25" i="7" s="1"/>
  <c r="A32" i="41"/>
  <c r="J32" i="41"/>
  <c r="K32" i="41"/>
  <c r="A33" i="41"/>
  <c r="J33" i="41"/>
  <c r="S8" i="62" s="1"/>
  <c r="I6" i="64" s="1"/>
  <c r="A34" i="41"/>
  <c r="J34" i="41"/>
  <c r="S9" i="62" s="1"/>
  <c r="I7" i="64" s="1"/>
  <c r="A35" i="41"/>
  <c r="J35" i="41"/>
  <c r="S10" i="62" s="1"/>
  <c r="I8" i="64" s="1"/>
  <c r="A36" i="41"/>
  <c r="J36" i="41"/>
  <c r="S11" i="62" s="1"/>
  <c r="I9" i="64" s="1"/>
  <c r="A37" i="41"/>
  <c r="J37" i="41"/>
  <c r="S12" i="62" s="1"/>
  <c r="I10" i="64" s="1"/>
  <c r="A38" i="41"/>
  <c r="J38" i="41"/>
  <c r="A39" i="41"/>
  <c r="J39" i="41"/>
  <c r="S14" i="62" s="1"/>
  <c r="I12" i="64" s="1"/>
  <c r="A40" i="41"/>
  <c r="J40" i="41"/>
  <c r="S15" i="62" s="1"/>
  <c r="I13" i="64" s="1"/>
  <c r="A41" i="41"/>
  <c r="J41" i="41"/>
  <c r="S16" i="62" s="1"/>
  <c r="I14" i="64" s="1"/>
  <c r="K41" i="41"/>
  <c r="S41" i="62" s="1"/>
  <c r="A42" i="41"/>
  <c r="J42" i="41"/>
  <c r="A43" i="41"/>
  <c r="J43" i="41"/>
  <c r="S18" i="62" s="1"/>
  <c r="I16" i="64" s="1"/>
  <c r="A44" i="41"/>
  <c r="J44" i="41"/>
  <c r="S19" i="62" s="1"/>
  <c r="I17" i="64" s="1"/>
  <c r="A45" i="41"/>
  <c r="J45" i="41"/>
  <c r="S20" i="62" s="1"/>
  <c r="I18" i="64" s="1"/>
  <c r="K45" i="41"/>
  <c r="S45" i="62" s="1"/>
  <c r="A46" i="41"/>
  <c r="J46" i="41"/>
  <c r="A47" i="41"/>
  <c r="J47" i="41"/>
  <c r="S22" i="62" s="1"/>
  <c r="I20" i="64" s="1"/>
  <c r="A48" i="41"/>
  <c r="J48" i="41"/>
  <c r="S23" i="62" s="1"/>
  <c r="I21" i="64" s="1"/>
  <c r="A49" i="41"/>
  <c r="J49" i="41"/>
  <c r="S24" i="62" s="1"/>
  <c r="I22" i="64" s="1"/>
  <c r="K49" i="41"/>
  <c r="S49" i="62" s="1"/>
  <c r="A50" i="41"/>
  <c r="J50" i="41"/>
  <c r="A51" i="41"/>
  <c r="J51" i="41"/>
  <c r="S26" i="62" s="1"/>
  <c r="I24" i="64" s="1"/>
  <c r="A52" i="41"/>
  <c r="J52" i="41"/>
  <c r="S27" i="62" s="1"/>
  <c r="I25" i="64" s="1"/>
  <c r="L6" i="41"/>
  <c r="S8" i="15" s="1"/>
  <c r="I6" i="6" s="1"/>
  <c r="M6" i="41"/>
  <c r="S8" i="14" s="1"/>
  <c r="I6" i="7" s="1"/>
  <c r="L7" i="41"/>
  <c r="S9" i="15" s="1"/>
  <c r="I7" i="6" s="1"/>
  <c r="M7" i="41"/>
  <c r="S9" i="14" s="1"/>
  <c r="I7" i="7" s="1"/>
  <c r="L8" i="41"/>
  <c r="S10" i="15" s="1"/>
  <c r="I8" i="6" s="1"/>
  <c r="M8" i="41"/>
  <c r="S10" i="14" s="1"/>
  <c r="I8" i="7" s="1"/>
  <c r="L9" i="41"/>
  <c r="S11" i="15" s="1"/>
  <c r="I9" i="6" s="1"/>
  <c r="M9" i="41"/>
  <c r="S11" i="14" s="1"/>
  <c r="I9" i="7" s="1"/>
  <c r="L10" i="41"/>
  <c r="S12" i="15" s="1"/>
  <c r="I10" i="6" s="1"/>
  <c r="M10" i="41"/>
  <c r="S12" i="14" s="1"/>
  <c r="I10" i="7" s="1"/>
  <c r="K11" i="41"/>
  <c r="S13" i="13" s="1"/>
  <c r="I11" i="5" s="1"/>
  <c r="L11" i="41"/>
  <c r="S13" i="15" s="1"/>
  <c r="I11" i="6" s="1"/>
  <c r="M11" i="41"/>
  <c r="S13" i="14" s="1"/>
  <c r="I11" i="7" s="1"/>
  <c r="L12" i="41"/>
  <c r="S14" i="15" s="1"/>
  <c r="I12" i="6" s="1"/>
  <c r="M12" i="41"/>
  <c r="S14" i="14" s="1"/>
  <c r="I12" i="7" s="1"/>
  <c r="L13" i="41"/>
  <c r="S15" i="15" s="1"/>
  <c r="I13" i="6" s="1"/>
  <c r="M13" i="41"/>
  <c r="S15" i="14" s="1"/>
  <c r="I13" i="7" s="1"/>
  <c r="L14" i="41"/>
  <c r="S16" i="15" s="1"/>
  <c r="I14" i="6" s="1"/>
  <c r="M14" i="41"/>
  <c r="S16" i="14" s="1"/>
  <c r="I14" i="7" s="1"/>
  <c r="L15" i="41"/>
  <c r="S17" i="15" s="1"/>
  <c r="I15" i="6" s="1"/>
  <c r="M15" i="41"/>
  <c r="S17" i="14" s="1"/>
  <c r="I15" i="7" s="1"/>
  <c r="L16" i="41"/>
  <c r="S18" i="15" s="1"/>
  <c r="I16" i="6" s="1"/>
  <c r="M16" i="41"/>
  <c r="S18" i="14" s="1"/>
  <c r="I16" i="7" s="1"/>
  <c r="L17" i="41"/>
  <c r="S19" i="15" s="1"/>
  <c r="I17" i="6" s="1"/>
  <c r="M17" i="41"/>
  <c r="S19" i="14" s="1"/>
  <c r="I17" i="7" s="1"/>
  <c r="L18" i="41"/>
  <c r="S20" i="15" s="1"/>
  <c r="I18" i="6" s="1"/>
  <c r="M18" i="41"/>
  <c r="S20" i="14" s="1"/>
  <c r="I18" i="7" s="1"/>
  <c r="L19" i="41"/>
  <c r="S21" i="15" s="1"/>
  <c r="I19" i="6" s="1"/>
  <c r="M19" i="41"/>
  <c r="S21" i="14" s="1"/>
  <c r="I19" i="7" s="1"/>
  <c r="L20" i="41"/>
  <c r="S22" i="15" s="1"/>
  <c r="I20" i="6" s="1"/>
  <c r="M20" i="41"/>
  <c r="S22" i="14" s="1"/>
  <c r="I20" i="7" s="1"/>
  <c r="L21" i="41"/>
  <c r="S23" i="15" s="1"/>
  <c r="I21" i="6" s="1"/>
  <c r="M21" i="41"/>
  <c r="S23" i="14" s="1"/>
  <c r="I21" i="7" s="1"/>
  <c r="L22" i="41"/>
  <c r="S24" i="15" s="1"/>
  <c r="I22" i="6" s="1"/>
  <c r="M22" i="41"/>
  <c r="S24" i="14" s="1"/>
  <c r="I22" i="7" s="1"/>
  <c r="L23" i="41"/>
  <c r="S25" i="15" s="1"/>
  <c r="I23" i="6" s="1"/>
  <c r="M23" i="41"/>
  <c r="S25" i="14" s="1"/>
  <c r="I23" i="7" s="1"/>
  <c r="L24" i="41"/>
  <c r="S26" i="15" s="1"/>
  <c r="I24" i="6" s="1"/>
  <c r="M24" i="41"/>
  <c r="S26" i="14" s="1"/>
  <c r="I24" i="7" s="1"/>
  <c r="K25" i="41"/>
  <c r="S27" i="13"/>
  <c r="I25" i="5" s="1"/>
  <c r="L25" i="41"/>
  <c r="S27" i="15" s="1"/>
  <c r="I25" i="6" s="1"/>
  <c r="M25" i="41"/>
  <c r="S27" i="14" s="1"/>
  <c r="I25" i="7" s="1"/>
  <c r="A32" i="40"/>
  <c r="J32" i="40"/>
  <c r="K32" i="40" s="1"/>
  <c r="R32" i="62" s="1"/>
  <c r="A33" i="40"/>
  <c r="J33" i="40"/>
  <c r="R8" i="62" s="1"/>
  <c r="H6" i="64" s="1"/>
  <c r="A34" i="40"/>
  <c r="J34" i="40"/>
  <c r="R9" i="62" s="1"/>
  <c r="H7" i="64" s="1"/>
  <c r="A35" i="40"/>
  <c r="J35" i="40"/>
  <c r="A36" i="40"/>
  <c r="J36" i="40"/>
  <c r="R11" i="62" s="1"/>
  <c r="H9" i="64" s="1"/>
  <c r="K36" i="40"/>
  <c r="R36" i="62" s="1"/>
  <c r="A37" i="40"/>
  <c r="J37" i="40"/>
  <c r="R12" i="62" s="1"/>
  <c r="H10" i="64" s="1"/>
  <c r="A38" i="40"/>
  <c r="J38" i="40"/>
  <c r="R13" i="62" s="1"/>
  <c r="H11" i="64" s="1"/>
  <c r="A39" i="40"/>
  <c r="J39" i="40"/>
  <c r="A40" i="40"/>
  <c r="J40" i="40"/>
  <c r="R15" i="62" s="1"/>
  <c r="H13" i="64" s="1"/>
  <c r="K40" i="40"/>
  <c r="R40" i="62" s="1"/>
  <c r="A41" i="40"/>
  <c r="J41" i="40"/>
  <c r="R16" i="62" s="1"/>
  <c r="H14" i="64" s="1"/>
  <c r="A42" i="40"/>
  <c r="J42" i="40"/>
  <c r="R17" i="62" s="1"/>
  <c r="H15" i="64" s="1"/>
  <c r="A43" i="40"/>
  <c r="J43" i="40"/>
  <c r="A44" i="40"/>
  <c r="J44" i="40"/>
  <c r="R19" i="62" s="1"/>
  <c r="H17" i="64" s="1"/>
  <c r="K44" i="40"/>
  <c r="R44" i="62" s="1"/>
  <c r="A45" i="40"/>
  <c r="J45" i="40"/>
  <c r="R20" i="62" s="1"/>
  <c r="H18" i="64" s="1"/>
  <c r="A46" i="40"/>
  <c r="J46" i="40"/>
  <c r="R21" i="62" s="1"/>
  <c r="H19" i="64" s="1"/>
  <c r="A47" i="40"/>
  <c r="J47" i="40"/>
  <c r="A48" i="40"/>
  <c r="J48" i="40"/>
  <c r="R23" i="62" s="1"/>
  <c r="H21" i="64" s="1"/>
  <c r="K48" i="40"/>
  <c r="R48" i="62" s="1"/>
  <c r="A49" i="40"/>
  <c r="J49" i="40"/>
  <c r="R24" i="62" s="1"/>
  <c r="H22" i="64" s="1"/>
  <c r="A50" i="40"/>
  <c r="J50" i="40"/>
  <c r="R25" i="62" s="1"/>
  <c r="H23" i="64" s="1"/>
  <c r="A51" i="40"/>
  <c r="J51" i="40"/>
  <c r="A52" i="40"/>
  <c r="J52" i="40"/>
  <c r="R27" i="62" s="1"/>
  <c r="H25" i="64" s="1"/>
  <c r="K52" i="40"/>
  <c r="R52" i="62" s="1"/>
  <c r="L6" i="40"/>
  <c r="R8" i="15" s="1"/>
  <c r="H6" i="6" s="1"/>
  <c r="M6" i="40"/>
  <c r="R8" i="14" s="1"/>
  <c r="H6" i="7" s="1"/>
  <c r="L7" i="40"/>
  <c r="R9" i="15" s="1"/>
  <c r="H7" i="6" s="1"/>
  <c r="M7" i="40"/>
  <c r="R9" i="14" s="1"/>
  <c r="H7" i="7" s="1"/>
  <c r="L8" i="40"/>
  <c r="R10" i="15" s="1"/>
  <c r="H8" i="6" s="1"/>
  <c r="M8" i="40"/>
  <c r="R10" i="14" s="1"/>
  <c r="H8" i="7" s="1"/>
  <c r="L9" i="40"/>
  <c r="R11" i="15" s="1"/>
  <c r="H9" i="6" s="1"/>
  <c r="M9" i="40"/>
  <c r="R11" i="14" s="1"/>
  <c r="H9" i="7" s="1"/>
  <c r="L10" i="40"/>
  <c r="R12" i="15" s="1"/>
  <c r="H10" i="6" s="1"/>
  <c r="M10" i="40"/>
  <c r="R12" i="14" s="1"/>
  <c r="H10" i="7" s="1"/>
  <c r="L11" i="40"/>
  <c r="R13" i="15" s="1"/>
  <c r="H11" i="6" s="1"/>
  <c r="M11" i="40"/>
  <c r="R13" i="14" s="1"/>
  <c r="H11" i="7" s="1"/>
  <c r="L12" i="40"/>
  <c r="R14" i="15" s="1"/>
  <c r="H12" i="6" s="1"/>
  <c r="M12" i="40"/>
  <c r="R14" i="14" s="1"/>
  <c r="H12" i="7" s="1"/>
  <c r="L13" i="40"/>
  <c r="R15" i="15" s="1"/>
  <c r="H13" i="6" s="1"/>
  <c r="M13" i="40"/>
  <c r="R15" i="14" s="1"/>
  <c r="H13" i="7" s="1"/>
  <c r="L14" i="40"/>
  <c r="R16" i="15" s="1"/>
  <c r="H14" i="6" s="1"/>
  <c r="M14" i="40"/>
  <c r="R16" i="14" s="1"/>
  <c r="H14" i="7" s="1"/>
  <c r="L15" i="40"/>
  <c r="R17" i="15" s="1"/>
  <c r="H15" i="6" s="1"/>
  <c r="M15" i="40"/>
  <c r="R17" i="14" s="1"/>
  <c r="H15" i="7" s="1"/>
  <c r="L16" i="40"/>
  <c r="R18" i="15" s="1"/>
  <c r="H16" i="6" s="1"/>
  <c r="M16" i="40"/>
  <c r="R18" i="14" s="1"/>
  <c r="H16" i="7" s="1"/>
  <c r="L17" i="40"/>
  <c r="R19" i="15" s="1"/>
  <c r="H17" i="6" s="1"/>
  <c r="M17" i="40"/>
  <c r="R19" i="14" s="1"/>
  <c r="H17" i="7" s="1"/>
  <c r="L18" i="40"/>
  <c r="R20" i="15" s="1"/>
  <c r="H18" i="6" s="1"/>
  <c r="M18" i="40"/>
  <c r="R20" i="14" s="1"/>
  <c r="H18" i="7" s="1"/>
  <c r="L19" i="40"/>
  <c r="R21" i="15" s="1"/>
  <c r="H19" i="6" s="1"/>
  <c r="M19" i="40"/>
  <c r="R21" i="14" s="1"/>
  <c r="H19" i="7" s="1"/>
  <c r="L20" i="40"/>
  <c r="R22" i="15" s="1"/>
  <c r="H20" i="6" s="1"/>
  <c r="M20" i="40"/>
  <c r="R22" i="14" s="1"/>
  <c r="H20" i="7" s="1"/>
  <c r="L21" i="40"/>
  <c r="R23" i="15" s="1"/>
  <c r="H21" i="6" s="1"/>
  <c r="M21" i="40"/>
  <c r="R23" i="14" s="1"/>
  <c r="H21" i="7" s="1"/>
  <c r="L22" i="40"/>
  <c r="R24" i="15" s="1"/>
  <c r="H22" i="6" s="1"/>
  <c r="M22" i="40"/>
  <c r="R24" i="14" s="1"/>
  <c r="H22" i="7" s="1"/>
  <c r="L23" i="40"/>
  <c r="R25" i="15" s="1"/>
  <c r="H23" i="6" s="1"/>
  <c r="M23" i="40"/>
  <c r="R25" i="14" s="1"/>
  <c r="H23" i="7" s="1"/>
  <c r="L24" i="40"/>
  <c r="R26" i="15" s="1"/>
  <c r="H24" i="6" s="1"/>
  <c r="M24" i="40"/>
  <c r="R26" i="14" s="1"/>
  <c r="H24" i="7" s="1"/>
  <c r="K25" i="40"/>
  <c r="R27" i="13"/>
  <c r="H25" i="5" s="1"/>
  <c r="L25" i="40"/>
  <c r="R27" i="15" s="1"/>
  <c r="H25" i="6" s="1"/>
  <c r="M25" i="40"/>
  <c r="R27" i="14" s="1"/>
  <c r="H25" i="7" s="1"/>
  <c r="A32" i="39"/>
  <c r="J32" i="39"/>
  <c r="K32" i="39" s="1"/>
  <c r="Q32" i="62" s="1"/>
  <c r="A33" i="39"/>
  <c r="J33" i="39"/>
  <c r="Q8" i="62" s="1"/>
  <c r="G6" i="64" s="1"/>
  <c r="A34" i="39"/>
  <c r="J34" i="39"/>
  <c r="Q9" i="62" s="1"/>
  <c r="G7" i="64" s="1"/>
  <c r="K34" i="39"/>
  <c r="Q34" i="62" s="1"/>
  <c r="A35" i="39"/>
  <c r="J35" i="39"/>
  <c r="A36" i="39"/>
  <c r="J36" i="39"/>
  <c r="Q11" i="62" s="1"/>
  <c r="G9" i="64" s="1"/>
  <c r="A37" i="39"/>
  <c r="J37" i="39"/>
  <c r="Q12" i="62" s="1"/>
  <c r="G10" i="64" s="1"/>
  <c r="A38" i="39"/>
  <c r="J38" i="39"/>
  <c r="Q13" i="62" s="1"/>
  <c r="G11" i="64" s="1"/>
  <c r="K38" i="39"/>
  <c r="Q38" i="62" s="1"/>
  <c r="A39" i="39"/>
  <c r="J39" i="39"/>
  <c r="A40" i="39"/>
  <c r="J40" i="39"/>
  <c r="Q15" i="62" s="1"/>
  <c r="G13" i="64" s="1"/>
  <c r="A41" i="39"/>
  <c r="J41" i="39"/>
  <c r="Q16" i="62" s="1"/>
  <c r="G14" i="64" s="1"/>
  <c r="A42" i="39"/>
  <c r="J42" i="39"/>
  <c r="Q17" i="62" s="1"/>
  <c r="G15" i="64" s="1"/>
  <c r="K42" i="39"/>
  <c r="Q42" i="62" s="1"/>
  <c r="A43" i="39"/>
  <c r="J43" i="39"/>
  <c r="A44" i="39"/>
  <c r="J44" i="39"/>
  <c r="Q19" i="62" s="1"/>
  <c r="G17" i="64" s="1"/>
  <c r="A45" i="39"/>
  <c r="J45" i="39"/>
  <c r="Q20" i="62" s="1"/>
  <c r="G18" i="64" s="1"/>
  <c r="A46" i="39"/>
  <c r="J46" i="39"/>
  <c r="Q21" i="62" s="1"/>
  <c r="G19" i="64" s="1"/>
  <c r="K46" i="39"/>
  <c r="Q46" i="62" s="1"/>
  <c r="A47" i="39"/>
  <c r="J47" i="39"/>
  <c r="A48" i="39"/>
  <c r="J48" i="39"/>
  <c r="Q23" i="62" s="1"/>
  <c r="G21" i="64" s="1"/>
  <c r="A49" i="39"/>
  <c r="J49" i="39"/>
  <c r="Q24" i="62" s="1"/>
  <c r="G22" i="64" s="1"/>
  <c r="A50" i="39"/>
  <c r="J50" i="39"/>
  <c r="Q25" i="62" s="1"/>
  <c r="G23" i="64" s="1"/>
  <c r="K50" i="39"/>
  <c r="Q50" i="62" s="1"/>
  <c r="A51" i="39"/>
  <c r="J51" i="39"/>
  <c r="A52" i="39"/>
  <c r="J52" i="39"/>
  <c r="Q27" i="62" s="1"/>
  <c r="G25" i="64" s="1"/>
  <c r="L6" i="39"/>
  <c r="Q8" i="15" s="1"/>
  <c r="G6" i="6" s="1"/>
  <c r="M6" i="39"/>
  <c r="Q8" i="14" s="1"/>
  <c r="G6" i="7" s="1"/>
  <c r="L7" i="39"/>
  <c r="Q9" i="15" s="1"/>
  <c r="G7" i="6" s="1"/>
  <c r="M7" i="39"/>
  <c r="Q9" i="14" s="1"/>
  <c r="G7" i="7" s="1"/>
  <c r="L8" i="39"/>
  <c r="Q10" i="15" s="1"/>
  <c r="G8" i="6" s="1"/>
  <c r="M8" i="39"/>
  <c r="Q10" i="14" s="1"/>
  <c r="G8" i="7" s="1"/>
  <c r="L9" i="39"/>
  <c r="Q11" i="15" s="1"/>
  <c r="G9" i="6" s="1"/>
  <c r="M9" i="39"/>
  <c r="Q11" i="14" s="1"/>
  <c r="G9" i="7" s="1"/>
  <c r="L10" i="39"/>
  <c r="Q12" i="15" s="1"/>
  <c r="G10" i="6" s="1"/>
  <c r="M10" i="39"/>
  <c r="Q12" i="14" s="1"/>
  <c r="G10" i="7" s="1"/>
  <c r="K11" i="39"/>
  <c r="Q13" i="13" s="1"/>
  <c r="G11" i="5" s="1"/>
  <c r="L11" i="39"/>
  <c r="Q13" i="15" s="1"/>
  <c r="G11" i="6" s="1"/>
  <c r="M11" i="39"/>
  <c r="Q13" i="14" s="1"/>
  <c r="G11" i="7" s="1"/>
  <c r="L12" i="39"/>
  <c r="Q14" i="15" s="1"/>
  <c r="G12" i="6" s="1"/>
  <c r="M12" i="39"/>
  <c r="Q14" i="14" s="1"/>
  <c r="G12" i="7" s="1"/>
  <c r="L13" i="39"/>
  <c r="Q15" i="15" s="1"/>
  <c r="G13" i="6" s="1"/>
  <c r="M13" i="39"/>
  <c r="Q15" i="14" s="1"/>
  <c r="G13" i="7" s="1"/>
  <c r="L14" i="39"/>
  <c r="Q16" i="15" s="1"/>
  <c r="G14" i="6" s="1"/>
  <c r="M14" i="39"/>
  <c r="Q16" i="14" s="1"/>
  <c r="G14" i="7" s="1"/>
  <c r="L15" i="39"/>
  <c r="Q17" i="15" s="1"/>
  <c r="G15" i="6" s="1"/>
  <c r="M15" i="39"/>
  <c r="Q17" i="14" s="1"/>
  <c r="G15" i="7" s="1"/>
  <c r="L16" i="39"/>
  <c r="Q18" i="15" s="1"/>
  <c r="G16" i="6" s="1"/>
  <c r="M16" i="39"/>
  <c r="Q18" i="14" s="1"/>
  <c r="G16" i="7" s="1"/>
  <c r="L17" i="39"/>
  <c r="Q19" i="15" s="1"/>
  <c r="G17" i="6" s="1"/>
  <c r="M17" i="39"/>
  <c r="Q19" i="14" s="1"/>
  <c r="G17" i="7" s="1"/>
  <c r="L18" i="39"/>
  <c r="Q20" i="15" s="1"/>
  <c r="G18" i="6" s="1"/>
  <c r="M18" i="39"/>
  <c r="Q20" i="14" s="1"/>
  <c r="G18" i="7" s="1"/>
  <c r="L19" i="39"/>
  <c r="Q21" i="15" s="1"/>
  <c r="G19" i="6" s="1"/>
  <c r="M19" i="39"/>
  <c r="Q21" i="14" s="1"/>
  <c r="G19" i="7" s="1"/>
  <c r="L20" i="39"/>
  <c r="Q22" i="15" s="1"/>
  <c r="G20" i="6" s="1"/>
  <c r="M20" i="39"/>
  <c r="Q22" i="14" s="1"/>
  <c r="G20" i="7" s="1"/>
  <c r="L21" i="39"/>
  <c r="Q23" i="15" s="1"/>
  <c r="G21" i="6" s="1"/>
  <c r="M21" i="39"/>
  <c r="Q23" i="14" s="1"/>
  <c r="G21" i="7" s="1"/>
  <c r="L22" i="39"/>
  <c r="Q24" i="15" s="1"/>
  <c r="G22" i="6" s="1"/>
  <c r="M22" i="39"/>
  <c r="Q24" i="14" s="1"/>
  <c r="G22" i="7" s="1"/>
  <c r="L23" i="39"/>
  <c r="Q25" i="15" s="1"/>
  <c r="G23" i="6" s="1"/>
  <c r="M23" i="39"/>
  <c r="Q25" i="14" s="1"/>
  <c r="G23" i="7" s="1"/>
  <c r="L24" i="39"/>
  <c r="Q26" i="15" s="1"/>
  <c r="G24" i="6" s="1"/>
  <c r="M24" i="39"/>
  <c r="Q26" i="14" s="1"/>
  <c r="G24" i="7" s="1"/>
  <c r="K25" i="39"/>
  <c r="Q27" i="13" s="1"/>
  <c r="G25" i="5" s="1"/>
  <c r="L25" i="39"/>
  <c r="Q27" i="15" s="1"/>
  <c r="G25" i="6" s="1"/>
  <c r="M25" i="39"/>
  <c r="Q27" i="14" s="1"/>
  <c r="G25" i="7" s="1"/>
  <c r="A32" i="38"/>
  <c r="J32" i="38"/>
  <c r="K32" i="38"/>
  <c r="P32" i="62" s="1"/>
  <c r="A33" i="38"/>
  <c r="J33" i="38"/>
  <c r="P8" i="62" s="1"/>
  <c r="F6" i="64" s="1"/>
  <c r="K33" i="38"/>
  <c r="P33" i="62" s="1"/>
  <c r="A34" i="38"/>
  <c r="J34" i="38"/>
  <c r="P9" i="62" s="1"/>
  <c r="F7" i="64" s="1"/>
  <c r="A35" i="38"/>
  <c r="J35" i="38"/>
  <c r="P10" i="62" s="1"/>
  <c r="F8" i="64" s="1"/>
  <c r="A36" i="38"/>
  <c r="J36" i="38"/>
  <c r="A37" i="38"/>
  <c r="J37" i="38"/>
  <c r="P12" i="62" s="1"/>
  <c r="F10" i="64" s="1"/>
  <c r="K37" i="38"/>
  <c r="P37" i="62" s="1"/>
  <c r="A38" i="38"/>
  <c r="J38" i="38"/>
  <c r="P13" i="62" s="1"/>
  <c r="F11" i="64" s="1"/>
  <c r="A39" i="38"/>
  <c r="J39" i="38"/>
  <c r="P14" i="62" s="1"/>
  <c r="F12" i="64" s="1"/>
  <c r="A40" i="38"/>
  <c r="J40" i="38"/>
  <c r="A41" i="38"/>
  <c r="J41" i="38"/>
  <c r="P16" i="62" s="1"/>
  <c r="F14" i="64" s="1"/>
  <c r="K41" i="38"/>
  <c r="P41" i="62" s="1"/>
  <c r="A42" i="38"/>
  <c r="J42" i="38"/>
  <c r="P17" i="62" s="1"/>
  <c r="F15" i="64" s="1"/>
  <c r="A43" i="38"/>
  <c r="J43" i="38"/>
  <c r="P18" i="62" s="1"/>
  <c r="F16" i="64" s="1"/>
  <c r="A44" i="38"/>
  <c r="J44" i="38"/>
  <c r="A45" i="38"/>
  <c r="J45" i="38"/>
  <c r="P20" i="62" s="1"/>
  <c r="F18" i="64" s="1"/>
  <c r="K45" i="38"/>
  <c r="P45" i="62" s="1"/>
  <c r="A46" i="38"/>
  <c r="J46" i="38"/>
  <c r="P21" i="62" s="1"/>
  <c r="F19" i="64" s="1"/>
  <c r="A47" i="38"/>
  <c r="J47" i="38"/>
  <c r="P22" i="62" s="1"/>
  <c r="F20" i="64" s="1"/>
  <c r="A48" i="38"/>
  <c r="J48" i="38"/>
  <c r="A49" i="38"/>
  <c r="J49" i="38"/>
  <c r="P24" i="62" s="1"/>
  <c r="F22" i="64" s="1"/>
  <c r="K49" i="38"/>
  <c r="P49" i="62" s="1"/>
  <c r="A50" i="38"/>
  <c r="J50" i="38"/>
  <c r="P25" i="62" s="1"/>
  <c r="F23" i="64" s="1"/>
  <c r="A51" i="38"/>
  <c r="J51" i="38"/>
  <c r="P26" i="62" s="1"/>
  <c r="F24" i="64" s="1"/>
  <c r="A52" i="38"/>
  <c r="J52" i="38"/>
  <c r="L6" i="38"/>
  <c r="P8" i="15" s="1"/>
  <c r="F6" i="6" s="1"/>
  <c r="M6" i="38"/>
  <c r="P8" i="14" s="1"/>
  <c r="F6" i="7" s="1"/>
  <c r="L7" i="38"/>
  <c r="P9" i="15" s="1"/>
  <c r="F7" i="6" s="1"/>
  <c r="M7" i="38"/>
  <c r="P9" i="14" s="1"/>
  <c r="F7" i="7" s="1"/>
  <c r="L8" i="38"/>
  <c r="P10" i="15" s="1"/>
  <c r="F8" i="6" s="1"/>
  <c r="M8" i="38"/>
  <c r="P10" i="14" s="1"/>
  <c r="F8" i="7" s="1"/>
  <c r="L9" i="38"/>
  <c r="P11" i="15" s="1"/>
  <c r="F9" i="6" s="1"/>
  <c r="M9" i="38"/>
  <c r="P11" i="14" s="1"/>
  <c r="F9" i="7" s="1"/>
  <c r="L10" i="38"/>
  <c r="P12" i="15" s="1"/>
  <c r="F10" i="6" s="1"/>
  <c r="M10" i="38"/>
  <c r="P12" i="14" s="1"/>
  <c r="F10" i="7" s="1"/>
  <c r="K11" i="38"/>
  <c r="P13" i="13" s="1"/>
  <c r="F11" i="5" s="1"/>
  <c r="L11" i="38"/>
  <c r="P13" i="15" s="1"/>
  <c r="F11" i="6" s="1"/>
  <c r="M11" i="38"/>
  <c r="P13" i="14" s="1"/>
  <c r="F11" i="7" s="1"/>
  <c r="L12" i="38"/>
  <c r="P14" i="15" s="1"/>
  <c r="F12" i="6" s="1"/>
  <c r="M12" i="38"/>
  <c r="P14" i="14" s="1"/>
  <c r="F12" i="7" s="1"/>
  <c r="L13" i="38"/>
  <c r="P15" i="15" s="1"/>
  <c r="F13" i="6" s="1"/>
  <c r="M13" i="38"/>
  <c r="P15" i="14" s="1"/>
  <c r="F13" i="7" s="1"/>
  <c r="L14" i="38"/>
  <c r="P16" i="15" s="1"/>
  <c r="F14" i="6" s="1"/>
  <c r="M14" i="38"/>
  <c r="P16" i="14" s="1"/>
  <c r="F14" i="7" s="1"/>
  <c r="L15" i="38"/>
  <c r="P17" i="15" s="1"/>
  <c r="F15" i="6" s="1"/>
  <c r="M15" i="38"/>
  <c r="P17" i="14" s="1"/>
  <c r="F15" i="7" s="1"/>
  <c r="L16" i="38"/>
  <c r="P18" i="15" s="1"/>
  <c r="F16" i="6" s="1"/>
  <c r="M16" i="38"/>
  <c r="P18" i="14" s="1"/>
  <c r="F16" i="7" s="1"/>
  <c r="L17" i="38"/>
  <c r="P19" i="15" s="1"/>
  <c r="F17" i="6" s="1"/>
  <c r="M17" i="38"/>
  <c r="P19" i="14" s="1"/>
  <c r="F17" i="7" s="1"/>
  <c r="L18" i="38"/>
  <c r="P20" i="15" s="1"/>
  <c r="F18" i="6" s="1"/>
  <c r="M18" i="38"/>
  <c r="P20" i="14" s="1"/>
  <c r="F18" i="7" s="1"/>
  <c r="L19" i="38"/>
  <c r="P21" i="15" s="1"/>
  <c r="F19" i="6" s="1"/>
  <c r="M19" i="38"/>
  <c r="P21" i="14" s="1"/>
  <c r="F19" i="7" s="1"/>
  <c r="L20" i="38"/>
  <c r="P22" i="15" s="1"/>
  <c r="F20" i="6" s="1"/>
  <c r="M20" i="38"/>
  <c r="P22" i="14" s="1"/>
  <c r="F20" i="7" s="1"/>
  <c r="L21" i="38"/>
  <c r="P23" i="15" s="1"/>
  <c r="F21" i="6" s="1"/>
  <c r="M21" i="38"/>
  <c r="P23" i="14" s="1"/>
  <c r="F21" i="7" s="1"/>
  <c r="L22" i="38"/>
  <c r="P24" i="15" s="1"/>
  <c r="F22" i="6" s="1"/>
  <c r="M22" i="38"/>
  <c r="P24" i="14" s="1"/>
  <c r="F22" i="7" s="1"/>
  <c r="L23" i="38"/>
  <c r="P25" i="15" s="1"/>
  <c r="F23" i="6" s="1"/>
  <c r="M23" i="38"/>
  <c r="P25" i="14" s="1"/>
  <c r="F23" i="7" s="1"/>
  <c r="L24" i="38"/>
  <c r="P26" i="15" s="1"/>
  <c r="F24" i="6" s="1"/>
  <c r="M24" i="38"/>
  <c r="P26" i="14" s="1"/>
  <c r="F24" i="7" s="1"/>
  <c r="K25" i="38"/>
  <c r="P27" i="13" s="1"/>
  <c r="F25" i="5" s="1"/>
  <c r="L25" i="38"/>
  <c r="P27" i="15" s="1"/>
  <c r="F25" i="6" s="1"/>
  <c r="M25" i="38"/>
  <c r="P27" i="14" s="1"/>
  <c r="F25" i="7" s="1"/>
  <c r="A32" i="37"/>
  <c r="J32" i="37"/>
  <c r="K32" i="37" s="1"/>
  <c r="O32" i="62" s="1"/>
  <c r="A33" i="37"/>
  <c r="J33" i="37"/>
  <c r="O8" i="62" s="1"/>
  <c r="E6" i="64" s="1"/>
  <c r="A34" i="37"/>
  <c r="J34" i="37"/>
  <c r="A35" i="37"/>
  <c r="J35" i="37"/>
  <c r="O10" i="62" s="1"/>
  <c r="E8" i="64" s="1"/>
  <c r="K35" i="37"/>
  <c r="O35" i="62" s="1"/>
  <c r="A36" i="37"/>
  <c r="J36" i="37"/>
  <c r="O11" i="62" s="1"/>
  <c r="E9" i="64" s="1"/>
  <c r="A37" i="37"/>
  <c r="J37" i="37"/>
  <c r="O12" i="62" s="1"/>
  <c r="E10" i="64" s="1"/>
  <c r="A38" i="37"/>
  <c r="J38" i="37"/>
  <c r="A39" i="37"/>
  <c r="J39" i="37"/>
  <c r="O14" i="62" s="1"/>
  <c r="E12" i="64" s="1"/>
  <c r="K39" i="37"/>
  <c r="O39" i="62" s="1"/>
  <c r="A40" i="37"/>
  <c r="J40" i="37"/>
  <c r="O15" i="62" s="1"/>
  <c r="E13" i="64" s="1"/>
  <c r="A41" i="37"/>
  <c r="J41" i="37"/>
  <c r="O16" i="62" s="1"/>
  <c r="E14" i="64" s="1"/>
  <c r="A42" i="37"/>
  <c r="J42" i="37"/>
  <c r="A43" i="37"/>
  <c r="J43" i="37"/>
  <c r="O18" i="62" s="1"/>
  <c r="E16" i="64" s="1"/>
  <c r="K43" i="37"/>
  <c r="O43" i="62" s="1"/>
  <c r="A44" i="37"/>
  <c r="J44" i="37"/>
  <c r="O19" i="62" s="1"/>
  <c r="E17" i="64" s="1"/>
  <c r="A45" i="37"/>
  <c r="J45" i="37"/>
  <c r="O20" i="62" s="1"/>
  <c r="E18" i="64" s="1"/>
  <c r="A46" i="37"/>
  <c r="J46" i="37"/>
  <c r="A47" i="37"/>
  <c r="J47" i="37"/>
  <c r="O22" i="62" s="1"/>
  <c r="E20" i="64" s="1"/>
  <c r="K47" i="37"/>
  <c r="O47" i="62" s="1"/>
  <c r="A48" i="37"/>
  <c r="J48" i="37"/>
  <c r="O23" i="62" s="1"/>
  <c r="E21" i="64" s="1"/>
  <c r="A49" i="37"/>
  <c r="J49" i="37"/>
  <c r="O24" i="62" s="1"/>
  <c r="E22" i="64" s="1"/>
  <c r="A50" i="37"/>
  <c r="J50" i="37"/>
  <c r="A51" i="37"/>
  <c r="J51" i="37"/>
  <c r="O26" i="62" s="1"/>
  <c r="E24" i="64" s="1"/>
  <c r="K51" i="37"/>
  <c r="O51" i="62" s="1"/>
  <c r="A52" i="37"/>
  <c r="J52" i="37"/>
  <c r="O27" i="62" s="1"/>
  <c r="E25" i="64" s="1"/>
  <c r="L6" i="37"/>
  <c r="O8" i="15" s="1"/>
  <c r="E6" i="6" s="1"/>
  <c r="M6" i="37"/>
  <c r="O8" i="14" s="1"/>
  <c r="E6" i="7" s="1"/>
  <c r="L7" i="37"/>
  <c r="O9" i="15" s="1"/>
  <c r="E7" i="6" s="1"/>
  <c r="M7" i="37"/>
  <c r="O9" i="14" s="1"/>
  <c r="E7" i="7" s="1"/>
  <c r="L8" i="37"/>
  <c r="O10" i="15" s="1"/>
  <c r="E8" i="6" s="1"/>
  <c r="M8" i="37"/>
  <c r="O10" i="14" s="1"/>
  <c r="E8" i="7" s="1"/>
  <c r="L9" i="37"/>
  <c r="O11" i="15" s="1"/>
  <c r="E9" i="6" s="1"/>
  <c r="M9" i="37"/>
  <c r="O11" i="14" s="1"/>
  <c r="E9" i="7" s="1"/>
  <c r="L10" i="37"/>
  <c r="O12" i="15" s="1"/>
  <c r="E10" i="6" s="1"/>
  <c r="M10" i="37"/>
  <c r="O12" i="14" s="1"/>
  <c r="E10" i="7" s="1"/>
  <c r="K11" i="37"/>
  <c r="O13" i="13" s="1"/>
  <c r="E11" i="5" s="1"/>
  <c r="L11" i="37"/>
  <c r="O13" i="15" s="1"/>
  <c r="E11" i="6" s="1"/>
  <c r="M11" i="37"/>
  <c r="O13" i="14" s="1"/>
  <c r="E11" i="7" s="1"/>
  <c r="L12" i="37"/>
  <c r="O14" i="15" s="1"/>
  <c r="E12" i="6" s="1"/>
  <c r="M12" i="37"/>
  <c r="O14" i="14" s="1"/>
  <c r="E12" i="7" s="1"/>
  <c r="L13" i="37"/>
  <c r="O15" i="15" s="1"/>
  <c r="E13" i="6" s="1"/>
  <c r="M13" i="37"/>
  <c r="O15" i="14" s="1"/>
  <c r="E13" i="7" s="1"/>
  <c r="L14" i="37"/>
  <c r="O16" i="15" s="1"/>
  <c r="E14" i="6" s="1"/>
  <c r="M14" i="37"/>
  <c r="O16" i="14" s="1"/>
  <c r="E14" i="7" s="1"/>
  <c r="L15" i="37"/>
  <c r="O17" i="15" s="1"/>
  <c r="E15" i="6" s="1"/>
  <c r="M15" i="37"/>
  <c r="O17" i="14" s="1"/>
  <c r="E15" i="7" s="1"/>
  <c r="L16" i="37"/>
  <c r="O18" i="15" s="1"/>
  <c r="E16" i="6" s="1"/>
  <c r="M16" i="37"/>
  <c r="O18" i="14" s="1"/>
  <c r="E16" i="7" s="1"/>
  <c r="L17" i="37"/>
  <c r="O19" i="15" s="1"/>
  <c r="E17" i="6" s="1"/>
  <c r="M17" i="37"/>
  <c r="O19" i="14" s="1"/>
  <c r="E17" i="7" s="1"/>
  <c r="L18" i="37"/>
  <c r="O20" i="15" s="1"/>
  <c r="E18" i="6" s="1"/>
  <c r="M18" i="37"/>
  <c r="O20" i="14" s="1"/>
  <c r="E18" i="7" s="1"/>
  <c r="L19" i="37"/>
  <c r="O21" i="15" s="1"/>
  <c r="E19" i="6" s="1"/>
  <c r="M19" i="37"/>
  <c r="O21" i="14" s="1"/>
  <c r="E19" i="7" s="1"/>
  <c r="L20" i="37"/>
  <c r="O22" i="15" s="1"/>
  <c r="E20" i="6" s="1"/>
  <c r="M20" i="37"/>
  <c r="O22" i="14" s="1"/>
  <c r="E20" i="7" s="1"/>
  <c r="L21" i="37"/>
  <c r="O23" i="15" s="1"/>
  <c r="E21" i="6" s="1"/>
  <c r="M21" i="37"/>
  <c r="O23" i="14" s="1"/>
  <c r="E21" i="7" s="1"/>
  <c r="L22" i="37"/>
  <c r="O24" i="15" s="1"/>
  <c r="E22" i="6" s="1"/>
  <c r="M22" i="37"/>
  <c r="O24" i="14" s="1"/>
  <c r="E22" i="7" s="1"/>
  <c r="L23" i="37"/>
  <c r="O25" i="15" s="1"/>
  <c r="E23" i="6" s="1"/>
  <c r="M23" i="37"/>
  <c r="O25" i="14" s="1"/>
  <c r="E23" i="7" s="1"/>
  <c r="L24" i="37"/>
  <c r="O26" i="15" s="1"/>
  <c r="E24" i="6" s="1"/>
  <c r="M24" i="37"/>
  <c r="O26" i="14" s="1"/>
  <c r="E24" i="7" s="1"/>
  <c r="K25" i="37"/>
  <c r="O27" i="13" s="1"/>
  <c r="E25" i="5" s="1"/>
  <c r="L25" i="37"/>
  <c r="O27" i="15" s="1"/>
  <c r="E25" i="6" s="1"/>
  <c r="M25" i="37"/>
  <c r="O27" i="14" s="1"/>
  <c r="E25" i="7" s="1"/>
  <c r="A32" i="36"/>
  <c r="J32" i="36"/>
  <c r="K32" i="36" s="1"/>
  <c r="N32" i="62" s="1"/>
  <c r="A33" i="36"/>
  <c r="J33" i="36"/>
  <c r="A34" i="36"/>
  <c r="J34" i="36"/>
  <c r="N9" i="62" s="1"/>
  <c r="D7" i="64" s="1"/>
  <c r="A35" i="36"/>
  <c r="J35" i="36"/>
  <c r="N10" i="62" s="1"/>
  <c r="D8" i="64" s="1"/>
  <c r="A36" i="36"/>
  <c r="J36" i="36"/>
  <c r="N11" i="62" s="1"/>
  <c r="D9" i="64" s="1"/>
  <c r="K36" i="36"/>
  <c r="N36" i="62" s="1"/>
  <c r="A37" i="36"/>
  <c r="J37" i="36"/>
  <c r="A38" i="36"/>
  <c r="J38" i="36"/>
  <c r="N13" i="62" s="1"/>
  <c r="D11" i="64" s="1"/>
  <c r="A39" i="36"/>
  <c r="J39" i="36"/>
  <c r="N14" i="62" s="1"/>
  <c r="D12" i="64" s="1"/>
  <c r="A40" i="36"/>
  <c r="J40" i="36"/>
  <c r="N15" i="62" s="1"/>
  <c r="D13" i="64" s="1"/>
  <c r="K40" i="36"/>
  <c r="N40" i="62" s="1"/>
  <c r="A41" i="36"/>
  <c r="J41" i="36"/>
  <c r="A42" i="36"/>
  <c r="J42" i="36"/>
  <c r="N17" i="62" s="1"/>
  <c r="D15" i="64" s="1"/>
  <c r="A43" i="36"/>
  <c r="J43" i="36"/>
  <c r="N18" i="62" s="1"/>
  <c r="D16" i="64" s="1"/>
  <c r="A44" i="36"/>
  <c r="J44" i="36"/>
  <c r="N19" i="62" s="1"/>
  <c r="D17" i="64" s="1"/>
  <c r="K44" i="36"/>
  <c r="N44" i="62" s="1"/>
  <c r="A45" i="36"/>
  <c r="J45" i="36"/>
  <c r="A46" i="36"/>
  <c r="J46" i="36"/>
  <c r="N21" i="62" s="1"/>
  <c r="D19" i="64" s="1"/>
  <c r="A47" i="36"/>
  <c r="J47" i="36"/>
  <c r="N22" i="62" s="1"/>
  <c r="D20" i="64" s="1"/>
  <c r="A48" i="36"/>
  <c r="J48" i="36"/>
  <c r="N23" i="62" s="1"/>
  <c r="D21" i="64" s="1"/>
  <c r="K48" i="36"/>
  <c r="N48" i="62" s="1"/>
  <c r="A49" i="36"/>
  <c r="J49" i="36"/>
  <c r="A50" i="36"/>
  <c r="J50" i="36"/>
  <c r="N25" i="62" s="1"/>
  <c r="D23" i="64" s="1"/>
  <c r="A51" i="36"/>
  <c r="J51" i="36"/>
  <c r="N26" i="62" s="1"/>
  <c r="D24" i="64" s="1"/>
  <c r="A52" i="36"/>
  <c r="J52" i="36"/>
  <c r="N27" i="62" s="1"/>
  <c r="D25" i="64" s="1"/>
  <c r="K52" i="36"/>
  <c r="N52" i="62" s="1"/>
  <c r="L6" i="36"/>
  <c r="N8" i="15" s="1"/>
  <c r="D6" i="6" s="1"/>
  <c r="M6" i="36"/>
  <c r="N8" i="14" s="1"/>
  <c r="D6" i="7" s="1"/>
  <c r="L7" i="36"/>
  <c r="N9" i="15" s="1"/>
  <c r="D7" i="6" s="1"/>
  <c r="M7" i="36"/>
  <c r="N9" i="14" s="1"/>
  <c r="D7" i="7" s="1"/>
  <c r="L8" i="36"/>
  <c r="N10" i="15" s="1"/>
  <c r="D8" i="6" s="1"/>
  <c r="M8" i="36"/>
  <c r="N10" i="14" s="1"/>
  <c r="D8" i="7" s="1"/>
  <c r="L9" i="36"/>
  <c r="N11" i="15" s="1"/>
  <c r="D9" i="6" s="1"/>
  <c r="M9" i="36"/>
  <c r="N11" i="14" s="1"/>
  <c r="D9" i="7" s="1"/>
  <c r="L10" i="36"/>
  <c r="N12" i="15" s="1"/>
  <c r="D10" i="6" s="1"/>
  <c r="M10" i="36"/>
  <c r="N12" i="14" s="1"/>
  <c r="D10" i="7" s="1"/>
  <c r="K11" i="36"/>
  <c r="N13" i="13"/>
  <c r="D11" i="5" s="1"/>
  <c r="L11" i="36"/>
  <c r="N13" i="15" s="1"/>
  <c r="D11" i="6" s="1"/>
  <c r="M11" i="36"/>
  <c r="N13" i="14" s="1"/>
  <c r="D11" i="7" s="1"/>
  <c r="L12" i="36"/>
  <c r="N14" i="15" s="1"/>
  <c r="D12" i="6" s="1"/>
  <c r="M12" i="36"/>
  <c r="N14" i="14" s="1"/>
  <c r="D12" i="7" s="1"/>
  <c r="L13" i="36"/>
  <c r="N15" i="15" s="1"/>
  <c r="D13" i="6" s="1"/>
  <c r="M13" i="36"/>
  <c r="N15" i="14" s="1"/>
  <c r="D13" i="7" s="1"/>
  <c r="L14" i="36"/>
  <c r="N16" i="15" s="1"/>
  <c r="D14" i="6" s="1"/>
  <c r="M14" i="36"/>
  <c r="N16" i="14" s="1"/>
  <c r="D14" i="7" s="1"/>
  <c r="L15" i="36"/>
  <c r="N17" i="15" s="1"/>
  <c r="D15" i="6" s="1"/>
  <c r="M15" i="36"/>
  <c r="N17" i="14" s="1"/>
  <c r="D15" i="7" s="1"/>
  <c r="L16" i="36"/>
  <c r="N18" i="15" s="1"/>
  <c r="D16" i="6" s="1"/>
  <c r="M16" i="36"/>
  <c r="N18" i="14" s="1"/>
  <c r="D16" i="7" s="1"/>
  <c r="L17" i="36"/>
  <c r="N19" i="15" s="1"/>
  <c r="D17" i="6" s="1"/>
  <c r="M17" i="36"/>
  <c r="N19" i="14" s="1"/>
  <c r="D17" i="7" s="1"/>
  <c r="L18" i="36"/>
  <c r="N20" i="15" s="1"/>
  <c r="D18" i="6" s="1"/>
  <c r="M18" i="36"/>
  <c r="N20" i="14" s="1"/>
  <c r="D18" i="7" s="1"/>
  <c r="L19" i="36"/>
  <c r="N21" i="15" s="1"/>
  <c r="D19" i="6" s="1"/>
  <c r="M19" i="36"/>
  <c r="N21" i="14" s="1"/>
  <c r="D19" i="7" s="1"/>
  <c r="L20" i="36"/>
  <c r="N22" i="15" s="1"/>
  <c r="D20" i="6" s="1"/>
  <c r="M20" i="36"/>
  <c r="N22" i="14" s="1"/>
  <c r="D20" i="7" s="1"/>
  <c r="L21" i="36"/>
  <c r="N23" i="15" s="1"/>
  <c r="D21" i="6" s="1"/>
  <c r="M21" i="36"/>
  <c r="N23" i="14" s="1"/>
  <c r="D21" i="7" s="1"/>
  <c r="L22" i="36"/>
  <c r="N24" i="15" s="1"/>
  <c r="D22" i="6" s="1"/>
  <c r="M22" i="36"/>
  <c r="N24" i="14" s="1"/>
  <c r="D22" i="7" s="1"/>
  <c r="L23" i="36"/>
  <c r="N25" i="15" s="1"/>
  <c r="D23" i="6" s="1"/>
  <c r="M23" i="36"/>
  <c r="N25" i="14" s="1"/>
  <c r="D23" i="7" s="1"/>
  <c r="L24" i="36"/>
  <c r="N26" i="15" s="1"/>
  <c r="D24" i="6" s="1"/>
  <c r="M24" i="36"/>
  <c r="N26" i="14" s="1"/>
  <c r="D24" i="7" s="1"/>
  <c r="K25" i="36"/>
  <c r="N27" i="13"/>
  <c r="D25" i="5" s="1"/>
  <c r="L25" i="36"/>
  <c r="N27" i="15" s="1"/>
  <c r="D25" i="6" s="1"/>
  <c r="M25" i="36"/>
  <c r="N27" i="14" s="1"/>
  <c r="D25" i="7" s="1"/>
  <c r="A32" i="35"/>
  <c r="J32" i="35"/>
  <c r="K32" i="35" s="1"/>
  <c r="A33" i="35"/>
  <c r="J33" i="35"/>
  <c r="M8" i="62" s="1"/>
  <c r="C6" i="64" s="1"/>
  <c r="K33" i="35"/>
  <c r="M33" i="62" s="1"/>
  <c r="A34" i="35"/>
  <c r="J34" i="35"/>
  <c r="A35" i="35"/>
  <c r="J35" i="35"/>
  <c r="M10" i="62" s="1"/>
  <c r="C8" i="64" s="1"/>
  <c r="A36" i="35"/>
  <c r="J36" i="35"/>
  <c r="M11" i="62" s="1"/>
  <c r="C9" i="64" s="1"/>
  <c r="A37" i="35"/>
  <c r="J37" i="35"/>
  <c r="M12" i="62" s="1"/>
  <c r="C10" i="64" s="1"/>
  <c r="K37" i="35"/>
  <c r="M37" i="62" s="1"/>
  <c r="A38" i="35"/>
  <c r="J38" i="35"/>
  <c r="A39" i="35"/>
  <c r="J39" i="35"/>
  <c r="M14" i="62" s="1"/>
  <c r="C12" i="64" s="1"/>
  <c r="A40" i="35"/>
  <c r="J40" i="35"/>
  <c r="M15" i="62" s="1"/>
  <c r="C13" i="64" s="1"/>
  <c r="A41" i="35"/>
  <c r="J41" i="35"/>
  <c r="M16" i="62" s="1"/>
  <c r="C14" i="64" s="1"/>
  <c r="K41" i="35"/>
  <c r="M41" i="62" s="1"/>
  <c r="A42" i="35"/>
  <c r="J42" i="35"/>
  <c r="A43" i="35"/>
  <c r="J43" i="35"/>
  <c r="M18" i="62" s="1"/>
  <c r="C16" i="64" s="1"/>
  <c r="A44" i="35"/>
  <c r="J44" i="35"/>
  <c r="M19" i="62" s="1"/>
  <c r="C17" i="64" s="1"/>
  <c r="A45" i="35"/>
  <c r="J45" i="35"/>
  <c r="M20" i="62" s="1"/>
  <c r="C18" i="64" s="1"/>
  <c r="K45" i="35"/>
  <c r="M45" i="62" s="1"/>
  <c r="A46" i="35"/>
  <c r="J46" i="35"/>
  <c r="A47" i="35"/>
  <c r="J47" i="35"/>
  <c r="M22" i="62" s="1"/>
  <c r="C20" i="64" s="1"/>
  <c r="A48" i="35"/>
  <c r="J48" i="35"/>
  <c r="M23" i="62" s="1"/>
  <c r="C21" i="64" s="1"/>
  <c r="A49" i="35"/>
  <c r="J49" i="35"/>
  <c r="M24" i="62" s="1"/>
  <c r="C22" i="64" s="1"/>
  <c r="K49" i="35"/>
  <c r="M49" i="62" s="1"/>
  <c r="A50" i="35"/>
  <c r="J50" i="35"/>
  <c r="A51" i="35"/>
  <c r="J51" i="35"/>
  <c r="M26" i="62" s="1"/>
  <c r="C24" i="64" s="1"/>
  <c r="A52" i="35"/>
  <c r="J52" i="35"/>
  <c r="M27" i="62" s="1"/>
  <c r="C25" i="64" s="1"/>
  <c r="L6" i="35"/>
  <c r="M8" i="15" s="1"/>
  <c r="C6" i="6" s="1"/>
  <c r="M6" i="35"/>
  <c r="M8" i="14" s="1"/>
  <c r="C6" i="7" s="1"/>
  <c r="L7" i="35"/>
  <c r="M9" i="15" s="1"/>
  <c r="C7" i="6" s="1"/>
  <c r="M7" i="35"/>
  <c r="M9" i="14" s="1"/>
  <c r="C7" i="7" s="1"/>
  <c r="L8" i="35"/>
  <c r="M10" i="15" s="1"/>
  <c r="C8" i="6" s="1"/>
  <c r="M8" i="35"/>
  <c r="M10" i="14" s="1"/>
  <c r="C8" i="7" s="1"/>
  <c r="L9" i="35"/>
  <c r="M11" i="15" s="1"/>
  <c r="C9" i="6" s="1"/>
  <c r="M9" i="35"/>
  <c r="M11" i="14" s="1"/>
  <c r="C9" i="7" s="1"/>
  <c r="L10" i="35"/>
  <c r="M12" i="15" s="1"/>
  <c r="C10" i="6" s="1"/>
  <c r="M10" i="35"/>
  <c r="M12" i="14" s="1"/>
  <c r="C10" i="7" s="1"/>
  <c r="K11" i="35"/>
  <c r="M13" i="13" s="1"/>
  <c r="C11" i="5" s="1"/>
  <c r="L11" i="35"/>
  <c r="M13" i="15" s="1"/>
  <c r="C11" i="6" s="1"/>
  <c r="M11" i="35"/>
  <c r="M13" i="14" s="1"/>
  <c r="C11" i="7" s="1"/>
  <c r="L12" i="35"/>
  <c r="M14" i="15" s="1"/>
  <c r="C12" i="6" s="1"/>
  <c r="M12" i="35"/>
  <c r="M14" i="14" s="1"/>
  <c r="C12" i="7" s="1"/>
  <c r="L13" i="35"/>
  <c r="M15" i="15" s="1"/>
  <c r="C13" i="6" s="1"/>
  <c r="M13" i="35"/>
  <c r="M15" i="14" s="1"/>
  <c r="C13" i="7" s="1"/>
  <c r="L14" i="35"/>
  <c r="M16" i="15" s="1"/>
  <c r="C14" i="6" s="1"/>
  <c r="M14" i="35"/>
  <c r="M16" i="14" s="1"/>
  <c r="C14" i="7" s="1"/>
  <c r="L15" i="35"/>
  <c r="M17" i="15" s="1"/>
  <c r="C15" i="6" s="1"/>
  <c r="M15" i="35"/>
  <c r="M17" i="14" s="1"/>
  <c r="C15" i="7" s="1"/>
  <c r="L16" i="35"/>
  <c r="M18" i="15" s="1"/>
  <c r="C16" i="6" s="1"/>
  <c r="M16" i="35"/>
  <c r="M18" i="14" s="1"/>
  <c r="C16" i="7" s="1"/>
  <c r="L17" i="35"/>
  <c r="M19" i="15" s="1"/>
  <c r="C17" i="6" s="1"/>
  <c r="M17" i="35"/>
  <c r="M19" i="14" s="1"/>
  <c r="C17" i="7" s="1"/>
  <c r="L18" i="35"/>
  <c r="M20" i="15" s="1"/>
  <c r="C18" i="6" s="1"/>
  <c r="M18" i="35"/>
  <c r="M20" i="14" s="1"/>
  <c r="C18" i="7" s="1"/>
  <c r="L19" i="35"/>
  <c r="M21" i="15" s="1"/>
  <c r="C19" i="6" s="1"/>
  <c r="M19" i="35"/>
  <c r="M21" i="14" s="1"/>
  <c r="C19" i="7" s="1"/>
  <c r="L20" i="35"/>
  <c r="M22" i="15" s="1"/>
  <c r="C20" i="6" s="1"/>
  <c r="M20" i="35"/>
  <c r="M22" i="14" s="1"/>
  <c r="C20" i="7" s="1"/>
  <c r="L21" i="35"/>
  <c r="M23" i="15" s="1"/>
  <c r="C21" i="6" s="1"/>
  <c r="M21" i="35"/>
  <c r="M23" i="14" s="1"/>
  <c r="C21" i="7" s="1"/>
  <c r="L22" i="35"/>
  <c r="M24" i="15" s="1"/>
  <c r="C22" i="6" s="1"/>
  <c r="M22" i="35"/>
  <c r="M24" i="14" s="1"/>
  <c r="C22" i="7" s="1"/>
  <c r="L23" i="35"/>
  <c r="M25" i="15" s="1"/>
  <c r="C23" i="6" s="1"/>
  <c r="M23" i="35"/>
  <c r="M25" i="14" s="1"/>
  <c r="C23" i="7" s="1"/>
  <c r="L24" i="35"/>
  <c r="M26" i="15" s="1"/>
  <c r="C24" i="6" s="1"/>
  <c r="M24" i="35"/>
  <c r="M26" i="14" s="1"/>
  <c r="C24" i="7" s="1"/>
  <c r="K25" i="35"/>
  <c r="M27" i="13"/>
  <c r="C25" i="5" s="1"/>
  <c r="L25" i="35"/>
  <c r="M27" i="15" s="1"/>
  <c r="C25" i="6" s="1"/>
  <c r="M25" i="35"/>
  <c r="M27" i="14" s="1"/>
  <c r="C25" i="7" s="1"/>
  <c r="A32" i="34"/>
  <c r="J32" i="34"/>
  <c r="K32" i="34" s="1"/>
  <c r="A33" i="34"/>
  <c r="J33" i="34"/>
  <c r="L8" i="62" s="1"/>
  <c r="B6" i="64" s="1"/>
  <c r="A34" i="34"/>
  <c r="J34" i="34"/>
  <c r="A35" i="34"/>
  <c r="J35" i="34"/>
  <c r="L10" i="62" s="1"/>
  <c r="B8" i="64" s="1"/>
  <c r="K35" i="34"/>
  <c r="L35" i="62" s="1"/>
  <c r="A36" i="34"/>
  <c r="J36" i="34"/>
  <c r="L11" i="62" s="1"/>
  <c r="B9" i="64" s="1"/>
  <c r="A37" i="34"/>
  <c r="J37" i="34"/>
  <c r="L12" i="62" s="1"/>
  <c r="B10" i="64" s="1"/>
  <c r="A38" i="34"/>
  <c r="J38" i="34"/>
  <c r="A39" i="34"/>
  <c r="J39" i="34"/>
  <c r="L14" i="62" s="1"/>
  <c r="B12" i="64" s="1"/>
  <c r="K39" i="34"/>
  <c r="L39" i="62" s="1"/>
  <c r="A40" i="34"/>
  <c r="J40" i="34"/>
  <c r="L15" i="62" s="1"/>
  <c r="B13" i="64" s="1"/>
  <c r="A41" i="34"/>
  <c r="J41" i="34"/>
  <c r="L16" i="62" s="1"/>
  <c r="B14" i="64" s="1"/>
  <c r="A42" i="34"/>
  <c r="J42" i="34"/>
  <c r="A43" i="34"/>
  <c r="J43" i="34"/>
  <c r="L18" i="62" s="1"/>
  <c r="B16" i="64" s="1"/>
  <c r="K43" i="34"/>
  <c r="L43" i="62" s="1"/>
  <c r="A44" i="34"/>
  <c r="J44" i="34"/>
  <c r="L19" i="62" s="1"/>
  <c r="B17" i="64" s="1"/>
  <c r="A45" i="34"/>
  <c r="J45" i="34"/>
  <c r="L20" i="62" s="1"/>
  <c r="B18" i="64" s="1"/>
  <c r="A46" i="34"/>
  <c r="J46" i="34"/>
  <c r="A47" i="34"/>
  <c r="J47" i="34"/>
  <c r="L22" i="62" s="1"/>
  <c r="B20" i="64" s="1"/>
  <c r="K47" i="34"/>
  <c r="L47" i="62" s="1"/>
  <c r="A48" i="34"/>
  <c r="J48" i="34"/>
  <c r="L23" i="62" s="1"/>
  <c r="B21" i="64" s="1"/>
  <c r="A49" i="34"/>
  <c r="J49" i="34"/>
  <c r="L24" i="62" s="1"/>
  <c r="B22" i="64" s="1"/>
  <c r="A50" i="34"/>
  <c r="J50" i="34"/>
  <c r="A51" i="34"/>
  <c r="J51" i="34"/>
  <c r="L26" i="62" s="1"/>
  <c r="B24" i="64" s="1"/>
  <c r="K51" i="34"/>
  <c r="L51" i="62" s="1"/>
  <c r="A52" i="34"/>
  <c r="J52" i="34"/>
  <c r="L27" i="62" s="1"/>
  <c r="B25" i="64" s="1"/>
  <c r="L6" i="34"/>
  <c r="L8" i="15" s="1"/>
  <c r="B6" i="6" s="1"/>
  <c r="M6" i="34"/>
  <c r="L8" i="14" s="1"/>
  <c r="B6" i="7" s="1"/>
  <c r="L7" i="34"/>
  <c r="L9" i="15" s="1"/>
  <c r="B7" i="6" s="1"/>
  <c r="M7" i="34"/>
  <c r="L9" i="14" s="1"/>
  <c r="B7" i="7" s="1"/>
  <c r="L8" i="34"/>
  <c r="L10" i="15" s="1"/>
  <c r="B8" i="6" s="1"/>
  <c r="M8" i="34"/>
  <c r="L10" i="14" s="1"/>
  <c r="B8" i="7" s="1"/>
  <c r="L9" i="34"/>
  <c r="L11" i="15" s="1"/>
  <c r="B9" i="6" s="1"/>
  <c r="M9" i="34"/>
  <c r="L11" i="14" s="1"/>
  <c r="B9" i="7" s="1"/>
  <c r="L10" i="34"/>
  <c r="L12" i="15" s="1"/>
  <c r="B10" i="6" s="1"/>
  <c r="M10" i="34"/>
  <c r="L12" i="14" s="1"/>
  <c r="B10" i="7" s="1"/>
  <c r="K11" i="34"/>
  <c r="L13" i="13" s="1"/>
  <c r="B11" i="5" s="1"/>
  <c r="L11" i="34"/>
  <c r="L13" i="15" s="1"/>
  <c r="B11" i="6" s="1"/>
  <c r="M11" i="34"/>
  <c r="L13" i="14" s="1"/>
  <c r="B11" i="7" s="1"/>
  <c r="L12" i="34"/>
  <c r="L14" i="15" s="1"/>
  <c r="B12" i="6" s="1"/>
  <c r="M12" i="34"/>
  <c r="L14" i="14" s="1"/>
  <c r="B12" i="7" s="1"/>
  <c r="L13" i="34"/>
  <c r="L15" i="15" s="1"/>
  <c r="B13" i="6" s="1"/>
  <c r="M13" i="34"/>
  <c r="L15" i="14" s="1"/>
  <c r="B13" i="7" s="1"/>
  <c r="L14" i="34"/>
  <c r="L16" i="15" s="1"/>
  <c r="B14" i="6" s="1"/>
  <c r="M14" i="34"/>
  <c r="L16" i="14" s="1"/>
  <c r="B14" i="7" s="1"/>
  <c r="L15" i="34"/>
  <c r="L17" i="15" s="1"/>
  <c r="B15" i="6" s="1"/>
  <c r="M15" i="34"/>
  <c r="L17" i="14" s="1"/>
  <c r="B15" i="7" s="1"/>
  <c r="L16" i="34"/>
  <c r="L18" i="15" s="1"/>
  <c r="B16" i="6" s="1"/>
  <c r="M16" i="34"/>
  <c r="L18" i="14" s="1"/>
  <c r="B16" i="7" s="1"/>
  <c r="L17" i="34"/>
  <c r="L19" i="15" s="1"/>
  <c r="B17" i="6" s="1"/>
  <c r="M17" i="34"/>
  <c r="L19" i="14" s="1"/>
  <c r="B17" i="7" s="1"/>
  <c r="L18" i="34"/>
  <c r="L20" i="15" s="1"/>
  <c r="B18" i="6" s="1"/>
  <c r="M18" i="34"/>
  <c r="L20" i="14" s="1"/>
  <c r="B18" i="7" s="1"/>
  <c r="L19" i="34"/>
  <c r="L21" i="15" s="1"/>
  <c r="B19" i="6" s="1"/>
  <c r="M19" i="34"/>
  <c r="L21" i="14" s="1"/>
  <c r="B19" i="7" s="1"/>
  <c r="L20" i="34"/>
  <c r="L22" i="15" s="1"/>
  <c r="B20" i="6" s="1"/>
  <c r="M20" i="34"/>
  <c r="L22" i="14" s="1"/>
  <c r="B20" i="7" s="1"/>
  <c r="L21" i="34"/>
  <c r="L23" i="15" s="1"/>
  <c r="B21" i="6" s="1"/>
  <c r="M21" i="34"/>
  <c r="L23" i="14" s="1"/>
  <c r="B21" i="7" s="1"/>
  <c r="L22" i="34"/>
  <c r="L24" i="15" s="1"/>
  <c r="B22" i="6" s="1"/>
  <c r="M22" i="34"/>
  <c r="L24" i="14" s="1"/>
  <c r="B22" i="7" s="1"/>
  <c r="L23" i="34"/>
  <c r="L25" i="15" s="1"/>
  <c r="B23" i="6" s="1"/>
  <c r="M23" i="34"/>
  <c r="L25" i="14" s="1"/>
  <c r="B23" i="7" s="1"/>
  <c r="L24" i="34"/>
  <c r="L26" i="15" s="1"/>
  <c r="B24" i="6" s="1"/>
  <c r="M24" i="34"/>
  <c r="L26" i="14" s="1"/>
  <c r="B24" i="7" s="1"/>
  <c r="K25" i="34"/>
  <c r="L27" i="13" s="1"/>
  <c r="B25" i="5" s="1"/>
  <c r="L25" i="34"/>
  <c r="L27" i="15" s="1"/>
  <c r="B25" i="6" s="1"/>
  <c r="M25" i="34"/>
  <c r="L27" i="14" s="1"/>
  <c r="B25" i="7" s="1"/>
  <c r="A32" i="33"/>
  <c r="J32" i="33"/>
  <c r="K32" i="33" s="1"/>
  <c r="K32" i="62"/>
  <c r="A33" i="33"/>
  <c r="J33" i="33"/>
  <c r="A34" i="33"/>
  <c r="J34" i="33"/>
  <c r="K9" i="62" s="1"/>
  <c r="K7" i="63" s="1"/>
  <c r="A35" i="33"/>
  <c r="J35" i="33"/>
  <c r="K10" i="62" s="1"/>
  <c r="K8" i="63" s="1"/>
  <c r="A36" i="33"/>
  <c r="J36" i="33"/>
  <c r="K11" i="62" s="1"/>
  <c r="K9" i="63" s="1"/>
  <c r="K36" i="33"/>
  <c r="K36" i="62" s="1"/>
  <c r="A37" i="33"/>
  <c r="J37" i="33"/>
  <c r="A38" i="33"/>
  <c r="J38" i="33"/>
  <c r="K13" i="62" s="1"/>
  <c r="K11" i="63" s="1"/>
  <c r="A39" i="33"/>
  <c r="J39" i="33"/>
  <c r="K14" i="62" s="1"/>
  <c r="K12" i="63" s="1"/>
  <c r="A40" i="33"/>
  <c r="J40" i="33"/>
  <c r="K15" i="62" s="1"/>
  <c r="K13" i="63" s="1"/>
  <c r="K40" i="33"/>
  <c r="K40" i="62" s="1"/>
  <c r="A41" i="33"/>
  <c r="J41" i="33"/>
  <c r="A42" i="33"/>
  <c r="J42" i="33"/>
  <c r="K17" i="62" s="1"/>
  <c r="K15" i="63" s="1"/>
  <c r="A43" i="33"/>
  <c r="J43" i="33"/>
  <c r="K18" i="62" s="1"/>
  <c r="K16" i="63" s="1"/>
  <c r="A44" i="33"/>
  <c r="J44" i="33"/>
  <c r="K19" i="62" s="1"/>
  <c r="K17" i="63" s="1"/>
  <c r="K44" i="33"/>
  <c r="K44" i="62" s="1"/>
  <c r="A45" i="33"/>
  <c r="J45" i="33"/>
  <c r="A46" i="33"/>
  <c r="J46" i="33"/>
  <c r="K21" i="62" s="1"/>
  <c r="K19" i="63" s="1"/>
  <c r="A47" i="33"/>
  <c r="J47" i="33"/>
  <c r="K22" i="62" s="1"/>
  <c r="K20" i="63" s="1"/>
  <c r="A48" i="33"/>
  <c r="J48" i="33"/>
  <c r="K23" i="62" s="1"/>
  <c r="K21" i="63" s="1"/>
  <c r="K48" i="33"/>
  <c r="K48" i="62" s="1"/>
  <c r="A49" i="33"/>
  <c r="J49" i="33"/>
  <c r="A50" i="33"/>
  <c r="J50" i="33"/>
  <c r="K25" i="62" s="1"/>
  <c r="K23" i="63" s="1"/>
  <c r="A51" i="33"/>
  <c r="J51" i="33"/>
  <c r="K26" i="62" s="1"/>
  <c r="K24" i="63" s="1"/>
  <c r="A52" i="33"/>
  <c r="J52" i="33"/>
  <c r="K27" i="62" s="1"/>
  <c r="K25" i="63" s="1"/>
  <c r="K52" i="33"/>
  <c r="K52" i="62" s="1"/>
  <c r="L6" i="33"/>
  <c r="K8" i="15" s="1"/>
  <c r="K6" i="2" s="1"/>
  <c r="M6" i="33"/>
  <c r="K8" i="14" s="1"/>
  <c r="K6" i="3" s="1"/>
  <c r="L7" i="33"/>
  <c r="K9" i="15" s="1"/>
  <c r="K7" i="2" s="1"/>
  <c r="M7" i="33"/>
  <c r="K9" i="14" s="1"/>
  <c r="K7" i="3" s="1"/>
  <c r="L8" i="33"/>
  <c r="K10" i="15" s="1"/>
  <c r="K8" i="2" s="1"/>
  <c r="M8" i="33"/>
  <c r="K10" i="14" s="1"/>
  <c r="K8" i="3" s="1"/>
  <c r="L9" i="33"/>
  <c r="K11" i="15" s="1"/>
  <c r="K9" i="2" s="1"/>
  <c r="M9" i="33"/>
  <c r="K11" i="14" s="1"/>
  <c r="K9" i="3" s="1"/>
  <c r="L10" i="33"/>
  <c r="K12" i="15" s="1"/>
  <c r="K10" i="2" s="1"/>
  <c r="M10" i="33"/>
  <c r="K12" i="14" s="1"/>
  <c r="K10" i="3" s="1"/>
  <c r="K11" i="33"/>
  <c r="K13" i="13"/>
  <c r="K11" i="1" s="1"/>
  <c r="L11" i="33"/>
  <c r="K13" i="15" s="1"/>
  <c r="K11" i="2" s="1"/>
  <c r="M11" i="33"/>
  <c r="K13" i="14" s="1"/>
  <c r="K11" i="3" s="1"/>
  <c r="L12" i="33"/>
  <c r="K14" i="15" s="1"/>
  <c r="K12" i="2" s="1"/>
  <c r="M12" i="33"/>
  <c r="K14" i="14" s="1"/>
  <c r="K12" i="3" s="1"/>
  <c r="L13" i="33"/>
  <c r="K15" i="15" s="1"/>
  <c r="K13" i="2" s="1"/>
  <c r="M13" i="33"/>
  <c r="K15" i="14" s="1"/>
  <c r="K13" i="3" s="1"/>
  <c r="L14" i="33"/>
  <c r="K16" i="15" s="1"/>
  <c r="K14" i="2" s="1"/>
  <c r="M14" i="33"/>
  <c r="K16" i="14" s="1"/>
  <c r="K14" i="3" s="1"/>
  <c r="L15" i="33"/>
  <c r="K17" i="15" s="1"/>
  <c r="K15" i="2" s="1"/>
  <c r="M15" i="33"/>
  <c r="K17" i="14" s="1"/>
  <c r="K15" i="3" s="1"/>
  <c r="L16" i="33"/>
  <c r="K18" i="15" s="1"/>
  <c r="K16" i="2" s="1"/>
  <c r="M16" i="33"/>
  <c r="K18" i="14" s="1"/>
  <c r="K16" i="3" s="1"/>
  <c r="L17" i="33"/>
  <c r="K19" i="15" s="1"/>
  <c r="K17" i="2" s="1"/>
  <c r="M17" i="33"/>
  <c r="K19" i="14" s="1"/>
  <c r="K17" i="3" s="1"/>
  <c r="L18" i="33"/>
  <c r="K20" i="15" s="1"/>
  <c r="K18" i="2" s="1"/>
  <c r="M18" i="33"/>
  <c r="K20" i="14" s="1"/>
  <c r="K18" i="3" s="1"/>
  <c r="L19" i="33"/>
  <c r="K21" i="15" s="1"/>
  <c r="K19" i="2" s="1"/>
  <c r="M19" i="33"/>
  <c r="K21" i="14" s="1"/>
  <c r="K19" i="3" s="1"/>
  <c r="L20" i="33"/>
  <c r="K22" i="15" s="1"/>
  <c r="K20" i="2" s="1"/>
  <c r="M20" i="33"/>
  <c r="K22" i="14" s="1"/>
  <c r="K20" i="3" s="1"/>
  <c r="L21" i="33"/>
  <c r="K23" i="15" s="1"/>
  <c r="K21" i="2" s="1"/>
  <c r="M21" i="33"/>
  <c r="K23" i="14" s="1"/>
  <c r="K21" i="3" s="1"/>
  <c r="L22" i="33"/>
  <c r="K24" i="15" s="1"/>
  <c r="K22" i="2" s="1"/>
  <c r="M22" i="33"/>
  <c r="K24" i="14" s="1"/>
  <c r="K22" i="3" s="1"/>
  <c r="L23" i="33"/>
  <c r="K25" i="15" s="1"/>
  <c r="K23" i="2" s="1"/>
  <c r="M23" i="33"/>
  <c r="K25" i="14" s="1"/>
  <c r="K23" i="3" s="1"/>
  <c r="L24" i="33"/>
  <c r="K26" i="15" s="1"/>
  <c r="K24" i="2" s="1"/>
  <c r="M24" i="33"/>
  <c r="K26" i="14" s="1"/>
  <c r="K24" i="3" s="1"/>
  <c r="K25" i="33"/>
  <c r="K27" i="13"/>
  <c r="K25" i="1" s="1"/>
  <c r="L25" i="33"/>
  <c r="K27" i="15" s="1"/>
  <c r="K25" i="2" s="1"/>
  <c r="M25" i="33"/>
  <c r="K27" i="14" s="1"/>
  <c r="K25" i="3" s="1"/>
  <c r="A32" i="32"/>
  <c r="J32" i="32"/>
  <c r="K32" i="32" s="1"/>
  <c r="J32" i="62" s="1"/>
  <c r="A33" i="32"/>
  <c r="J33" i="32"/>
  <c r="J8" i="62" s="1"/>
  <c r="J6" i="63" s="1"/>
  <c r="A34" i="32"/>
  <c r="J34" i="32"/>
  <c r="J9" i="62" s="1"/>
  <c r="J7" i="63" s="1"/>
  <c r="K34" i="32"/>
  <c r="J34" i="62" s="1"/>
  <c r="A35" i="32"/>
  <c r="J35" i="32"/>
  <c r="A36" i="32"/>
  <c r="J36" i="32"/>
  <c r="J11" i="62" s="1"/>
  <c r="J9" i="63" s="1"/>
  <c r="A37" i="32"/>
  <c r="J37" i="32"/>
  <c r="J12" i="62" s="1"/>
  <c r="J10" i="63" s="1"/>
  <c r="A38" i="32"/>
  <c r="J38" i="32"/>
  <c r="J13" i="62" s="1"/>
  <c r="J11" i="63" s="1"/>
  <c r="K38" i="32"/>
  <c r="J38" i="62" s="1"/>
  <c r="A39" i="32"/>
  <c r="J39" i="32"/>
  <c r="A40" i="32"/>
  <c r="J40" i="32"/>
  <c r="J15" i="62" s="1"/>
  <c r="J13" i="63" s="1"/>
  <c r="A41" i="32"/>
  <c r="J41" i="32"/>
  <c r="J16" i="62" s="1"/>
  <c r="J14" i="63" s="1"/>
  <c r="A42" i="32"/>
  <c r="J42" i="32"/>
  <c r="J17" i="62" s="1"/>
  <c r="J15" i="63" s="1"/>
  <c r="K42" i="32"/>
  <c r="J42" i="62" s="1"/>
  <c r="A43" i="32"/>
  <c r="J43" i="32"/>
  <c r="J18" i="62" s="1"/>
  <c r="J16" i="63" s="1"/>
  <c r="A44" i="32"/>
  <c r="J44" i="32"/>
  <c r="J19" i="62" s="1"/>
  <c r="J17" i="63" s="1"/>
  <c r="A45" i="32"/>
  <c r="J45" i="32"/>
  <c r="A46" i="32"/>
  <c r="J46" i="32"/>
  <c r="J21" i="62" s="1"/>
  <c r="J19" i="63" s="1"/>
  <c r="K46" i="32"/>
  <c r="J46" i="62" s="1"/>
  <c r="A47" i="32"/>
  <c r="J47" i="32"/>
  <c r="J22" i="62" s="1"/>
  <c r="J20" i="63" s="1"/>
  <c r="A48" i="32"/>
  <c r="J48" i="32"/>
  <c r="A49" i="32"/>
  <c r="J49" i="32"/>
  <c r="J24" i="62" s="1"/>
  <c r="J22" i="63" s="1"/>
  <c r="K49" i="32"/>
  <c r="J49" i="62" s="1"/>
  <c r="A50" i="32"/>
  <c r="J50" i="32"/>
  <c r="J25" i="62" s="1"/>
  <c r="J23" i="63" s="1"/>
  <c r="A51" i="32"/>
  <c r="J51" i="32"/>
  <c r="J26" i="62" s="1"/>
  <c r="J24" i="63" s="1"/>
  <c r="A52" i="32"/>
  <c r="J52" i="32"/>
  <c r="L6" i="32"/>
  <c r="J8" i="15" s="1"/>
  <c r="J6" i="2" s="1"/>
  <c r="M6" i="32"/>
  <c r="J8" i="14" s="1"/>
  <c r="J6" i="3" s="1"/>
  <c r="L7" i="32"/>
  <c r="J9" i="15" s="1"/>
  <c r="J7" i="2" s="1"/>
  <c r="M7" i="32"/>
  <c r="J9" i="14" s="1"/>
  <c r="J7" i="3" s="1"/>
  <c r="L8" i="32"/>
  <c r="J10" i="15" s="1"/>
  <c r="J8" i="2" s="1"/>
  <c r="M8" i="32"/>
  <c r="J10" i="14" s="1"/>
  <c r="J8" i="3" s="1"/>
  <c r="L9" i="32"/>
  <c r="J11" i="15" s="1"/>
  <c r="J9" i="2" s="1"/>
  <c r="M9" i="32"/>
  <c r="J11" i="14" s="1"/>
  <c r="J9" i="3" s="1"/>
  <c r="L10" i="32"/>
  <c r="J12" i="15" s="1"/>
  <c r="J10" i="2" s="1"/>
  <c r="M10" i="32"/>
  <c r="J12" i="14" s="1"/>
  <c r="J10" i="3" s="1"/>
  <c r="K11" i="32"/>
  <c r="J13" i="13" s="1"/>
  <c r="J11" i="1"/>
  <c r="L11" i="32"/>
  <c r="J13" i="15" s="1"/>
  <c r="J11" i="2" s="1"/>
  <c r="M11" i="32"/>
  <c r="J13" i="14" s="1"/>
  <c r="J11" i="3" s="1"/>
  <c r="L12" i="32"/>
  <c r="J14" i="15" s="1"/>
  <c r="J12" i="2" s="1"/>
  <c r="M12" i="32"/>
  <c r="J14" i="14" s="1"/>
  <c r="J12" i="3" s="1"/>
  <c r="L13" i="32"/>
  <c r="J15" i="15" s="1"/>
  <c r="J13" i="2" s="1"/>
  <c r="M13" i="32"/>
  <c r="J15" i="14" s="1"/>
  <c r="J13" i="3" s="1"/>
  <c r="L14" i="32"/>
  <c r="J16" i="15" s="1"/>
  <c r="J14" i="2" s="1"/>
  <c r="M14" i="32"/>
  <c r="J16" i="14" s="1"/>
  <c r="J14" i="3" s="1"/>
  <c r="L15" i="32"/>
  <c r="J17" i="15" s="1"/>
  <c r="J15" i="2" s="1"/>
  <c r="M15" i="32"/>
  <c r="J17" i="14" s="1"/>
  <c r="J15" i="3" s="1"/>
  <c r="L16" i="32"/>
  <c r="J18" i="15" s="1"/>
  <c r="J16" i="2" s="1"/>
  <c r="M16" i="32"/>
  <c r="J18" i="14" s="1"/>
  <c r="J16" i="3" s="1"/>
  <c r="L17" i="32"/>
  <c r="J19" i="15" s="1"/>
  <c r="J17" i="2" s="1"/>
  <c r="M17" i="32"/>
  <c r="J19" i="14" s="1"/>
  <c r="J17" i="3" s="1"/>
  <c r="L18" i="32"/>
  <c r="J20" i="15" s="1"/>
  <c r="J18" i="2" s="1"/>
  <c r="M18" i="32"/>
  <c r="J20" i="14" s="1"/>
  <c r="J18" i="3" s="1"/>
  <c r="L19" i="32"/>
  <c r="J21" i="15" s="1"/>
  <c r="J19" i="2" s="1"/>
  <c r="M19" i="32"/>
  <c r="J21" i="14" s="1"/>
  <c r="J19" i="3" s="1"/>
  <c r="L20" i="32"/>
  <c r="J22" i="15" s="1"/>
  <c r="J20" i="2" s="1"/>
  <c r="M20" i="32"/>
  <c r="J22" i="14" s="1"/>
  <c r="J20" i="3" s="1"/>
  <c r="L21" i="32"/>
  <c r="J23" i="15" s="1"/>
  <c r="J21" i="2" s="1"/>
  <c r="M21" i="32"/>
  <c r="J23" i="14" s="1"/>
  <c r="J21" i="3" s="1"/>
  <c r="L22" i="32"/>
  <c r="J24" i="15" s="1"/>
  <c r="J22" i="2" s="1"/>
  <c r="M22" i="32"/>
  <c r="J24" i="14" s="1"/>
  <c r="J22" i="3" s="1"/>
  <c r="L23" i="32"/>
  <c r="J25" i="15" s="1"/>
  <c r="J23" i="2" s="1"/>
  <c r="M23" i="32"/>
  <c r="J25" i="14" s="1"/>
  <c r="J23" i="3" s="1"/>
  <c r="L24" i="32"/>
  <c r="J26" i="15" s="1"/>
  <c r="J24" i="2" s="1"/>
  <c r="M24" i="32"/>
  <c r="J26" i="14" s="1"/>
  <c r="J24" i="3" s="1"/>
  <c r="K25" i="32"/>
  <c r="J27" i="13" s="1"/>
  <c r="J25" i="1" s="1"/>
  <c r="L25" i="32"/>
  <c r="J27" i="15" s="1"/>
  <c r="J25" i="2" s="1"/>
  <c r="M25" i="32"/>
  <c r="J27" i="14" s="1"/>
  <c r="J25" i="3" s="1"/>
  <c r="A32" i="31"/>
  <c r="J32" i="31"/>
  <c r="K32" i="31"/>
  <c r="I32" i="62" s="1"/>
  <c r="A33" i="31"/>
  <c r="J33" i="31"/>
  <c r="A34" i="31"/>
  <c r="J34" i="31"/>
  <c r="I9" i="62" s="1"/>
  <c r="I7" i="63" s="1"/>
  <c r="K34" i="31"/>
  <c r="I34" i="62" s="1"/>
  <c r="A35" i="31"/>
  <c r="J35" i="31"/>
  <c r="I10" i="62" s="1"/>
  <c r="I8" i="63" s="1"/>
  <c r="A36" i="31"/>
  <c r="J36" i="31"/>
  <c r="I11" i="62" s="1"/>
  <c r="I9" i="63" s="1"/>
  <c r="A37" i="31"/>
  <c r="J37" i="31"/>
  <c r="A38" i="31"/>
  <c r="J38" i="31"/>
  <c r="I13" i="62" s="1"/>
  <c r="I11" i="63" s="1"/>
  <c r="K38" i="31"/>
  <c r="I38" i="62" s="1"/>
  <c r="A39" i="31"/>
  <c r="J39" i="31"/>
  <c r="I14" i="62" s="1"/>
  <c r="I12" i="63" s="1"/>
  <c r="A40" i="31"/>
  <c r="J40" i="31"/>
  <c r="I15" i="62" s="1"/>
  <c r="I13" i="63" s="1"/>
  <c r="A41" i="31"/>
  <c r="J41" i="31"/>
  <c r="A42" i="31"/>
  <c r="J42" i="31"/>
  <c r="I17" i="62" s="1"/>
  <c r="I15" i="63" s="1"/>
  <c r="K42" i="31"/>
  <c r="I42" i="62" s="1"/>
  <c r="A43" i="31"/>
  <c r="J43" i="31"/>
  <c r="I18" i="62" s="1"/>
  <c r="I16" i="63" s="1"/>
  <c r="A44" i="31"/>
  <c r="J44" i="31"/>
  <c r="I19" i="62" s="1"/>
  <c r="I17" i="63" s="1"/>
  <c r="A45" i="31"/>
  <c r="J45" i="31"/>
  <c r="A46" i="31"/>
  <c r="J46" i="31"/>
  <c r="I21" i="62" s="1"/>
  <c r="I19" i="63" s="1"/>
  <c r="K46" i="31"/>
  <c r="I46" i="62" s="1"/>
  <c r="A47" i="31"/>
  <c r="J47" i="31"/>
  <c r="I22" i="62" s="1"/>
  <c r="I20" i="63" s="1"/>
  <c r="A48" i="31"/>
  <c r="J48" i="31"/>
  <c r="I23" i="62" s="1"/>
  <c r="I21" i="63" s="1"/>
  <c r="A49" i="31"/>
  <c r="J49" i="31"/>
  <c r="A50" i="31"/>
  <c r="J50" i="31"/>
  <c r="I25" i="62" s="1"/>
  <c r="I23" i="63" s="1"/>
  <c r="K50" i="31"/>
  <c r="I50" i="62" s="1"/>
  <c r="A51" i="31"/>
  <c r="J51" i="31"/>
  <c r="I26" i="62" s="1"/>
  <c r="I24" i="63" s="1"/>
  <c r="A52" i="31"/>
  <c r="J52" i="31"/>
  <c r="I27" i="62" s="1"/>
  <c r="I25" i="63" s="1"/>
  <c r="L6" i="31"/>
  <c r="I8" i="15" s="1"/>
  <c r="I6" i="2" s="1"/>
  <c r="M6" i="31"/>
  <c r="I8" i="14" s="1"/>
  <c r="I6" i="3" s="1"/>
  <c r="L7" i="31"/>
  <c r="I9" i="15" s="1"/>
  <c r="I7" i="2" s="1"/>
  <c r="M7" i="31"/>
  <c r="I9" i="14" s="1"/>
  <c r="I7" i="3" s="1"/>
  <c r="L8" i="31"/>
  <c r="I10" i="15" s="1"/>
  <c r="I8" i="2" s="1"/>
  <c r="M8" i="31"/>
  <c r="I10" i="14" s="1"/>
  <c r="I8" i="3" s="1"/>
  <c r="L9" i="31"/>
  <c r="I11" i="15" s="1"/>
  <c r="I9" i="2" s="1"/>
  <c r="M9" i="31"/>
  <c r="I11" i="14" s="1"/>
  <c r="I9" i="3" s="1"/>
  <c r="L10" i="31"/>
  <c r="I12" i="15" s="1"/>
  <c r="I10" i="2" s="1"/>
  <c r="M10" i="31"/>
  <c r="I12" i="14" s="1"/>
  <c r="I10" i="3" s="1"/>
  <c r="K11" i="31"/>
  <c r="I13" i="13" s="1"/>
  <c r="I11" i="1" s="1"/>
  <c r="L11" i="31"/>
  <c r="I13" i="15" s="1"/>
  <c r="I11" i="2" s="1"/>
  <c r="M11" i="31"/>
  <c r="I13" i="14" s="1"/>
  <c r="I11" i="3" s="1"/>
  <c r="L12" i="31"/>
  <c r="I14" i="15" s="1"/>
  <c r="I12" i="2" s="1"/>
  <c r="M12" i="31"/>
  <c r="I14" i="14" s="1"/>
  <c r="I12" i="3" s="1"/>
  <c r="L13" i="31"/>
  <c r="I15" i="15" s="1"/>
  <c r="I13" i="2" s="1"/>
  <c r="M13" i="31"/>
  <c r="I15" i="14" s="1"/>
  <c r="I13" i="3" s="1"/>
  <c r="L14" i="31"/>
  <c r="I16" i="15" s="1"/>
  <c r="I14" i="2" s="1"/>
  <c r="M14" i="31"/>
  <c r="I16" i="14" s="1"/>
  <c r="I14" i="3" s="1"/>
  <c r="L15" i="31"/>
  <c r="I17" i="15" s="1"/>
  <c r="I15" i="2" s="1"/>
  <c r="M15" i="31"/>
  <c r="I17" i="14" s="1"/>
  <c r="I15" i="3" s="1"/>
  <c r="L16" i="31"/>
  <c r="I18" i="15" s="1"/>
  <c r="I16" i="2" s="1"/>
  <c r="M16" i="31"/>
  <c r="I18" i="14" s="1"/>
  <c r="I16" i="3" s="1"/>
  <c r="L17" i="31"/>
  <c r="I19" i="15" s="1"/>
  <c r="I17" i="2" s="1"/>
  <c r="M17" i="31"/>
  <c r="I19" i="14" s="1"/>
  <c r="I17" i="3" s="1"/>
  <c r="L18" i="31"/>
  <c r="I20" i="15" s="1"/>
  <c r="I18" i="2" s="1"/>
  <c r="M18" i="31"/>
  <c r="I20" i="14" s="1"/>
  <c r="I18" i="3" s="1"/>
  <c r="L19" i="31"/>
  <c r="I21" i="15" s="1"/>
  <c r="I19" i="2" s="1"/>
  <c r="M19" i="31"/>
  <c r="I21" i="14" s="1"/>
  <c r="I19" i="3" s="1"/>
  <c r="L20" i="31"/>
  <c r="I22" i="15" s="1"/>
  <c r="I20" i="2" s="1"/>
  <c r="M20" i="31"/>
  <c r="I22" i="14" s="1"/>
  <c r="I20" i="3" s="1"/>
  <c r="L21" i="31"/>
  <c r="I23" i="15" s="1"/>
  <c r="I21" i="2" s="1"/>
  <c r="M21" i="31"/>
  <c r="I23" i="14" s="1"/>
  <c r="I21" i="3" s="1"/>
  <c r="L22" i="31"/>
  <c r="I24" i="15" s="1"/>
  <c r="I22" i="2" s="1"/>
  <c r="M22" i="31"/>
  <c r="I24" i="14" s="1"/>
  <c r="I22" i="3" s="1"/>
  <c r="L23" i="31"/>
  <c r="I25" i="15" s="1"/>
  <c r="I23" i="2" s="1"/>
  <c r="M23" i="31"/>
  <c r="I25" i="14" s="1"/>
  <c r="I23" i="3" s="1"/>
  <c r="L24" i="31"/>
  <c r="I26" i="15" s="1"/>
  <c r="I24" i="2" s="1"/>
  <c r="M24" i="31"/>
  <c r="I26" i="14" s="1"/>
  <c r="I24" i="3" s="1"/>
  <c r="K25" i="31"/>
  <c r="I27" i="13" s="1"/>
  <c r="I25" i="1" s="1"/>
  <c r="L25" i="31"/>
  <c r="I27" i="15" s="1"/>
  <c r="I25" i="2" s="1"/>
  <c r="M25" i="31"/>
  <c r="I27" i="14" s="1"/>
  <c r="I25" i="3" s="1"/>
  <c r="A32" i="30"/>
  <c r="J32" i="30"/>
  <c r="K32" i="30" s="1"/>
  <c r="H32" i="62" s="1"/>
  <c r="A33" i="30"/>
  <c r="J33" i="30"/>
  <c r="H8" i="62" s="1"/>
  <c r="H6" i="63" s="1"/>
  <c r="A34" i="30"/>
  <c r="J34" i="30"/>
  <c r="H9" i="62" s="1"/>
  <c r="H7" i="63" s="1"/>
  <c r="A35" i="30"/>
  <c r="J35" i="30"/>
  <c r="H10" i="62" s="1"/>
  <c r="H8" i="63" s="1"/>
  <c r="K35" i="30"/>
  <c r="H35" i="62" s="1"/>
  <c r="A36" i="30"/>
  <c r="J36" i="30"/>
  <c r="A37" i="30"/>
  <c r="J37" i="30"/>
  <c r="H12" i="62" s="1"/>
  <c r="H10" i="63" s="1"/>
  <c r="A38" i="30"/>
  <c r="J38" i="30"/>
  <c r="H13" i="62" s="1"/>
  <c r="H11" i="63" s="1"/>
  <c r="A39" i="30"/>
  <c r="J39" i="30"/>
  <c r="H14" i="62" s="1"/>
  <c r="H12" i="63" s="1"/>
  <c r="K39" i="30"/>
  <c r="H39" i="62" s="1"/>
  <c r="A40" i="30"/>
  <c r="J40" i="30"/>
  <c r="A41" i="30"/>
  <c r="J41" i="30"/>
  <c r="H16" i="62" s="1"/>
  <c r="H14" i="63" s="1"/>
  <c r="A42" i="30"/>
  <c r="J42" i="30"/>
  <c r="H17" i="62" s="1"/>
  <c r="H15" i="63" s="1"/>
  <c r="A43" i="30"/>
  <c r="J43" i="30"/>
  <c r="H18" i="62" s="1"/>
  <c r="H16" i="63" s="1"/>
  <c r="K43" i="30"/>
  <c r="H43" i="62" s="1"/>
  <c r="A44" i="30"/>
  <c r="J44" i="30"/>
  <c r="A45" i="30"/>
  <c r="J45" i="30"/>
  <c r="H20" i="62" s="1"/>
  <c r="H18" i="63" s="1"/>
  <c r="A46" i="30"/>
  <c r="J46" i="30"/>
  <c r="H21" i="62" s="1"/>
  <c r="H19" i="63" s="1"/>
  <c r="A47" i="30"/>
  <c r="J47" i="30"/>
  <c r="H22" i="62" s="1"/>
  <c r="H20" i="63" s="1"/>
  <c r="K47" i="30"/>
  <c r="H47" i="62" s="1"/>
  <c r="A48" i="30"/>
  <c r="J48" i="30"/>
  <c r="A49" i="30"/>
  <c r="J49" i="30"/>
  <c r="H24" i="62" s="1"/>
  <c r="H22" i="63" s="1"/>
  <c r="A50" i="30"/>
  <c r="J50" i="30"/>
  <c r="H25" i="62" s="1"/>
  <c r="H23" i="63" s="1"/>
  <c r="A51" i="30"/>
  <c r="J51" i="30"/>
  <c r="H26" i="62" s="1"/>
  <c r="H24" i="63" s="1"/>
  <c r="K51" i="30"/>
  <c r="H51" i="62" s="1"/>
  <c r="A52" i="30"/>
  <c r="J52" i="30"/>
  <c r="L6" i="30"/>
  <c r="H8" i="15" s="1"/>
  <c r="H6" i="2" s="1"/>
  <c r="M6" i="30"/>
  <c r="H8" i="14" s="1"/>
  <c r="H6" i="3" s="1"/>
  <c r="L7" i="30"/>
  <c r="H9" i="15" s="1"/>
  <c r="H7" i="2" s="1"/>
  <c r="M7" i="30"/>
  <c r="H9" i="14" s="1"/>
  <c r="H7" i="3" s="1"/>
  <c r="L8" i="30"/>
  <c r="H10" i="15" s="1"/>
  <c r="H8" i="2" s="1"/>
  <c r="M8" i="30"/>
  <c r="H10" i="14" s="1"/>
  <c r="H8" i="3" s="1"/>
  <c r="L9" i="30"/>
  <c r="H11" i="15" s="1"/>
  <c r="H9" i="2" s="1"/>
  <c r="M9" i="30"/>
  <c r="H11" i="14" s="1"/>
  <c r="H9" i="3" s="1"/>
  <c r="L10" i="30"/>
  <c r="H12" i="15" s="1"/>
  <c r="H10" i="2" s="1"/>
  <c r="M10" i="30"/>
  <c r="H12" i="14" s="1"/>
  <c r="H10" i="3" s="1"/>
  <c r="K11" i="30"/>
  <c r="H13" i="13" s="1"/>
  <c r="H11" i="1"/>
  <c r="L11" i="30"/>
  <c r="H13" i="15" s="1"/>
  <c r="H11" i="2" s="1"/>
  <c r="M11" i="30"/>
  <c r="H13" i="14" s="1"/>
  <c r="H11" i="3" s="1"/>
  <c r="L12" i="30"/>
  <c r="H14" i="15" s="1"/>
  <c r="H12" i="2" s="1"/>
  <c r="M12" i="30"/>
  <c r="H14" i="14" s="1"/>
  <c r="H12" i="3" s="1"/>
  <c r="L13" i="30"/>
  <c r="H15" i="15" s="1"/>
  <c r="H13" i="2" s="1"/>
  <c r="M13" i="30"/>
  <c r="H15" i="14" s="1"/>
  <c r="H13" i="3" s="1"/>
  <c r="L14" i="30"/>
  <c r="H16" i="15" s="1"/>
  <c r="H14" i="2" s="1"/>
  <c r="M14" i="30"/>
  <c r="H16" i="14" s="1"/>
  <c r="H14" i="3" s="1"/>
  <c r="L15" i="30"/>
  <c r="H17" i="15" s="1"/>
  <c r="H15" i="2" s="1"/>
  <c r="M15" i="30"/>
  <c r="H17" i="14" s="1"/>
  <c r="H15" i="3" s="1"/>
  <c r="L16" i="30"/>
  <c r="H18" i="15" s="1"/>
  <c r="H16" i="2" s="1"/>
  <c r="M16" i="30"/>
  <c r="H18" i="14" s="1"/>
  <c r="H16" i="3" s="1"/>
  <c r="L17" i="30"/>
  <c r="H19" i="15" s="1"/>
  <c r="H17" i="2" s="1"/>
  <c r="M17" i="30"/>
  <c r="H19" i="14" s="1"/>
  <c r="H17" i="3" s="1"/>
  <c r="L18" i="30"/>
  <c r="H20" i="15" s="1"/>
  <c r="H18" i="2" s="1"/>
  <c r="M18" i="30"/>
  <c r="H20" i="14" s="1"/>
  <c r="H18" i="3" s="1"/>
  <c r="L19" i="30"/>
  <c r="H21" i="15" s="1"/>
  <c r="H19" i="2" s="1"/>
  <c r="M19" i="30"/>
  <c r="H21" i="14" s="1"/>
  <c r="H19" i="3" s="1"/>
  <c r="L20" i="30"/>
  <c r="H22" i="15" s="1"/>
  <c r="H20" i="2" s="1"/>
  <c r="M20" i="30"/>
  <c r="H22" i="14" s="1"/>
  <c r="H20" i="3" s="1"/>
  <c r="L21" i="30"/>
  <c r="H23" i="15" s="1"/>
  <c r="H21" i="2" s="1"/>
  <c r="M21" i="30"/>
  <c r="H23" i="14" s="1"/>
  <c r="H21" i="3" s="1"/>
  <c r="L22" i="30"/>
  <c r="H24" i="15" s="1"/>
  <c r="H22" i="2" s="1"/>
  <c r="M22" i="30"/>
  <c r="H24" i="14" s="1"/>
  <c r="H22" i="3" s="1"/>
  <c r="L23" i="30"/>
  <c r="H25" i="15" s="1"/>
  <c r="H23" i="2" s="1"/>
  <c r="M23" i="30"/>
  <c r="H25" i="14" s="1"/>
  <c r="H23" i="3" s="1"/>
  <c r="L24" i="30"/>
  <c r="H26" i="15" s="1"/>
  <c r="H24" i="2" s="1"/>
  <c r="M24" i="30"/>
  <c r="H26" i="14" s="1"/>
  <c r="H24" i="3" s="1"/>
  <c r="K25" i="30"/>
  <c r="H27" i="13" s="1"/>
  <c r="H25" i="1" s="1"/>
  <c r="L25" i="30"/>
  <c r="H27" i="15" s="1"/>
  <c r="H25" i="2" s="1"/>
  <c r="M25" i="30"/>
  <c r="H27" i="14" s="1"/>
  <c r="H25" i="3" s="1"/>
  <c r="A32" i="29"/>
  <c r="J32" i="29"/>
  <c r="K32" i="29"/>
  <c r="G32" i="62" s="1"/>
  <c r="A33" i="29"/>
  <c r="J33" i="29"/>
  <c r="A34" i="29"/>
  <c r="J34" i="29"/>
  <c r="G9" i="62" s="1"/>
  <c r="G7" i="63" s="1"/>
  <c r="K34" i="29"/>
  <c r="G34" i="62" s="1"/>
  <c r="A35" i="29"/>
  <c r="J35" i="29"/>
  <c r="G10" i="62" s="1"/>
  <c r="G8" i="63" s="1"/>
  <c r="A36" i="29"/>
  <c r="J36" i="29"/>
  <c r="G11" i="62" s="1"/>
  <c r="G9" i="63" s="1"/>
  <c r="A37" i="29"/>
  <c r="J37" i="29"/>
  <c r="A38" i="29"/>
  <c r="J38" i="29"/>
  <c r="G13" i="62" s="1"/>
  <c r="G11" i="63" s="1"/>
  <c r="K38" i="29"/>
  <c r="G38" i="62" s="1"/>
  <c r="A39" i="29"/>
  <c r="J39" i="29"/>
  <c r="G14" i="62" s="1"/>
  <c r="G12" i="63" s="1"/>
  <c r="A40" i="29"/>
  <c r="J40" i="29"/>
  <c r="G15" i="62" s="1"/>
  <c r="G13" i="63" s="1"/>
  <c r="A41" i="29"/>
  <c r="J41" i="29"/>
  <c r="A42" i="29"/>
  <c r="J42" i="29"/>
  <c r="G17" i="62" s="1"/>
  <c r="G15" i="63" s="1"/>
  <c r="K42" i="29"/>
  <c r="G42" i="62" s="1"/>
  <c r="A43" i="29"/>
  <c r="J43" i="29"/>
  <c r="G18" i="62" s="1"/>
  <c r="G16" i="63" s="1"/>
  <c r="A44" i="29"/>
  <c r="J44" i="29"/>
  <c r="G19" i="62" s="1"/>
  <c r="G17" i="63" s="1"/>
  <c r="A45" i="29"/>
  <c r="J45" i="29"/>
  <c r="A46" i="29"/>
  <c r="J46" i="29"/>
  <c r="G21" i="62" s="1"/>
  <c r="G19" i="63" s="1"/>
  <c r="K46" i="29"/>
  <c r="G46" i="62" s="1"/>
  <c r="A47" i="29"/>
  <c r="J47" i="29"/>
  <c r="G22" i="62" s="1"/>
  <c r="G20" i="63" s="1"/>
  <c r="A48" i="29"/>
  <c r="J48" i="29"/>
  <c r="G23" i="62" s="1"/>
  <c r="G21" i="63" s="1"/>
  <c r="A49" i="29"/>
  <c r="J49" i="29"/>
  <c r="A50" i="29"/>
  <c r="J50" i="29"/>
  <c r="G25" i="62" s="1"/>
  <c r="G23" i="63" s="1"/>
  <c r="K50" i="29"/>
  <c r="G50" i="62" s="1"/>
  <c r="A51" i="29"/>
  <c r="J51" i="29"/>
  <c r="G26" i="62" s="1"/>
  <c r="G24" i="63" s="1"/>
  <c r="A52" i="29"/>
  <c r="J52" i="29"/>
  <c r="G27" i="62" s="1"/>
  <c r="G25" i="63" s="1"/>
  <c r="L6" i="29"/>
  <c r="G8" i="15" s="1"/>
  <c r="G6" i="2" s="1"/>
  <c r="M6" i="29"/>
  <c r="G8" i="14" s="1"/>
  <c r="G6" i="3" s="1"/>
  <c r="M6" i="3" s="1"/>
  <c r="L7" i="29"/>
  <c r="G9" i="15" s="1"/>
  <c r="G7" i="2" s="1"/>
  <c r="M7" i="29"/>
  <c r="G9" i="14" s="1"/>
  <c r="G7" i="3" s="1"/>
  <c r="L8" i="29"/>
  <c r="G10" i="15" s="1"/>
  <c r="G8" i="2" s="1"/>
  <c r="M8" i="29"/>
  <c r="G10" i="14" s="1"/>
  <c r="G8" i="3" s="1"/>
  <c r="M8" i="3" s="1"/>
  <c r="L9" i="29"/>
  <c r="G11" i="15" s="1"/>
  <c r="G9" i="2" s="1"/>
  <c r="M9" i="29"/>
  <c r="G11" i="14" s="1"/>
  <c r="G9" i="3" s="1"/>
  <c r="L10" i="29"/>
  <c r="G12" i="15" s="1"/>
  <c r="G10" i="2" s="1"/>
  <c r="M10" i="29"/>
  <c r="G12" i="14" s="1"/>
  <c r="G10" i="3" s="1"/>
  <c r="M10" i="3" s="1"/>
  <c r="K11" i="29"/>
  <c r="G13" i="13" s="1"/>
  <c r="G11" i="1" s="1"/>
  <c r="L11" i="29"/>
  <c r="G13" i="15" s="1"/>
  <c r="G11" i="2" s="1"/>
  <c r="M11" i="2" s="1"/>
  <c r="M11" i="29"/>
  <c r="G13" i="14" s="1"/>
  <c r="G11" i="3" s="1"/>
  <c r="L12" i="29"/>
  <c r="G14" i="15" s="1"/>
  <c r="G12" i="2" s="1"/>
  <c r="M12" i="29"/>
  <c r="G14" i="14" s="1"/>
  <c r="G12" i="3" s="1"/>
  <c r="L13" i="29"/>
  <c r="G15" i="15" s="1"/>
  <c r="G13" i="2" s="1"/>
  <c r="M13" i="2" s="1"/>
  <c r="M13" i="29"/>
  <c r="G15" i="14" s="1"/>
  <c r="G13" i="3" s="1"/>
  <c r="L14" i="29"/>
  <c r="G16" i="15" s="1"/>
  <c r="G14" i="2" s="1"/>
  <c r="M14" i="29"/>
  <c r="G16" i="14" s="1"/>
  <c r="G14" i="3" s="1"/>
  <c r="L15" i="29"/>
  <c r="G17" i="15" s="1"/>
  <c r="G15" i="2" s="1"/>
  <c r="M15" i="2" s="1"/>
  <c r="M15" i="29"/>
  <c r="G17" i="14" s="1"/>
  <c r="G15" i="3" s="1"/>
  <c r="L16" i="29"/>
  <c r="G18" i="15" s="1"/>
  <c r="G16" i="2" s="1"/>
  <c r="M16" i="29"/>
  <c r="G18" i="14" s="1"/>
  <c r="G16" i="3" s="1"/>
  <c r="L17" i="29"/>
  <c r="G19" i="15" s="1"/>
  <c r="G17" i="2" s="1"/>
  <c r="M17" i="2" s="1"/>
  <c r="M17" i="29"/>
  <c r="G19" i="14" s="1"/>
  <c r="G17" i="3" s="1"/>
  <c r="L18" i="29"/>
  <c r="G20" i="15" s="1"/>
  <c r="G18" i="2" s="1"/>
  <c r="M18" i="29"/>
  <c r="G20" i="14" s="1"/>
  <c r="G18" i="3" s="1"/>
  <c r="L19" i="29"/>
  <c r="G21" i="15" s="1"/>
  <c r="G19" i="2" s="1"/>
  <c r="M19" i="2" s="1"/>
  <c r="M19" i="29"/>
  <c r="G21" i="14" s="1"/>
  <c r="G19" i="3" s="1"/>
  <c r="L20" i="29"/>
  <c r="G22" i="15" s="1"/>
  <c r="G20" i="2" s="1"/>
  <c r="M20" i="29"/>
  <c r="G22" i="14" s="1"/>
  <c r="G20" i="3" s="1"/>
  <c r="L21" i="29"/>
  <c r="G23" i="15" s="1"/>
  <c r="G21" i="2" s="1"/>
  <c r="M21" i="2" s="1"/>
  <c r="M21" i="29"/>
  <c r="G23" i="14" s="1"/>
  <c r="G21" i="3" s="1"/>
  <c r="L22" i="29"/>
  <c r="G24" i="15" s="1"/>
  <c r="G22" i="2" s="1"/>
  <c r="M22" i="29"/>
  <c r="G24" i="14" s="1"/>
  <c r="G22" i="3" s="1"/>
  <c r="L23" i="29"/>
  <c r="G25" i="15" s="1"/>
  <c r="G23" i="2" s="1"/>
  <c r="M23" i="2" s="1"/>
  <c r="M23" i="29"/>
  <c r="G25" i="14" s="1"/>
  <c r="G23" i="3" s="1"/>
  <c r="L24" i="29"/>
  <c r="G26" i="15" s="1"/>
  <c r="G24" i="2" s="1"/>
  <c r="M24" i="29"/>
  <c r="G26" i="14" s="1"/>
  <c r="G24" i="3" s="1"/>
  <c r="K25" i="29"/>
  <c r="G27" i="13" s="1"/>
  <c r="G25" i="1" s="1"/>
  <c r="L25" i="29"/>
  <c r="G27" i="15" s="1"/>
  <c r="G25" i="2" s="1"/>
  <c r="M25" i="29"/>
  <c r="G27" i="14" s="1"/>
  <c r="G25" i="3" s="1"/>
  <c r="A32" i="28"/>
  <c r="J32" i="28"/>
  <c r="K32" i="28" s="1"/>
  <c r="F32" i="62" s="1"/>
  <c r="A33" i="28"/>
  <c r="J33" i="28"/>
  <c r="F8" i="62" s="1"/>
  <c r="F6" i="63" s="1"/>
  <c r="A34" i="28"/>
  <c r="J34" i="28"/>
  <c r="F9" i="62" s="1"/>
  <c r="F7" i="63" s="1"/>
  <c r="A35" i="28"/>
  <c r="J35" i="28"/>
  <c r="F10" i="62" s="1"/>
  <c r="F8" i="63" s="1"/>
  <c r="K35" i="28"/>
  <c r="F35" i="62" s="1"/>
  <c r="A36" i="28"/>
  <c r="J36" i="28"/>
  <c r="A37" i="28"/>
  <c r="J37" i="28"/>
  <c r="F12" i="62" s="1"/>
  <c r="F10" i="63" s="1"/>
  <c r="A38" i="28"/>
  <c r="J38" i="28"/>
  <c r="F13" i="62" s="1"/>
  <c r="F11" i="63" s="1"/>
  <c r="A39" i="28"/>
  <c r="J39" i="28"/>
  <c r="F14" i="62" s="1"/>
  <c r="F12" i="63" s="1"/>
  <c r="K39" i="28"/>
  <c r="F39" i="62" s="1"/>
  <c r="A40" i="28"/>
  <c r="J40" i="28"/>
  <c r="A41" i="28"/>
  <c r="J41" i="28"/>
  <c r="F16" i="62" s="1"/>
  <c r="F14" i="63" s="1"/>
  <c r="A42" i="28"/>
  <c r="J42" i="28"/>
  <c r="F17" i="62" s="1"/>
  <c r="F15" i="63" s="1"/>
  <c r="A43" i="28"/>
  <c r="J43" i="28"/>
  <c r="F18" i="62" s="1"/>
  <c r="F16" i="63" s="1"/>
  <c r="K43" i="28"/>
  <c r="F43" i="62" s="1"/>
  <c r="A44" i="28"/>
  <c r="J44" i="28"/>
  <c r="A45" i="28"/>
  <c r="J45" i="28"/>
  <c r="F20" i="62" s="1"/>
  <c r="F18" i="63" s="1"/>
  <c r="A46" i="28"/>
  <c r="J46" i="28"/>
  <c r="F21" i="62" s="1"/>
  <c r="F19" i="63" s="1"/>
  <c r="A47" i="28"/>
  <c r="J47" i="28"/>
  <c r="F22" i="62" s="1"/>
  <c r="F20" i="63" s="1"/>
  <c r="K47" i="28"/>
  <c r="F47" i="62" s="1"/>
  <c r="A48" i="28"/>
  <c r="J48" i="28"/>
  <c r="A49" i="28"/>
  <c r="J49" i="28"/>
  <c r="F24" i="62" s="1"/>
  <c r="F22" i="63" s="1"/>
  <c r="A50" i="28"/>
  <c r="J50" i="28"/>
  <c r="F25" i="62" s="1"/>
  <c r="F23" i="63" s="1"/>
  <c r="A51" i="28"/>
  <c r="J51" i="28"/>
  <c r="F26" i="62" s="1"/>
  <c r="F24" i="63" s="1"/>
  <c r="K51" i="28"/>
  <c r="F51" i="62" s="1"/>
  <c r="A52" i="28"/>
  <c r="J52" i="28"/>
  <c r="L6" i="28"/>
  <c r="F8" i="15" s="1"/>
  <c r="F6" i="2" s="1"/>
  <c r="M6" i="28"/>
  <c r="F8" i="14" s="1"/>
  <c r="F6" i="3" s="1"/>
  <c r="L7" i="28"/>
  <c r="F9" i="15" s="1"/>
  <c r="F7" i="2" s="1"/>
  <c r="M7" i="28"/>
  <c r="F9" i="14" s="1"/>
  <c r="F7" i="3" s="1"/>
  <c r="L8" i="28"/>
  <c r="F10" i="15" s="1"/>
  <c r="F8" i="2" s="1"/>
  <c r="M8" i="28"/>
  <c r="F10" i="14" s="1"/>
  <c r="F8" i="3" s="1"/>
  <c r="L9" i="28"/>
  <c r="F11" i="15" s="1"/>
  <c r="F9" i="2" s="1"/>
  <c r="M9" i="28"/>
  <c r="F11" i="14" s="1"/>
  <c r="F9" i="3" s="1"/>
  <c r="L10" i="28"/>
  <c r="F12" i="15" s="1"/>
  <c r="F10" i="2" s="1"/>
  <c r="M10" i="28"/>
  <c r="F12" i="14" s="1"/>
  <c r="F10" i="3" s="1"/>
  <c r="K11" i="28"/>
  <c r="F13" i="13" s="1"/>
  <c r="F11" i="1"/>
  <c r="L11" i="28"/>
  <c r="F13" i="15" s="1"/>
  <c r="F11" i="2" s="1"/>
  <c r="M11" i="28"/>
  <c r="F13" i="14" s="1"/>
  <c r="F11" i="3" s="1"/>
  <c r="L12" i="28"/>
  <c r="F14" i="15" s="1"/>
  <c r="F12" i="2" s="1"/>
  <c r="M12" i="28"/>
  <c r="F14" i="14" s="1"/>
  <c r="F12" i="3" s="1"/>
  <c r="L13" i="28"/>
  <c r="F15" i="15" s="1"/>
  <c r="F13" i="2" s="1"/>
  <c r="M13" i="28"/>
  <c r="F15" i="14" s="1"/>
  <c r="F13" i="3" s="1"/>
  <c r="L14" i="28"/>
  <c r="F16" i="15" s="1"/>
  <c r="F14" i="2" s="1"/>
  <c r="M14" i="28"/>
  <c r="F16" i="14" s="1"/>
  <c r="F14" i="3" s="1"/>
  <c r="L15" i="28"/>
  <c r="F17" i="15" s="1"/>
  <c r="F15" i="2" s="1"/>
  <c r="M15" i="28"/>
  <c r="F17" i="14" s="1"/>
  <c r="F15" i="3" s="1"/>
  <c r="L16" i="28"/>
  <c r="F18" i="15" s="1"/>
  <c r="F16" i="2" s="1"/>
  <c r="M16" i="28"/>
  <c r="F18" i="14" s="1"/>
  <c r="F16" i="3" s="1"/>
  <c r="L17" i="28"/>
  <c r="F19" i="15" s="1"/>
  <c r="F17" i="2" s="1"/>
  <c r="M17" i="28"/>
  <c r="F19" i="14" s="1"/>
  <c r="F17" i="3" s="1"/>
  <c r="L18" i="28"/>
  <c r="F20" i="15" s="1"/>
  <c r="F18" i="2" s="1"/>
  <c r="M18" i="28"/>
  <c r="F20" i="14" s="1"/>
  <c r="F18" i="3" s="1"/>
  <c r="L19" i="28"/>
  <c r="F21" i="15" s="1"/>
  <c r="F19" i="2" s="1"/>
  <c r="M19" i="28"/>
  <c r="F21" i="14" s="1"/>
  <c r="F19" i="3" s="1"/>
  <c r="L20" i="28"/>
  <c r="F22" i="15" s="1"/>
  <c r="F20" i="2" s="1"/>
  <c r="M20" i="28"/>
  <c r="F22" i="14" s="1"/>
  <c r="F20" i="3" s="1"/>
  <c r="L21" i="28"/>
  <c r="F23" i="15" s="1"/>
  <c r="F21" i="2" s="1"/>
  <c r="M21" i="28"/>
  <c r="F23" i="14" s="1"/>
  <c r="F21" i="3" s="1"/>
  <c r="L22" i="28"/>
  <c r="F24" i="15" s="1"/>
  <c r="F22" i="2" s="1"/>
  <c r="M22" i="28"/>
  <c r="F24" i="14" s="1"/>
  <c r="F22" i="3" s="1"/>
  <c r="L23" i="28"/>
  <c r="F25" i="15" s="1"/>
  <c r="F23" i="2" s="1"/>
  <c r="M23" i="28"/>
  <c r="F25" i="14" s="1"/>
  <c r="F23" i="3" s="1"/>
  <c r="L24" i="28"/>
  <c r="F26" i="15" s="1"/>
  <c r="F24" i="2" s="1"/>
  <c r="M24" i="28"/>
  <c r="F26" i="14" s="1"/>
  <c r="F24" i="3" s="1"/>
  <c r="K25" i="28"/>
  <c r="F27" i="13" s="1"/>
  <c r="F25" i="1" s="1"/>
  <c r="L25" i="28"/>
  <c r="F27" i="15" s="1"/>
  <c r="F25" i="2" s="1"/>
  <c r="M25" i="28"/>
  <c r="F27" i="14" s="1"/>
  <c r="F25" i="3" s="1"/>
  <c r="A32" i="27"/>
  <c r="J32" i="27"/>
  <c r="K32" i="27"/>
  <c r="A33" i="27"/>
  <c r="J33" i="27"/>
  <c r="A34" i="27"/>
  <c r="J34" i="27"/>
  <c r="E9" i="62" s="1"/>
  <c r="E7" i="63" s="1"/>
  <c r="A35" i="27"/>
  <c r="J35" i="27"/>
  <c r="E10" i="62" s="1"/>
  <c r="E8" i="63" s="1"/>
  <c r="A36" i="27"/>
  <c r="J36" i="27"/>
  <c r="E11" i="62" s="1"/>
  <c r="E9" i="63" s="1"/>
  <c r="K36" i="27"/>
  <c r="E36" i="62" s="1"/>
  <c r="A37" i="27"/>
  <c r="J37" i="27"/>
  <c r="A38" i="27"/>
  <c r="J38" i="27"/>
  <c r="E13" i="62" s="1"/>
  <c r="E11" i="63" s="1"/>
  <c r="A39" i="27"/>
  <c r="J39" i="27"/>
  <c r="E14" i="62" s="1"/>
  <c r="E12" i="63" s="1"/>
  <c r="A40" i="27"/>
  <c r="J40" i="27"/>
  <c r="E15" i="62" s="1"/>
  <c r="E13" i="63" s="1"/>
  <c r="K40" i="27"/>
  <c r="E40" i="62" s="1"/>
  <c r="A41" i="27"/>
  <c r="J41" i="27"/>
  <c r="A42" i="27"/>
  <c r="J42" i="27"/>
  <c r="E17" i="62" s="1"/>
  <c r="E15" i="63" s="1"/>
  <c r="A43" i="27"/>
  <c r="J43" i="27"/>
  <c r="E18" i="62" s="1"/>
  <c r="E16" i="63" s="1"/>
  <c r="A44" i="27"/>
  <c r="J44" i="27"/>
  <c r="E19" i="62" s="1"/>
  <c r="E17" i="63" s="1"/>
  <c r="K44" i="27"/>
  <c r="E44" i="62" s="1"/>
  <c r="A45" i="27"/>
  <c r="J45" i="27"/>
  <c r="A46" i="27"/>
  <c r="J46" i="27"/>
  <c r="E21" i="62" s="1"/>
  <c r="E19" i="63" s="1"/>
  <c r="A47" i="27"/>
  <c r="J47" i="27"/>
  <c r="E22" i="62" s="1"/>
  <c r="E20" i="63" s="1"/>
  <c r="A48" i="27"/>
  <c r="J48" i="27"/>
  <c r="E23" i="62" s="1"/>
  <c r="E21" i="63" s="1"/>
  <c r="K48" i="27"/>
  <c r="E48" i="62" s="1"/>
  <c r="A49" i="27"/>
  <c r="J49" i="27"/>
  <c r="A50" i="27"/>
  <c r="J50" i="27"/>
  <c r="E25" i="62" s="1"/>
  <c r="E23" i="63" s="1"/>
  <c r="A51" i="27"/>
  <c r="J51" i="27"/>
  <c r="E26" i="62" s="1"/>
  <c r="E24" i="63" s="1"/>
  <c r="A52" i="27"/>
  <c r="J52" i="27"/>
  <c r="E27" i="62" s="1"/>
  <c r="E25" i="63" s="1"/>
  <c r="K52" i="27"/>
  <c r="E52" i="62" s="1"/>
  <c r="L6" i="27"/>
  <c r="E8" i="15" s="1"/>
  <c r="E6" i="2" s="1"/>
  <c r="M6" i="27"/>
  <c r="E8" i="14" s="1"/>
  <c r="E6" i="3" s="1"/>
  <c r="L7" i="27"/>
  <c r="E9" i="15" s="1"/>
  <c r="E7" i="2" s="1"/>
  <c r="M7" i="27"/>
  <c r="E9" i="14" s="1"/>
  <c r="E7" i="3" s="1"/>
  <c r="L8" i="27"/>
  <c r="E10" i="15" s="1"/>
  <c r="E8" i="2" s="1"/>
  <c r="M8" i="27"/>
  <c r="E10" i="14" s="1"/>
  <c r="E8" i="3" s="1"/>
  <c r="L9" i="27"/>
  <c r="E11" i="15" s="1"/>
  <c r="E9" i="2" s="1"/>
  <c r="M9" i="27"/>
  <c r="E11" i="14" s="1"/>
  <c r="E9" i="3" s="1"/>
  <c r="L10" i="27"/>
  <c r="E12" i="15" s="1"/>
  <c r="E10" i="2" s="1"/>
  <c r="M10" i="27"/>
  <c r="E12" i="14" s="1"/>
  <c r="E10" i="3" s="1"/>
  <c r="K11" i="27"/>
  <c r="E13" i="13"/>
  <c r="E11" i="1" s="1"/>
  <c r="L11" i="27"/>
  <c r="E13" i="15" s="1"/>
  <c r="E11" i="2" s="1"/>
  <c r="M11" i="27"/>
  <c r="E13" i="14" s="1"/>
  <c r="E11" i="3" s="1"/>
  <c r="L12" i="27"/>
  <c r="E14" i="15" s="1"/>
  <c r="E12" i="2" s="1"/>
  <c r="M12" i="27"/>
  <c r="E14" i="14" s="1"/>
  <c r="E12" i="3" s="1"/>
  <c r="L13" i="27"/>
  <c r="E15" i="15" s="1"/>
  <c r="E13" i="2" s="1"/>
  <c r="M13" i="27"/>
  <c r="E15" i="14" s="1"/>
  <c r="E13" i="3" s="1"/>
  <c r="L14" i="27"/>
  <c r="E16" i="15" s="1"/>
  <c r="E14" i="2" s="1"/>
  <c r="M14" i="27"/>
  <c r="E16" i="14" s="1"/>
  <c r="E14" i="3" s="1"/>
  <c r="L15" i="27"/>
  <c r="E17" i="15" s="1"/>
  <c r="E15" i="2" s="1"/>
  <c r="M15" i="27"/>
  <c r="E17" i="14" s="1"/>
  <c r="E15" i="3" s="1"/>
  <c r="L16" i="27"/>
  <c r="E18" i="15" s="1"/>
  <c r="E16" i="2" s="1"/>
  <c r="M16" i="27"/>
  <c r="E18" i="14" s="1"/>
  <c r="E16" i="3" s="1"/>
  <c r="L17" i="27"/>
  <c r="E19" i="15" s="1"/>
  <c r="E17" i="2" s="1"/>
  <c r="M17" i="27"/>
  <c r="E19" i="14" s="1"/>
  <c r="E17" i="3" s="1"/>
  <c r="L18" i="27"/>
  <c r="E20" i="15" s="1"/>
  <c r="E18" i="2" s="1"/>
  <c r="M18" i="27"/>
  <c r="E20" i="14" s="1"/>
  <c r="E18" i="3" s="1"/>
  <c r="L19" i="27"/>
  <c r="E21" i="15" s="1"/>
  <c r="E19" i="2" s="1"/>
  <c r="M19" i="27"/>
  <c r="E21" i="14" s="1"/>
  <c r="E19" i="3" s="1"/>
  <c r="L20" i="27"/>
  <c r="E22" i="15" s="1"/>
  <c r="E20" i="2" s="1"/>
  <c r="M20" i="27"/>
  <c r="E22" i="14" s="1"/>
  <c r="E20" i="3" s="1"/>
  <c r="L21" i="27"/>
  <c r="E23" i="15" s="1"/>
  <c r="E21" i="2" s="1"/>
  <c r="M21" i="27"/>
  <c r="E23" i="14" s="1"/>
  <c r="E21" i="3" s="1"/>
  <c r="L22" i="27"/>
  <c r="E24" i="15" s="1"/>
  <c r="E22" i="2" s="1"/>
  <c r="M22" i="27"/>
  <c r="E24" i="14" s="1"/>
  <c r="E22" i="3" s="1"/>
  <c r="L23" i="27"/>
  <c r="E25" i="15" s="1"/>
  <c r="E23" i="2" s="1"/>
  <c r="M23" i="27"/>
  <c r="E25" i="14" s="1"/>
  <c r="E23" i="3" s="1"/>
  <c r="L24" i="27"/>
  <c r="E26" i="15" s="1"/>
  <c r="E24" i="2" s="1"/>
  <c r="M24" i="27"/>
  <c r="E26" i="14" s="1"/>
  <c r="E24" i="3" s="1"/>
  <c r="K25" i="27"/>
  <c r="E27" i="13"/>
  <c r="E25" i="1" s="1"/>
  <c r="L25" i="27"/>
  <c r="E27" i="15" s="1"/>
  <c r="E25" i="2" s="1"/>
  <c r="M25" i="27"/>
  <c r="E27" i="14" s="1"/>
  <c r="E25" i="3" s="1"/>
  <c r="A32" i="26"/>
  <c r="J32" i="26"/>
  <c r="K32" i="26" s="1"/>
  <c r="D32" i="62" s="1"/>
  <c r="A33" i="26"/>
  <c r="J33" i="26"/>
  <c r="D8" i="62" s="1"/>
  <c r="D6" i="63" s="1"/>
  <c r="A34" i="26"/>
  <c r="J34" i="26"/>
  <c r="D9" i="62" s="1"/>
  <c r="D7" i="63" s="1"/>
  <c r="K34" i="26"/>
  <c r="D34" i="62" s="1"/>
  <c r="A35" i="26"/>
  <c r="J35" i="26"/>
  <c r="A36" i="26"/>
  <c r="J36" i="26"/>
  <c r="D11" i="62" s="1"/>
  <c r="D9" i="63" s="1"/>
  <c r="A37" i="26"/>
  <c r="J37" i="26"/>
  <c r="D12" i="62" s="1"/>
  <c r="D10" i="63" s="1"/>
  <c r="A38" i="26"/>
  <c r="J38" i="26"/>
  <c r="D13" i="62" s="1"/>
  <c r="D11" i="63" s="1"/>
  <c r="K38" i="26"/>
  <c r="D38" i="62" s="1"/>
  <c r="A39" i="26"/>
  <c r="J39" i="26"/>
  <c r="A40" i="26"/>
  <c r="J40" i="26"/>
  <c r="D15" i="62" s="1"/>
  <c r="D13" i="63" s="1"/>
  <c r="A41" i="26"/>
  <c r="J41" i="26"/>
  <c r="D16" i="62" s="1"/>
  <c r="D14" i="63" s="1"/>
  <c r="A42" i="26"/>
  <c r="J42" i="26"/>
  <c r="D17" i="62" s="1"/>
  <c r="D15" i="63" s="1"/>
  <c r="K42" i="26"/>
  <c r="D42" i="62" s="1"/>
  <c r="A43" i="26"/>
  <c r="J43" i="26"/>
  <c r="A44" i="26"/>
  <c r="J44" i="26"/>
  <c r="D19" i="62" s="1"/>
  <c r="D17" i="63" s="1"/>
  <c r="A45" i="26"/>
  <c r="J45" i="26"/>
  <c r="D20" i="62" s="1"/>
  <c r="D18" i="63" s="1"/>
  <c r="A46" i="26"/>
  <c r="J46" i="26"/>
  <c r="D21" i="62" s="1"/>
  <c r="D19" i="63" s="1"/>
  <c r="K46" i="26"/>
  <c r="D46" i="62" s="1"/>
  <c r="A47" i="26"/>
  <c r="J47" i="26"/>
  <c r="A48" i="26"/>
  <c r="J48" i="26"/>
  <c r="D23" i="62" s="1"/>
  <c r="D21" i="63" s="1"/>
  <c r="A49" i="26"/>
  <c r="J49" i="26"/>
  <c r="D24" i="62" s="1"/>
  <c r="D22" i="63" s="1"/>
  <c r="A50" i="26"/>
  <c r="J50" i="26"/>
  <c r="D25" i="62" s="1"/>
  <c r="D23" i="63" s="1"/>
  <c r="K50" i="26"/>
  <c r="D50" i="62" s="1"/>
  <c r="A51" i="26"/>
  <c r="J51" i="26"/>
  <c r="A52" i="26"/>
  <c r="J52" i="26"/>
  <c r="D27" i="62" s="1"/>
  <c r="D25" i="63" s="1"/>
  <c r="L6" i="26"/>
  <c r="D8" i="15" s="1"/>
  <c r="D6" i="2" s="1"/>
  <c r="M6" i="26"/>
  <c r="D8" i="14" s="1"/>
  <c r="D6" i="3" s="1"/>
  <c r="L7" i="26"/>
  <c r="D9" i="15" s="1"/>
  <c r="D7" i="2" s="1"/>
  <c r="M7" i="26"/>
  <c r="D9" i="14" s="1"/>
  <c r="D7" i="3" s="1"/>
  <c r="L8" i="26"/>
  <c r="D10" i="15" s="1"/>
  <c r="D8" i="2" s="1"/>
  <c r="M8" i="26"/>
  <c r="D10" i="14" s="1"/>
  <c r="D8" i="3" s="1"/>
  <c r="L9" i="26"/>
  <c r="D11" i="15" s="1"/>
  <c r="D9" i="2" s="1"/>
  <c r="M9" i="26"/>
  <c r="D11" i="14" s="1"/>
  <c r="D9" i="3" s="1"/>
  <c r="L10" i="26"/>
  <c r="D12" i="15" s="1"/>
  <c r="D10" i="2" s="1"/>
  <c r="M10" i="26"/>
  <c r="D12" i="14" s="1"/>
  <c r="D10" i="3" s="1"/>
  <c r="K11" i="26"/>
  <c r="D13" i="13" s="1"/>
  <c r="D11" i="1" s="1"/>
  <c r="L11" i="26"/>
  <c r="D13" i="15" s="1"/>
  <c r="D11" i="2" s="1"/>
  <c r="M11" i="26"/>
  <c r="D13" i="14" s="1"/>
  <c r="D11" i="3" s="1"/>
  <c r="L12" i="26"/>
  <c r="D14" i="15" s="1"/>
  <c r="D12" i="2" s="1"/>
  <c r="M12" i="26"/>
  <c r="D14" i="14" s="1"/>
  <c r="D12" i="3" s="1"/>
  <c r="L13" i="26"/>
  <c r="D15" i="15" s="1"/>
  <c r="D13" i="2" s="1"/>
  <c r="M13" i="26"/>
  <c r="D15" i="14" s="1"/>
  <c r="D13" i="3" s="1"/>
  <c r="L14" i="26"/>
  <c r="D16" i="15" s="1"/>
  <c r="D14" i="2" s="1"/>
  <c r="M14" i="26"/>
  <c r="D16" i="14" s="1"/>
  <c r="D14" i="3" s="1"/>
  <c r="L15" i="26"/>
  <c r="D17" i="15" s="1"/>
  <c r="D15" i="2" s="1"/>
  <c r="M15" i="26"/>
  <c r="D17" i="14" s="1"/>
  <c r="D15" i="3" s="1"/>
  <c r="L16" i="26"/>
  <c r="D18" i="15" s="1"/>
  <c r="D16" i="2" s="1"/>
  <c r="M16" i="26"/>
  <c r="D18" i="14" s="1"/>
  <c r="D16" i="3" s="1"/>
  <c r="L17" i="26"/>
  <c r="D19" i="15" s="1"/>
  <c r="D17" i="2" s="1"/>
  <c r="M17" i="26"/>
  <c r="D19" i="14" s="1"/>
  <c r="D17" i="3" s="1"/>
  <c r="L18" i="26"/>
  <c r="D20" i="15" s="1"/>
  <c r="D18" i="2" s="1"/>
  <c r="M18" i="26"/>
  <c r="D20" i="14" s="1"/>
  <c r="D18" i="3" s="1"/>
  <c r="L19" i="26"/>
  <c r="D21" i="15" s="1"/>
  <c r="D19" i="2" s="1"/>
  <c r="M19" i="26"/>
  <c r="D21" i="14" s="1"/>
  <c r="D19" i="3" s="1"/>
  <c r="L20" i="26"/>
  <c r="D22" i="15" s="1"/>
  <c r="D20" i="2" s="1"/>
  <c r="M20" i="26"/>
  <c r="D22" i="14" s="1"/>
  <c r="D20" i="3" s="1"/>
  <c r="L21" i="26"/>
  <c r="D23" i="15" s="1"/>
  <c r="D21" i="2" s="1"/>
  <c r="M21" i="26"/>
  <c r="D23" i="14" s="1"/>
  <c r="D21" i="3" s="1"/>
  <c r="L22" i="26"/>
  <c r="D24" i="15" s="1"/>
  <c r="D22" i="2" s="1"/>
  <c r="M22" i="26"/>
  <c r="D24" i="14" s="1"/>
  <c r="D22" i="3" s="1"/>
  <c r="L23" i="26"/>
  <c r="D25" i="15" s="1"/>
  <c r="D23" i="2" s="1"/>
  <c r="M23" i="26"/>
  <c r="D25" i="14" s="1"/>
  <c r="D23" i="3" s="1"/>
  <c r="L24" i="26"/>
  <c r="D26" i="15" s="1"/>
  <c r="D24" i="2" s="1"/>
  <c r="M24" i="26"/>
  <c r="D26" i="14" s="1"/>
  <c r="D24" i="3" s="1"/>
  <c r="K25" i="26"/>
  <c r="D27" i="13" s="1"/>
  <c r="D25" i="1" s="1"/>
  <c r="L25" i="26"/>
  <c r="D27" i="15" s="1"/>
  <c r="D25" i="2" s="1"/>
  <c r="M25" i="26"/>
  <c r="D27" i="14" s="1"/>
  <c r="D25" i="3" s="1"/>
  <c r="A32" i="25"/>
  <c r="J32" i="25"/>
  <c r="K32" i="25"/>
  <c r="A33" i="25"/>
  <c r="J33" i="25"/>
  <c r="C8" i="62" s="1"/>
  <c r="C6" i="63" s="1"/>
  <c r="A34" i="25"/>
  <c r="J34" i="25"/>
  <c r="C9" i="62" s="1"/>
  <c r="C7" i="63" s="1"/>
  <c r="A35" i="25"/>
  <c r="J35" i="25"/>
  <c r="A36" i="25"/>
  <c r="J36" i="25"/>
  <c r="C11" i="62" s="1"/>
  <c r="C9" i="63" s="1"/>
  <c r="K36" i="25"/>
  <c r="C36" i="62" s="1"/>
  <c r="A37" i="25"/>
  <c r="J37" i="25"/>
  <c r="C12" i="62" s="1"/>
  <c r="C10" i="63" s="1"/>
  <c r="A38" i="25"/>
  <c r="J38" i="25"/>
  <c r="C13" i="62" s="1"/>
  <c r="C11" i="63" s="1"/>
  <c r="A39" i="25"/>
  <c r="J39" i="25"/>
  <c r="A40" i="25"/>
  <c r="J40" i="25"/>
  <c r="C15" i="62" s="1"/>
  <c r="C13" i="63" s="1"/>
  <c r="K40" i="25"/>
  <c r="C40" i="62" s="1"/>
  <c r="A41" i="25"/>
  <c r="J41" i="25"/>
  <c r="C16" i="62" s="1"/>
  <c r="C14" i="63" s="1"/>
  <c r="A42" i="25"/>
  <c r="J42" i="25"/>
  <c r="C17" i="62" s="1"/>
  <c r="C15" i="63" s="1"/>
  <c r="A43" i="25"/>
  <c r="J43" i="25"/>
  <c r="A44" i="25"/>
  <c r="J44" i="25"/>
  <c r="C19" i="62" s="1"/>
  <c r="C17" i="63" s="1"/>
  <c r="K44" i="25"/>
  <c r="C44" i="62" s="1"/>
  <c r="A45" i="25"/>
  <c r="J45" i="25"/>
  <c r="C20" i="62" s="1"/>
  <c r="C18" i="63" s="1"/>
  <c r="A46" i="25"/>
  <c r="J46" i="25"/>
  <c r="C21" i="62" s="1"/>
  <c r="C19" i="63" s="1"/>
  <c r="A47" i="25"/>
  <c r="J47" i="25"/>
  <c r="A48" i="25"/>
  <c r="J48" i="25"/>
  <c r="C23" i="62" s="1"/>
  <c r="C21" i="63" s="1"/>
  <c r="K48" i="25"/>
  <c r="C48" i="62" s="1"/>
  <c r="A49" i="25"/>
  <c r="J49" i="25"/>
  <c r="C24" i="62" s="1"/>
  <c r="C22" i="63" s="1"/>
  <c r="A50" i="25"/>
  <c r="J50" i="25"/>
  <c r="C25" i="62" s="1"/>
  <c r="C23" i="63" s="1"/>
  <c r="A51" i="25"/>
  <c r="J51" i="25"/>
  <c r="A52" i="25"/>
  <c r="J52" i="25"/>
  <c r="C27" i="62" s="1"/>
  <c r="C25" i="63" s="1"/>
  <c r="K52" i="25"/>
  <c r="C52" i="62" s="1"/>
  <c r="L6" i="25"/>
  <c r="C8" i="15" s="1"/>
  <c r="C6" i="2" s="1"/>
  <c r="M6" i="25"/>
  <c r="C8" i="14" s="1"/>
  <c r="L7" i="25"/>
  <c r="C9" i="15" s="1"/>
  <c r="C7" i="2" s="1"/>
  <c r="M7" i="25"/>
  <c r="C9" i="14" s="1"/>
  <c r="L8" i="25"/>
  <c r="C10" i="15" s="1"/>
  <c r="C8" i="2" s="1"/>
  <c r="M8" i="25"/>
  <c r="C10" i="14" s="1"/>
  <c r="L9" i="25"/>
  <c r="C11" i="15" s="1"/>
  <c r="C9" i="2" s="1"/>
  <c r="M9" i="25"/>
  <c r="C11" i="14" s="1"/>
  <c r="L10" i="25"/>
  <c r="C12" i="15" s="1"/>
  <c r="C10" i="2" s="1"/>
  <c r="M10" i="25"/>
  <c r="C12" i="14" s="1"/>
  <c r="K11" i="25"/>
  <c r="C13" i="13"/>
  <c r="C11" i="1" s="1"/>
  <c r="L11" i="25"/>
  <c r="C13" i="15" s="1"/>
  <c r="C11" i="2" s="1"/>
  <c r="M11" i="25"/>
  <c r="C13" i="14" s="1"/>
  <c r="L12" i="25"/>
  <c r="C14" i="15" s="1"/>
  <c r="C12" i="2" s="1"/>
  <c r="M12" i="25"/>
  <c r="C14" i="14" s="1"/>
  <c r="C12" i="3" s="1"/>
  <c r="L13" i="25"/>
  <c r="C15" i="15" s="1"/>
  <c r="C13" i="2" s="1"/>
  <c r="M13" i="25"/>
  <c r="C15" i="14" s="1"/>
  <c r="L14" i="25"/>
  <c r="C16" i="15" s="1"/>
  <c r="C14" i="2" s="1"/>
  <c r="M14" i="25"/>
  <c r="C16" i="14" s="1"/>
  <c r="C14" i="3" s="1"/>
  <c r="L15" i="25"/>
  <c r="C17" i="15" s="1"/>
  <c r="C15" i="2" s="1"/>
  <c r="M15" i="25"/>
  <c r="C17" i="14" s="1"/>
  <c r="C15" i="3" s="1"/>
  <c r="L16" i="25"/>
  <c r="C18" i="15" s="1"/>
  <c r="C16" i="2" s="1"/>
  <c r="M16" i="25"/>
  <c r="C18" i="14" s="1"/>
  <c r="L17" i="25"/>
  <c r="C19" i="15" s="1"/>
  <c r="C17" i="2" s="1"/>
  <c r="M17" i="25"/>
  <c r="C19" i="14" s="1"/>
  <c r="L18" i="25"/>
  <c r="C20" i="15" s="1"/>
  <c r="C18" i="2" s="1"/>
  <c r="M18" i="25"/>
  <c r="C20" i="14" s="1"/>
  <c r="L19" i="25"/>
  <c r="C21" i="15" s="1"/>
  <c r="C19" i="2" s="1"/>
  <c r="M19" i="25"/>
  <c r="C21" i="14" s="1"/>
  <c r="L20" i="25"/>
  <c r="C22" i="15" s="1"/>
  <c r="C20" i="2" s="1"/>
  <c r="M20" i="25"/>
  <c r="C22" i="14" s="1"/>
  <c r="L21" i="25"/>
  <c r="C23" i="15" s="1"/>
  <c r="C21" i="2" s="1"/>
  <c r="M21" i="25"/>
  <c r="C23" i="14" s="1"/>
  <c r="C21" i="3" s="1"/>
  <c r="L22" i="25"/>
  <c r="C24" i="15" s="1"/>
  <c r="C22" i="2" s="1"/>
  <c r="M22" i="25"/>
  <c r="C24" i="14" s="1"/>
  <c r="C22" i="3" s="1"/>
  <c r="L23" i="25"/>
  <c r="C25" i="15" s="1"/>
  <c r="C23" i="2" s="1"/>
  <c r="M23" i="25"/>
  <c r="C25" i="14" s="1"/>
  <c r="L24" i="25"/>
  <c r="C26" i="15" s="1"/>
  <c r="C24" i="2" s="1"/>
  <c r="M24" i="25"/>
  <c r="C26" i="14" s="1"/>
  <c r="K25" i="25"/>
  <c r="C27" i="13" s="1"/>
  <c r="C25" i="1" s="1"/>
  <c r="L25" i="25"/>
  <c r="C27" i="15" s="1"/>
  <c r="C25" i="2" s="1"/>
  <c r="M25" i="25"/>
  <c r="C27" i="14" s="1"/>
  <c r="C25" i="3" s="1"/>
  <c r="B32" i="62"/>
  <c r="B8" i="62"/>
  <c r="B9" i="62"/>
  <c r="B10" i="62"/>
  <c r="B11" i="62"/>
  <c r="B12" i="62"/>
  <c r="B37" i="62"/>
  <c r="B13" i="62"/>
  <c r="B14" i="62"/>
  <c r="B15" i="62"/>
  <c r="B16" i="62"/>
  <c r="B41" i="62"/>
  <c r="B17" i="62"/>
  <c r="B18" i="62"/>
  <c r="B19" i="62"/>
  <c r="B20" i="62"/>
  <c r="B45" i="62"/>
  <c r="B21" i="62"/>
  <c r="B22" i="62"/>
  <c r="B23" i="62"/>
  <c r="B24" i="62"/>
  <c r="B49" i="62"/>
  <c r="B25" i="62"/>
  <c r="B26" i="62"/>
  <c r="B27" i="62"/>
  <c r="L6" i="24"/>
  <c r="B8" i="15" s="1"/>
  <c r="L7" i="24"/>
  <c r="B9" i="15" s="1"/>
  <c r="L8" i="24"/>
  <c r="B10" i="15" s="1"/>
  <c r="L9" i="24"/>
  <c r="B11" i="15" s="1"/>
  <c r="L10" i="24"/>
  <c r="B12" i="15" s="1"/>
  <c r="K11" i="24"/>
  <c r="B13" i="13" s="1"/>
  <c r="L11" i="24"/>
  <c r="B13" i="15" s="1"/>
  <c r="L12" i="24"/>
  <c r="B14" i="15" s="1"/>
  <c r="L13" i="24"/>
  <c r="B15" i="15" s="1"/>
  <c r="L14" i="24"/>
  <c r="B16" i="15" s="1"/>
  <c r="L15" i="24"/>
  <c r="B17" i="15" s="1"/>
  <c r="L16" i="24"/>
  <c r="B18" i="15" s="1"/>
  <c r="L17" i="24"/>
  <c r="B19" i="15" s="1"/>
  <c r="L18" i="24"/>
  <c r="B20" i="15" s="1"/>
  <c r="L19" i="24"/>
  <c r="B21" i="15" s="1"/>
  <c r="L20" i="24"/>
  <c r="B22" i="15" s="1"/>
  <c r="L21" i="24"/>
  <c r="B23" i="15" s="1"/>
  <c r="L22" i="24"/>
  <c r="B24" i="15" s="1"/>
  <c r="L23" i="24"/>
  <c r="B25" i="15" s="1"/>
  <c r="L24" i="24"/>
  <c r="B26" i="15" s="1"/>
  <c r="K25" i="24"/>
  <c r="B27" i="13" s="1"/>
  <c r="L25" i="24"/>
  <c r="B27" i="15" s="1"/>
  <c r="AB258" i="19"/>
  <c r="AB257" i="19"/>
  <c r="AB256" i="19"/>
  <c r="AB255" i="19"/>
  <c r="AB254" i="19"/>
  <c r="AB253" i="19"/>
  <c r="AB252" i="19"/>
  <c r="AB251" i="19"/>
  <c r="AB250" i="19"/>
  <c r="AB249" i="19"/>
  <c r="AB248" i="19"/>
  <c r="AB247" i="19"/>
  <c r="AB246" i="19"/>
  <c r="AB245" i="19"/>
  <c r="AB244" i="19"/>
  <c r="AB243" i="19"/>
  <c r="AC251" i="19" s="1"/>
  <c r="AB242" i="19"/>
  <c r="AB241" i="19"/>
  <c r="AC249" i="19" s="1"/>
  <c r="AB240" i="19"/>
  <c r="AB239" i="19"/>
  <c r="AB238" i="19"/>
  <c r="AB237" i="19"/>
  <c r="AB236" i="19"/>
  <c r="AB235" i="19"/>
  <c r="AC243" i="19" s="1"/>
  <c r="AB234" i="19"/>
  <c r="AB233" i="19"/>
  <c r="AB232" i="19"/>
  <c r="AC240" i="19" s="1"/>
  <c r="AB231" i="19"/>
  <c r="AC239" i="19"/>
  <c r="AB230" i="19"/>
  <c r="AB229" i="19"/>
  <c r="AB228" i="19"/>
  <c r="AB227" i="19"/>
  <c r="AC235" i="19" s="1"/>
  <c r="AB226" i="19"/>
  <c r="AC226" i="19" s="1"/>
  <c r="AB225" i="19"/>
  <c r="AB224" i="19"/>
  <c r="AB223" i="19"/>
  <c r="AC231" i="19" s="1"/>
  <c r="AB222" i="19"/>
  <c r="AB221" i="19"/>
  <c r="AB220" i="19"/>
  <c r="AC220" i="19" s="1"/>
  <c r="AB219" i="19"/>
  <c r="AB218" i="19"/>
  <c r="AB217" i="19"/>
  <c r="AC225" i="19" s="1"/>
  <c r="AB216" i="19"/>
  <c r="AB215" i="19"/>
  <c r="AC223" i="19"/>
  <c r="AB214" i="19"/>
  <c r="AB213" i="19"/>
  <c r="AC221" i="19" s="1"/>
  <c r="AB212" i="19"/>
  <c r="AB211" i="19"/>
  <c r="AC219" i="19" s="1"/>
  <c r="AB210" i="19"/>
  <c r="AB209" i="19"/>
  <c r="AC217" i="19" s="1"/>
  <c r="AB208" i="19"/>
  <c r="AB207" i="19"/>
  <c r="AC215" i="19"/>
  <c r="AB206" i="19"/>
  <c r="AB205" i="19"/>
  <c r="AB204" i="19"/>
  <c r="AC212" i="19" s="1"/>
  <c r="AB203" i="19"/>
  <c r="AC211" i="19" s="1"/>
  <c r="AB202" i="19"/>
  <c r="AB201" i="19"/>
  <c r="AC209" i="19" s="1"/>
  <c r="AB200" i="19"/>
  <c r="AB199" i="19"/>
  <c r="AC207" i="19"/>
  <c r="AB198" i="19"/>
  <c r="AB197" i="19"/>
  <c r="AB196" i="19"/>
  <c r="AB195" i="19"/>
  <c r="AC203" i="19" s="1"/>
  <c r="AB194" i="19"/>
  <c r="AB193" i="19"/>
  <c r="AB192" i="19"/>
  <c r="AB191" i="19"/>
  <c r="AC199" i="19" s="1"/>
  <c r="AB190" i="19"/>
  <c r="AB189" i="19"/>
  <c r="AB188" i="19"/>
  <c r="AC196" i="19" s="1"/>
  <c r="AB187" i="19"/>
  <c r="AB186" i="19"/>
  <c r="AB185" i="19"/>
  <c r="AB184" i="19"/>
  <c r="AB183" i="19"/>
  <c r="AC191" i="19"/>
  <c r="AB182" i="19"/>
  <c r="AB181" i="19"/>
  <c r="AB180" i="19"/>
  <c r="AB179" i="19"/>
  <c r="AC187" i="19" s="1"/>
  <c r="AB178" i="19"/>
  <c r="AB177" i="19"/>
  <c r="AB176" i="19"/>
  <c r="AB175" i="19"/>
  <c r="AC183" i="19" s="1"/>
  <c r="AB174" i="19"/>
  <c r="AB173" i="19"/>
  <c r="AC181" i="19" s="1"/>
  <c r="AB172" i="19"/>
  <c r="AC180" i="19" s="1"/>
  <c r="AB171" i="19"/>
  <c r="AC179" i="19" s="1"/>
  <c r="AB170" i="19"/>
  <c r="AC170" i="19" s="1"/>
  <c r="AB169" i="19"/>
  <c r="AB168" i="19"/>
  <c r="AC176" i="19" s="1"/>
  <c r="AB167" i="19"/>
  <c r="AC175" i="19" s="1"/>
  <c r="AB166" i="19"/>
  <c r="AB165" i="19"/>
  <c r="AC173" i="19" s="1"/>
  <c r="AB164" i="19"/>
  <c r="AC172" i="19" s="1"/>
  <c r="AB163" i="19"/>
  <c r="AC171" i="19" s="1"/>
  <c r="AB162" i="19"/>
  <c r="AB161" i="19"/>
  <c r="AB160" i="19"/>
  <c r="AC160" i="19" s="1"/>
  <c r="AB159" i="19"/>
  <c r="AB158" i="19"/>
  <c r="AC158" i="19" s="1"/>
  <c r="AB157" i="19"/>
  <c r="AB156" i="19"/>
  <c r="AC164" i="19" s="1"/>
  <c r="AB155" i="19"/>
  <c r="AC163" i="19"/>
  <c r="AB154" i="19"/>
  <c r="AB153" i="19"/>
  <c r="AC161" i="19" s="1"/>
  <c r="AB152" i="19"/>
  <c r="AB151" i="19"/>
  <c r="AC159" i="19" s="1"/>
  <c r="AB150" i="19"/>
  <c r="AB149" i="19"/>
  <c r="AB148" i="19"/>
  <c r="AC148" i="19" s="1"/>
  <c r="AB147" i="19"/>
  <c r="AC155" i="19" s="1"/>
  <c r="AB146" i="19"/>
  <c r="AB145" i="19"/>
  <c r="AB144" i="19"/>
  <c r="AB143" i="19"/>
  <c r="AC151" i="19"/>
  <c r="AB142" i="19"/>
  <c r="AB141" i="19"/>
  <c r="AC149" i="19" s="1"/>
  <c r="AB140" i="19"/>
  <c r="AB139" i="19"/>
  <c r="AC147" i="19" s="1"/>
  <c r="AB138" i="19"/>
  <c r="AB137" i="19"/>
  <c r="AC145" i="19" s="1"/>
  <c r="AB136" i="19"/>
  <c r="AB135" i="19"/>
  <c r="AC143" i="19"/>
  <c r="AB134" i="19"/>
  <c r="AB133" i="19"/>
  <c r="AB132" i="19"/>
  <c r="AB131" i="19"/>
  <c r="AC139" i="19" s="1"/>
  <c r="AB130" i="19"/>
  <c r="AB129" i="19"/>
  <c r="AB128" i="19"/>
  <c r="AB127" i="19"/>
  <c r="AC135" i="19" s="1"/>
  <c r="AB126" i="19"/>
  <c r="AB125" i="19"/>
  <c r="AB124" i="19"/>
  <c r="AC132" i="19" s="1"/>
  <c r="AB123" i="19"/>
  <c r="AC131" i="19"/>
  <c r="AB122" i="19"/>
  <c r="AB121" i="19"/>
  <c r="AC121" i="19" s="1"/>
  <c r="AB120" i="19"/>
  <c r="AC128" i="19"/>
  <c r="AB119" i="19"/>
  <c r="AB118" i="19"/>
  <c r="AB117" i="19"/>
  <c r="AB116" i="19"/>
  <c r="AC116" i="19" s="1"/>
  <c r="AB115" i="19"/>
  <c r="AC123" i="19" s="1"/>
  <c r="AB114" i="19"/>
  <c r="AB113" i="19"/>
  <c r="AB112" i="19"/>
  <c r="AB111" i="19"/>
  <c r="AB110" i="19"/>
  <c r="AC118" i="19" s="1"/>
  <c r="AB109" i="19"/>
  <c r="AC117" i="19" s="1"/>
  <c r="AB108" i="19"/>
  <c r="AB107" i="19"/>
  <c r="AC115" i="19" s="1"/>
  <c r="AB106" i="19"/>
  <c r="AB105" i="19"/>
  <c r="AC113" i="19" s="1"/>
  <c r="AB104" i="19"/>
  <c r="AC112" i="19" s="1"/>
  <c r="AB103" i="19"/>
  <c r="AC103" i="19" s="1"/>
  <c r="AB102" i="19"/>
  <c r="AB101" i="19"/>
  <c r="AB100" i="19"/>
  <c r="AB99" i="19"/>
  <c r="AC107" i="19" s="1"/>
  <c r="AB98" i="19"/>
  <c r="AB97" i="19"/>
  <c r="AC105" i="19" s="1"/>
  <c r="AB96" i="19"/>
  <c r="AB95" i="19"/>
  <c r="AB94" i="19"/>
  <c r="AC94" i="19" s="1"/>
  <c r="AB93" i="19"/>
  <c r="AB92" i="19"/>
  <c r="AC92" i="19" s="1"/>
  <c r="AB91" i="19"/>
  <c r="AC99" i="19"/>
  <c r="AB90" i="19"/>
  <c r="AB89" i="19"/>
  <c r="AB88" i="19"/>
  <c r="AB87" i="19"/>
  <c r="AC87" i="19" s="1"/>
  <c r="AB86" i="19"/>
  <c r="AB85" i="19"/>
  <c r="AB84" i="19"/>
  <c r="AB83" i="19"/>
  <c r="AC91" i="19" s="1"/>
  <c r="AB82" i="19"/>
  <c r="AB81" i="19"/>
  <c r="AC89" i="19" s="1"/>
  <c r="AB80" i="19"/>
  <c r="AB79" i="19"/>
  <c r="AB78" i="19"/>
  <c r="AB77" i="19"/>
  <c r="AC85" i="19" s="1"/>
  <c r="AB76" i="19"/>
  <c r="AB75" i="19"/>
  <c r="AB74" i="19"/>
  <c r="AC82" i="19" s="1"/>
  <c r="AB73" i="19"/>
  <c r="AB72" i="19"/>
  <c r="AB71" i="19"/>
  <c r="AB70" i="19"/>
  <c r="AB69" i="19"/>
  <c r="AB68" i="19"/>
  <c r="AB67" i="19"/>
  <c r="AC75" i="19" s="1"/>
  <c r="AB66" i="19"/>
  <c r="AB65" i="19"/>
  <c r="AB64" i="19"/>
  <c r="AB63" i="19"/>
  <c r="AB62" i="19"/>
  <c r="AB61" i="19"/>
  <c r="AC69" i="19" s="1"/>
  <c r="AB60" i="19"/>
  <c r="AB59" i="19"/>
  <c r="AB58" i="19"/>
  <c r="AB57" i="19"/>
  <c r="AB56" i="19"/>
  <c r="AB55" i="19"/>
  <c r="AC63" i="19" s="1"/>
  <c r="AB54" i="19"/>
  <c r="AB53" i="19"/>
  <c r="AB52" i="19"/>
  <c r="AB51" i="19"/>
  <c r="AB50" i="19"/>
  <c r="AB49" i="19"/>
  <c r="AB48" i="19"/>
  <c r="AB47" i="19"/>
  <c r="AB46" i="19"/>
  <c r="AC54" i="19"/>
  <c r="AB45" i="19"/>
  <c r="AB44" i="19"/>
  <c r="AB43" i="19"/>
  <c r="AC51" i="19"/>
  <c r="AB42" i="19"/>
  <c r="AC50" i="19" s="1"/>
  <c r="AB41" i="19"/>
  <c r="AB40" i="19"/>
  <c r="AB39" i="19"/>
  <c r="AC47" i="19" s="1"/>
  <c r="AB38" i="19"/>
  <c r="AB37" i="19"/>
  <c r="AB36" i="19"/>
  <c r="AB35" i="19"/>
  <c r="AC43" i="19" s="1"/>
  <c r="AB34" i="19"/>
  <c r="AB33" i="19"/>
  <c r="AB32" i="19"/>
  <c r="AB31" i="19"/>
  <c r="AB30" i="19"/>
  <c r="AC38" i="19" s="1"/>
  <c r="AB29" i="19"/>
  <c r="AB28" i="19"/>
  <c r="AB27" i="19"/>
  <c r="AC35" i="19" s="1"/>
  <c r="AB26" i="19"/>
  <c r="AB25" i="19"/>
  <c r="AB24" i="19"/>
  <c r="AC32" i="19" s="1"/>
  <c r="AB23" i="19"/>
  <c r="AC31" i="19" s="1"/>
  <c r="AB22" i="19"/>
  <c r="AB21" i="19"/>
  <c r="AB20" i="19"/>
  <c r="AB19" i="19"/>
  <c r="AC27" i="19"/>
  <c r="AB18" i="19"/>
  <c r="AB17" i="19"/>
  <c r="AB16" i="19"/>
  <c r="AB15" i="19"/>
  <c r="AB14" i="19"/>
  <c r="AB13" i="19"/>
  <c r="AC13" i="19" s="1"/>
  <c r="AB12" i="19"/>
  <c r="AB11" i="19"/>
  <c r="AB10" i="19"/>
  <c r="X257" i="19"/>
  <c r="X256" i="19"/>
  <c r="X255" i="19"/>
  <c r="X254" i="19"/>
  <c r="X253" i="19"/>
  <c r="X252" i="19"/>
  <c r="X251" i="19"/>
  <c r="X250" i="19"/>
  <c r="X249" i="19"/>
  <c r="X248" i="19"/>
  <c r="X247" i="19"/>
  <c r="X246" i="19"/>
  <c r="X245" i="19"/>
  <c r="X244" i="19"/>
  <c r="X243" i="19"/>
  <c r="Y251" i="19" s="1"/>
  <c r="X242" i="19"/>
  <c r="X241" i="19"/>
  <c r="X240" i="19"/>
  <c r="Y248" i="19" s="1"/>
  <c r="X239" i="19"/>
  <c r="Y247" i="19" s="1"/>
  <c r="X238" i="19"/>
  <c r="Y238" i="19" s="1"/>
  <c r="X237" i="19"/>
  <c r="X236" i="19"/>
  <c r="X235" i="19"/>
  <c r="X234" i="19"/>
  <c r="X233" i="19"/>
  <c r="X232" i="19"/>
  <c r="X231" i="19"/>
  <c r="X230" i="19"/>
  <c r="X229" i="19"/>
  <c r="X228" i="19"/>
  <c r="X227" i="19"/>
  <c r="Y235" i="19"/>
  <c r="X226" i="19"/>
  <c r="X225" i="19"/>
  <c r="X224" i="19"/>
  <c r="X223" i="19"/>
  <c r="Y231" i="19" s="1"/>
  <c r="X222" i="19"/>
  <c r="X221" i="19"/>
  <c r="Y221" i="19" s="1"/>
  <c r="X220" i="19"/>
  <c r="X219" i="19"/>
  <c r="Y227" i="19" s="1"/>
  <c r="X218" i="19"/>
  <c r="X217" i="19"/>
  <c r="Y225" i="19" s="1"/>
  <c r="X216" i="19"/>
  <c r="X215" i="19"/>
  <c r="Y223" i="19" s="1"/>
  <c r="X214" i="19"/>
  <c r="X213" i="19"/>
  <c r="X212" i="19"/>
  <c r="Y220" i="19" s="1"/>
  <c r="X211" i="19"/>
  <c r="X210" i="19"/>
  <c r="X209" i="19"/>
  <c r="X208" i="19"/>
  <c r="X207" i="19"/>
  <c r="X206" i="19"/>
  <c r="Y214" i="19" s="1"/>
  <c r="X205" i="19"/>
  <c r="X204" i="19"/>
  <c r="X203" i="19"/>
  <c r="X202" i="19"/>
  <c r="X201" i="19"/>
  <c r="Y201" i="19" s="1"/>
  <c r="X200" i="19"/>
  <c r="X199" i="19"/>
  <c r="Y199" i="19" s="1"/>
  <c r="X198" i="19"/>
  <c r="X197" i="19"/>
  <c r="X196" i="19"/>
  <c r="X195" i="19"/>
  <c r="Y203" i="19" s="1"/>
  <c r="X194" i="19"/>
  <c r="X193" i="19"/>
  <c r="X192" i="19"/>
  <c r="X191" i="19"/>
  <c r="X190" i="19"/>
  <c r="Y198" i="19" s="1"/>
  <c r="X189" i="19"/>
  <c r="X188" i="19"/>
  <c r="X187" i="19"/>
  <c r="Y195" i="19" s="1"/>
  <c r="X186" i="19"/>
  <c r="X185" i="19"/>
  <c r="Y185" i="19"/>
  <c r="X184" i="19"/>
  <c r="X183" i="19"/>
  <c r="Y191" i="19" s="1"/>
  <c r="X182" i="19"/>
  <c r="X181" i="19"/>
  <c r="X180" i="19"/>
  <c r="X179" i="19"/>
  <c r="Y187" i="19" s="1"/>
  <c r="X178" i="19"/>
  <c r="X177" i="19"/>
  <c r="X176" i="19"/>
  <c r="Y184" i="19" s="1"/>
  <c r="X175" i="19"/>
  <c r="Y183" i="19" s="1"/>
  <c r="X174" i="19"/>
  <c r="X173" i="19"/>
  <c r="Y181" i="19" s="1"/>
  <c r="X172" i="19"/>
  <c r="Y180" i="19" s="1"/>
  <c r="X171" i="19"/>
  <c r="Y179" i="19" s="1"/>
  <c r="X170" i="19"/>
  <c r="Y178" i="19" s="1"/>
  <c r="X169" i="19"/>
  <c r="X168" i="19"/>
  <c r="X167" i="19"/>
  <c r="X166" i="19"/>
  <c r="X165" i="19"/>
  <c r="X164" i="19"/>
  <c r="Y172" i="19" s="1"/>
  <c r="X163" i="19"/>
  <c r="Y171" i="19"/>
  <c r="X162" i="19"/>
  <c r="X161" i="19"/>
  <c r="X160" i="19"/>
  <c r="Y168" i="19"/>
  <c r="X159" i="19"/>
  <c r="Y167" i="19" s="1"/>
  <c r="X158" i="19"/>
  <c r="X157" i="19"/>
  <c r="X156" i="19"/>
  <c r="X155" i="19"/>
  <c r="Y163" i="19"/>
  <c r="X154" i="19"/>
  <c r="Y162" i="19" s="1"/>
  <c r="X153" i="19"/>
  <c r="X152" i="19"/>
  <c r="Y160" i="19"/>
  <c r="X151" i="19"/>
  <c r="Y159" i="19" s="1"/>
  <c r="X150" i="19"/>
  <c r="X149" i="19"/>
  <c r="X148" i="19"/>
  <c r="Y148" i="19" s="1"/>
  <c r="X147" i="19"/>
  <c r="Y155" i="19" s="1"/>
  <c r="X146" i="19"/>
  <c r="X145" i="19"/>
  <c r="X144" i="19"/>
  <c r="X143" i="19"/>
  <c r="X142" i="19"/>
  <c r="X141" i="19"/>
  <c r="Y149" i="19" s="1"/>
  <c r="X140" i="19"/>
  <c r="X139" i="19"/>
  <c r="X138" i="19"/>
  <c r="Y146" i="19" s="1"/>
  <c r="X137" i="19"/>
  <c r="X136" i="19"/>
  <c r="X135" i="19"/>
  <c r="Y143" i="19" s="1"/>
  <c r="X134" i="19"/>
  <c r="X133" i="19"/>
  <c r="X132" i="19"/>
  <c r="Y140" i="19" s="1"/>
  <c r="X131" i="19"/>
  <c r="Y139" i="19" s="1"/>
  <c r="X130" i="19"/>
  <c r="X129" i="19"/>
  <c r="X128" i="19"/>
  <c r="Y136" i="19"/>
  <c r="X127" i="19"/>
  <c r="Y135" i="19" s="1"/>
  <c r="X126" i="19"/>
  <c r="Y134" i="19" s="1"/>
  <c r="X125" i="19"/>
  <c r="X124" i="19"/>
  <c r="X123" i="19"/>
  <c r="Y131" i="19" s="1"/>
  <c r="X122" i="19"/>
  <c r="X121" i="19"/>
  <c r="X120" i="19"/>
  <c r="X119" i="19"/>
  <c r="Y127" i="19" s="1"/>
  <c r="X118" i="19"/>
  <c r="X117" i="19"/>
  <c r="X116" i="19"/>
  <c r="Y124" i="19" s="1"/>
  <c r="X115" i="19"/>
  <c r="X114" i="19"/>
  <c r="X113" i="19"/>
  <c r="Y121" i="19" s="1"/>
  <c r="X112" i="19"/>
  <c r="Y120" i="19" s="1"/>
  <c r="X111" i="19"/>
  <c r="Y119" i="19"/>
  <c r="X110" i="19"/>
  <c r="X109" i="19"/>
  <c r="Y117" i="19" s="1"/>
  <c r="X108" i="19"/>
  <c r="Y116" i="19" s="1"/>
  <c r="X107" i="19"/>
  <c r="Y115" i="19"/>
  <c r="X106" i="19"/>
  <c r="X105" i="19"/>
  <c r="X104" i="19"/>
  <c r="Y112" i="19"/>
  <c r="X103" i="19"/>
  <c r="X102" i="19"/>
  <c r="X101" i="19"/>
  <c r="X100" i="19"/>
  <c r="X99" i="19"/>
  <c r="Y107" i="19" s="1"/>
  <c r="X98" i="19"/>
  <c r="X97" i="19"/>
  <c r="Y105" i="19" s="1"/>
  <c r="X96" i="19"/>
  <c r="X95" i="19"/>
  <c r="X94" i="19"/>
  <c r="X93" i="19"/>
  <c r="X92" i="19"/>
  <c r="X91" i="19"/>
  <c r="Y99" i="19"/>
  <c r="X90" i="19"/>
  <c r="X89" i="19"/>
  <c r="X88" i="19"/>
  <c r="X87" i="19"/>
  <c r="Y95" i="19" s="1"/>
  <c r="X86" i="19"/>
  <c r="X85" i="19"/>
  <c r="X84" i="19"/>
  <c r="X83" i="19"/>
  <c r="X82" i="19"/>
  <c r="X81" i="19"/>
  <c r="Y89" i="19" s="1"/>
  <c r="X80" i="19"/>
  <c r="X79" i="19"/>
  <c r="X78" i="19"/>
  <c r="Y86" i="19"/>
  <c r="X77" i="19"/>
  <c r="X76" i="19"/>
  <c r="X75" i="19"/>
  <c r="Y83" i="19"/>
  <c r="X74" i="19"/>
  <c r="X73" i="19"/>
  <c r="X72" i="19"/>
  <c r="Y80" i="19" s="1"/>
  <c r="X71" i="19"/>
  <c r="X70" i="19"/>
  <c r="X69" i="19"/>
  <c r="X68" i="19"/>
  <c r="X67" i="19"/>
  <c r="Y75" i="19" s="1"/>
  <c r="X66" i="19"/>
  <c r="Y74" i="19" s="1"/>
  <c r="X65" i="19"/>
  <c r="X64" i="19"/>
  <c r="X63" i="19"/>
  <c r="X62" i="19"/>
  <c r="X61" i="19"/>
  <c r="Y61" i="19" s="1"/>
  <c r="X60" i="19"/>
  <c r="X59" i="19"/>
  <c r="Y67" i="19" s="1"/>
  <c r="X58" i="19"/>
  <c r="X57" i="19"/>
  <c r="X56" i="19"/>
  <c r="X55" i="19"/>
  <c r="X54" i="19"/>
  <c r="Y62" i="19"/>
  <c r="X53" i="19"/>
  <c r="X52" i="19"/>
  <c r="X51" i="19"/>
  <c r="Y59" i="19"/>
  <c r="X50" i="19"/>
  <c r="Y58" i="19" s="1"/>
  <c r="X49" i="19"/>
  <c r="X48" i="19"/>
  <c r="X47" i="19"/>
  <c r="X46" i="19"/>
  <c r="X45" i="19"/>
  <c r="Y53" i="19" s="1"/>
  <c r="X44" i="19"/>
  <c r="X43" i="19"/>
  <c r="Y51" i="19" s="1"/>
  <c r="X42" i="19"/>
  <c r="X41" i="19"/>
  <c r="X40" i="19"/>
  <c r="X39" i="19"/>
  <c r="Y47" i="19" s="1"/>
  <c r="X38" i="19"/>
  <c r="Y46" i="19" s="1"/>
  <c r="X37" i="19"/>
  <c r="X36" i="19"/>
  <c r="X35" i="19"/>
  <c r="Y43" i="19" s="1"/>
  <c r="X34" i="19"/>
  <c r="Y34" i="19" s="1"/>
  <c r="X33" i="19"/>
  <c r="X32" i="19"/>
  <c r="X31" i="19"/>
  <c r="Y39" i="19"/>
  <c r="X30" i="19"/>
  <c r="X29" i="19"/>
  <c r="X28" i="19"/>
  <c r="X27" i="19"/>
  <c r="X26" i="19"/>
  <c r="X25" i="19"/>
  <c r="X24" i="19"/>
  <c r="Y32" i="19" s="1"/>
  <c r="X23" i="19"/>
  <c r="Y31" i="19" s="1"/>
  <c r="X22" i="19"/>
  <c r="X21" i="19"/>
  <c r="X20" i="19"/>
  <c r="X19" i="19"/>
  <c r="Y27" i="19" s="1"/>
  <c r="X18" i="19"/>
  <c r="Y26" i="19" s="1"/>
  <c r="X17" i="19"/>
  <c r="X16" i="19"/>
  <c r="X15" i="19"/>
  <c r="X14" i="19"/>
  <c r="X13" i="19"/>
  <c r="Y21" i="19" s="1"/>
  <c r="X12" i="19"/>
  <c r="X11" i="19"/>
  <c r="X10" i="19"/>
  <c r="U258" i="19"/>
  <c r="U257" i="19"/>
  <c r="U256" i="19"/>
  <c r="U255" i="19"/>
  <c r="U254" i="19"/>
  <c r="U253" i="19"/>
  <c r="U252" i="19"/>
  <c r="U251" i="19"/>
  <c r="U250" i="19"/>
  <c r="U249" i="19"/>
  <c r="U248" i="19"/>
  <c r="U247" i="19"/>
  <c r="U246" i="19"/>
  <c r="U245" i="19"/>
  <c r="V253" i="19" s="1"/>
  <c r="U244" i="19"/>
  <c r="U243" i="19"/>
  <c r="U242" i="19"/>
  <c r="U241" i="19"/>
  <c r="V249" i="19" s="1"/>
  <c r="U240" i="19"/>
  <c r="V248" i="19" s="1"/>
  <c r="U239" i="19"/>
  <c r="U238" i="19"/>
  <c r="U237" i="19"/>
  <c r="V245" i="19" s="1"/>
  <c r="U236" i="19"/>
  <c r="V244" i="19" s="1"/>
  <c r="U235" i="19"/>
  <c r="U234" i="19"/>
  <c r="U233" i="19"/>
  <c r="U232" i="19"/>
  <c r="U231" i="19"/>
  <c r="V231" i="19" s="1"/>
  <c r="U230" i="19"/>
  <c r="U229" i="19"/>
  <c r="U228" i="19"/>
  <c r="U227" i="19"/>
  <c r="U226" i="19"/>
  <c r="U225" i="19"/>
  <c r="U224" i="19"/>
  <c r="V224" i="19" s="1"/>
  <c r="U223" i="19"/>
  <c r="U222" i="19"/>
  <c r="U221" i="19"/>
  <c r="U220" i="19"/>
  <c r="V228" i="19" s="1"/>
  <c r="U219" i="19"/>
  <c r="U218" i="19"/>
  <c r="U217" i="19"/>
  <c r="U216" i="19"/>
  <c r="U215" i="19"/>
  <c r="U214" i="19"/>
  <c r="V222" i="19" s="1"/>
  <c r="U213" i="19"/>
  <c r="U212" i="19"/>
  <c r="U211" i="19"/>
  <c r="U210" i="19"/>
  <c r="U209" i="19"/>
  <c r="U208" i="19"/>
  <c r="V216" i="19" s="1"/>
  <c r="U207" i="19"/>
  <c r="U206" i="19"/>
  <c r="U205" i="19"/>
  <c r="U204" i="19"/>
  <c r="V212" i="19" s="1"/>
  <c r="U203" i="19"/>
  <c r="U202" i="19"/>
  <c r="V202" i="19"/>
  <c r="U201" i="19"/>
  <c r="U200" i="19"/>
  <c r="U199" i="19"/>
  <c r="U198" i="19"/>
  <c r="V206" i="19" s="1"/>
  <c r="U197" i="19"/>
  <c r="U196" i="19"/>
  <c r="V204" i="19" s="1"/>
  <c r="U195" i="19"/>
  <c r="V195" i="19" s="1"/>
  <c r="U194" i="19"/>
  <c r="U193" i="19"/>
  <c r="U192" i="19"/>
  <c r="V200" i="19"/>
  <c r="U191" i="19"/>
  <c r="U190" i="19"/>
  <c r="U189" i="19"/>
  <c r="U188" i="19"/>
  <c r="V196" i="19" s="1"/>
  <c r="U187" i="19"/>
  <c r="U186" i="19"/>
  <c r="U185" i="19"/>
  <c r="U184" i="19"/>
  <c r="V192" i="19" s="1"/>
  <c r="U183" i="19"/>
  <c r="U182" i="19"/>
  <c r="U181" i="19"/>
  <c r="V189" i="19" s="1"/>
  <c r="U180" i="19"/>
  <c r="V180" i="19" s="1"/>
  <c r="U179" i="19"/>
  <c r="U178" i="19"/>
  <c r="V186" i="19" s="1"/>
  <c r="U177" i="19"/>
  <c r="U176" i="19"/>
  <c r="V184" i="19" s="1"/>
  <c r="U175" i="19"/>
  <c r="U174" i="19"/>
  <c r="U173" i="19"/>
  <c r="U172" i="19"/>
  <c r="U171" i="19"/>
  <c r="V179" i="19" s="1"/>
  <c r="U170" i="19"/>
  <c r="U169" i="19"/>
  <c r="U168" i="19"/>
  <c r="V176" i="19" s="1"/>
  <c r="U167" i="19"/>
  <c r="U166" i="19"/>
  <c r="U165" i="19"/>
  <c r="U164" i="19"/>
  <c r="V172" i="19" s="1"/>
  <c r="U163" i="19"/>
  <c r="V171" i="19" s="1"/>
  <c r="U162" i="19"/>
  <c r="U161" i="19"/>
  <c r="V169" i="19" s="1"/>
  <c r="U160" i="19"/>
  <c r="U159" i="19"/>
  <c r="U158" i="19"/>
  <c r="U157" i="19"/>
  <c r="V165" i="19" s="1"/>
  <c r="U156" i="19"/>
  <c r="V164" i="19" s="1"/>
  <c r="U155" i="19"/>
  <c r="U154" i="19"/>
  <c r="U153" i="19"/>
  <c r="U152" i="19"/>
  <c r="V160" i="19"/>
  <c r="U151" i="19"/>
  <c r="U150" i="19"/>
  <c r="U149" i="19"/>
  <c r="U148" i="19"/>
  <c r="V156" i="19" s="1"/>
  <c r="U147" i="19"/>
  <c r="U146" i="19"/>
  <c r="U145" i="19"/>
  <c r="U144" i="19"/>
  <c r="U143" i="19"/>
  <c r="U142" i="19"/>
  <c r="U141" i="19"/>
  <c r="U140" i="19"/>
  <c r="U139" i="19"/>
  <c r="U138" i="19"/>
  <c r="V138" i="19"/>
  <c r="U137" i="19"/>
  <c r="V137" i="19" s="1"/>
  <c r="U136" i="19"/>
  <c r="V144" i="19" s="1"/>
  <c r="U135" i="19"/>
  <c r="U134" i="19"/>
  <c r="U133" i="19"/>
  <c r="U132" i="19"/>
  <c r="V140" i="19"/>
  <c r="U131" i="19"/>
  <c r="U130" i="19"/>
  <c r="U129" i="19"/>
  <c r="U128" i="19"/>
  <c r="U127" i="19"/>
  <c r="U126" i="19"/>
  <c r="U125" i="19"/>
  <c r="U124" i="19"/>
  <c r="V132" i="19" s="1"/>
  <c r="U123" i="19"/>
  <c r="U122" i="19"/>
  <c r="U121" i="19"/>
  <c r="U120" i="19"/>
  <c r="U119" i="19"/>
  <c r="U118" i="19"/>
  <c r="U117" i="19"/>
  <c r="U116" i="19"/>
  <c r="V124" i="19" s="1"/>
  <c r="U115" i="19"/>
  <c r="U114" i="19"/>
  <c r="U113" i="19"/>
  <c r="V121" i="19" s="1"/>
  <c r="U112" i="19"/>
  <c r="V112" i="19" s="1"/>
  <c r="U111" i="19"/>
  <c r="U110" i="19"/>
  <c r="U109" i="19"/>
  <c r="U108" i="19"/>
  <c r="U107" i="19"/>
  <c r="U106" i="19"/>
  <c r="V114" i="19" s="1"/>
  <c r="U105" i="19"/>
  <c r="U104" i="19"/>
  <c r="U103" i="19"/>
  <c r="V103" i="19" s="1"/>
  <c r="U102" i="19"/>
  <c r="V110" i="19" s="1"/>
  <c r="U101" i="19"/>
  <c r="U100" i="19"/>
  <c r="V100" i="19" s="1"/>
  <c r="U99" i="19"/>
  <c r="U98" i="19"/>
  <c r="U97" i="19"/>
  <c r="U96" i="19"/>
  <c r="V104" i="19" s="1"/>
  <c r="U95" i="19"/>
  <c r="U94" i="19"/>
  <c r="U93" i="19"/>
  <c r="U92" i="19"/>
  <c r="U91" i="19"/>
  <c r="V99" i="19" s="1"/>
  <c r="U90" i="19"/>
  <c r="U89" i="19"/>
  <c r="U88" i="19"/>
  <c r="V96" i="19"/>
  <c r="U87" i="19"/>
  <c r="U86" i="19"/>
  <c r="U85" i="19"/>
  <c r="U84" i="19"/>
  <c r="V92" i="19" s="1"/>
  <c r="U83" i="19"/>
  <c r="U82" i="19"/>
  <c r="U81" i="19"/>
  <c r="U80" i="19"/>
  <c r="U79" i="19"/>
  <c r="V87" i="19"/>
  <c r="U78" i="19"/>
  <c r="V86" i="19"/>
  <c r="U77" i="19"/>
  <c r="U76" i="19"/>
  <c r="V84" i="19" s="1"/>
  <c r="U75" i="19"/>
  <c r="U74" i="19"/>
  <c r="U73" i="19"/>
  <c r="U72" i="19"/>
  <c r="V80" i="19" s="1"/>
  <c r="U71" i="19"/>
  <c r="U70" i="19"/>
  <c r="U69" i="19"/>
  <c r="U68" i="19"/>
  <c r="U67" i="19"/>
  <c r="V75" i="19" s="1"/>
  <c r="U66" i="19"/>
  <c r="V74" i="19" s="1"/>
  <c r="U65" i="19"/>
  <c r="U64" i="19"/>
  <c r="V72" i="19" s="1"/>
  <c r="U63" i="19"/>
  <c r="V63" i="19" s="1"/>
  <c r="U62" i="19"/>
  <c r="U61" i="19"/>
  <c r="U60" i="19"/>
  <c r="V68" i="19"/>
  <c r="U59" i="19"/>
  <c r="U58" i="19"/>
  <c r="V58" i="19" s="1"/>
  <c r="U57" i="19"/>
  <c r="U56" i="19"/>
  <c r="V64" i="19" s="1"/>
  <c r="U55" i="19"/>
  <c r="U54" i="19"/>
  <c r="U53" i="19"/>
  <c r="U52" i="19"/>
  <c r="V60" i="19" s="1"/>
  <c r="U51" i="19"/>
  <c r="V59" i="19" s="1"/>
  <c r="U50" i="19"/>
  <c r="U49" i="19"/>
  <c r="U48" i="19"/>
  <c r="U47" i="19"/>
  <c r="V55" i="19" s="1"/>
  <c r="U46" i="19"/>
  <c r="U45" i="19"/>
  <c r="U44" i="19"/>
  <c r="U43" i="19"/>
  <c r="U42" i="19"/>
  <c r="V50" i="19"/>
  <c r="U41" i="19"/>
  <c r="U40" i="19"/>
  <c r="V48" i="19" s="1"/>
  <c r="U39" i="19"/>
  <c r="U38" i="19"/>
  <c r="U37" i="19"/>
  <c r="U36" i="19"/>
  <c r="V44" i="19"/>
  <c r="U35" i="19"/>
  <c r="U34" i="19"/>
  <c r="U33" i="19"/>
  <c r="U32" i="19"/>
  <c r="V32" i="19" s="1"/>
  <c r="U31" i="19"/>
  <c r="U30" i="19"/>
  <c r="V30" i="19" s="1"/>
  <c r="U29" i="19"/>
  <c r="U28" i="19"/>
  <c r="V36" i="19" s="1"/>
  <c r="U27" i="19"/>
  <c r="U26" i="19"/>
  <c r="U25" i="19"/>
  <c r="U24" i="19"/>
  <c r="U23" i="19"/>
  <c r="V31" i="19" s="1"/>
  <c r="U22" i="19"/>
  <c r="U21" i="19"/>
  <c r="U20" i="19"/>
  <c r="U19" i="19"/>
  <c r="U18" i="19"/>
  <c r="U17" i="19"/>
  <c r="U16" i="19"/>
  <c r="U15" i="19"/>
  <c r="U14" i="19"/>
  <c r="U13" i="19"/>
  <c r="U12" i="19"/>
  <c r="U11" i="19"/>
  <c r="U10" i="19"/>
  <c r="Q257" i="19"/>
  <c r="Q256" i="19"/>
  <c r="Q255" i="19"/>
  <c r="Q254" i="19"/>
  <c r="Q253" i="19"/>
  <c r="Q252" i="19"/>
  <c r="Q251" i="19"/>
  <c r="Q250" i="19"/>
  <c r="Q249" i="19"/>
  <c r="Q248" i="19"/>
  <c r="R248" i="19" s="1"/>
  <c r="R256" i="19"/>
  <c r="Q247" i="19"/>
  <c r="Q246" i="19"/>
  <c r="Q245" i="19"/>
  <c r="Q244" i="19"/>
  <c r="R252" i="19" s="1"/>
  <c r="Q243" i="19"/>
  <c r="Q242" i="19"/>
  <c r="Q241" i="19"/>
  <c r="R249" i="19"/>
  <c r="Q240" i="19"/>
  <c r="Q239" i="19"/>
  <c r="Q238" i="19"/>
  <c r="Q237" i="19"/>
  <c r="Q236" i="19"/>
  <c r="R244" i="19"/>
  <c r="Q235" i="19"/>
  <c r="Q234" i="19"/>
  <c r="Q233" i="19"/>
  <c r="Q232" i="19"/>
  <c r="R240" i="19" s="1"/>
  <c r="Q231" i="19"/>
  <c r="Q230" i="19"/>
  <c r="Q229" i="19"/>
  <c r="Q228" i="19"/>
  <c r="Q227" i="19"/>
  <c r="Q226" i="19"/>
  <c r="R234" i="19" s="1"/>
  <c r="Q225" i="19"/>
  <c r="Q224" i="19"/>
  <c r="R224" i="19" s="1"/>
  <c r="Q223" i="19"/>
  <c r="Q222" i="19"/>
  <c r="Q221" i="19"/>
  <c r="Q220" i="19"/>
  <c r="Q219" i="19"/>
  <c r="Q218" i="19"/>
  <c r="Q217" i="19"/>
  <c r="Q216" i="19"/>
  <c r="Q215" i="19"/>
  <c r="Q214" i="19"/>
  <c r="Q213" i="19"/>
  <c r="Q212" i="19"/>
  <c r="R220" i="19"/>
  <c r="Q211" i="19"/>
  <c r="Q210" i="19"/>
  <c r="R218" i="19" s="1"/>
  <c r="Q209" i="19"/>
  <c r="Q208" i="19"/>
  <c r="R216" i="19"/>
  <c r="Q207" i="19"/>
  <c r="Q206" i="19"/>
  <c r="R206" i="19" s="1"/>
  <c r="Q205" i="19"/>
  <c r="Q204" i="19"/>
  <c r="R212" i="19" s="1"/>
  <c r="Q203" i="19"/>
  <c r="R203" i="19" s="1"/>
  <c r="Q202" i="19"/>
  <c r="Q201" i="19"/>
  <c r="Q200" i="19"/>
  <c r="R208" i="19"/>
  <c r="Q199" i="19"/>
  <c r="Q198" i="19"/>
  <c r="Q197" i="19"/>
  <c r="Q196" i="19"/>
  <c r="R204" i="19" s="1"/>
  <c r="Q195" i="19"/>
  <c r="Q194" i="19"/>
  <c r="Q193" i="19"/>
  <c r="Q192" i="19"/>
  <c r="Q191" i="19"/>
  <c r="Q190" i="19"/>
  <c r="R198" i="19" s="1"/>
  <c r="Q189" i="19"/>
  <c r="Q188" i="19"/>
  <c r="Q187" i="19"/>
  <c r="R195" i="19" s="1"/>
  <c r="Q186" i="19"/>
  <c r="Q185" i="19"/>
  <c r="Q184" i="19"/>
  <c r="R192" i="19" s="1"/>
  <c r="Q183" i="19"/>
  <c r="Q182" i="19"/>
  <c r="Q181" i="19"/>
  <c r="R189" i="19" s="1"/>
  <c r="Q180" i="19"/>
  <c r="R188" i="19" s="1"/>
  <c r="Q179" i="19"/>
  <c r="R187" i="19" s="1"/>
  <c r="Q178" i="19"/>
  <c r="Q177" i="19"/>
  <c r="Q176" i="19"/>
  <c r="Q175" i="19"/>
  <c r="Q174" i="19"/>
  <c r="Q173" i="19"/>
  <c r="Q172" i="19"/>
  <c r="Q171" i="19"/>
  <c r="Q170" i="19"/>
  <c r="R178" i="19"/>
  <c r="Q169" i="19"/>
  <c r="R177" i="19"/>
  <c r="Q168" i="19"/>
  <c r="R176" i="19"/>
  <c r="Q167" i="19"/>
  <c r="Q166" i="19"/>
  <c r="Q165" i="19"/>
  <c r="R173" i="19"/>
  <c r="Q164" i="19"/>
  <c r="Q163" i="19"/>
  <c r="Q162" i="19"/>
  <c r="R170" i="19" s="1"/>
  <c r="Q161" i="19"/>
  <c r="Q160" i="19"/>
  <c r="R168" i="19"/>
  <c r="Q159" i="19"/>
  <c r="Q158" i="19"/>
  <c r="Q157" i="19"/>
  <c r="Q156" i="19"/>
  <c r="R164" i="19" s="1"/>
  <c r="Q155" i="19"/>
  <c r="Q154" i="19"/>
  <c r="R162" i="19" s="1"/>
  <c r="Q153" i="19"/>
  <c r="Q152" i="19"/>
  <c r="R160" i="19" s="1"/>
  <c r="Q151" i="19"/>
  <c r="R159" i="19" s="1"/>
  <c r="Q150" i="19"/>
  <c r="Q149" i="19"/>
  <c r="R157" i="19" s="1"/>
  <c r="Q148" i="19"/>
  <c r="Q147" i="19"/>
  <c r="Q146" i="19"/>
  <c r="Q145" i="19"/>
  <c r="Q144" i="19"/>
  <c r="Q143" i="19"/>
  <c r="Q142" i="19"/>
  <c r="R150" i="19" s="1"/>
  <c r="Q141" i="19"/>
  <c r="Q140" i="19"/>
  <c r="Q139" i="19"/>
  <c r="Q138" i="19"/>
  <c r="Q137" i="19"/>
  <c r="Q136" i="19"/>
  <c r="R144" i="19"/>
  <c r="Q135" i="19"/>
  <c r="Q134" i="19"/>
  <c r="Q133" i="19"/>
  <c r="Q132" i="19"/>
  <c r="Q131" i="19"/>
  <c r="Q130" i="19"/>
  <c r="R138" i="19" s="1"/>
  <c r="Q129" i="19"/>
  <c r="Q128" i="19"/>
  <c r="R128" i="19" s="1"/>
  <c r="Q127" i="19"/>
  <c r="Q126" i="19"/>
  <c r="Q125" i="19"/>
  <c r="Q124" i="19"/>
  <c r="R132" i="19" s="1"/>
  <c r="Q123" i="19"/>
  <c r="Q122" i="19"/>
  <c r="R122" i="19" s="1"/>
  <c r="Q121" i="19"/>
  <c r="Q120" i="19"/>
  <c r="Q119" i="19"/>
  <c r="Q118" i="19"/>
  <c r="Q117" i="19"/>
  <c r="Q116" i="19"/>
  <c r="Q115" i="19"/>
  <c r="Q114" i="19"/>
  <c r="Q113" i="19"/>
  <c r="R121" i="19" s="1"/>
  <c r="Q112" i="19"/>
  <c r="R120" i="19" s="1"/>
  <c r="Q111" i="19"/>
  <c r="Q110" i="19"/>
  <c r="Q109" i="19"/>
  <c r="Q108" i="19"/>
  <c r="R116" i="19"/>
  <c r="Q107" i="19"/>
  <c r="Q106" i="19"/>
  <c r="R114" i="19"/>
  <c r="Q105" i="19"/>
  <c r="R113" i="19" s="1"/>
  <c r="Q104" i="19"/>
  <c r="R112" i="19"/>
  <c r="Q103" i="19"/>
  <c r="Q102" i="19"/>
  <c r="Q101" i="19"/>
  <c r="R109" i="19"/>
  <c r="Q100" i="19"/>
  <c r="R108" i="19"/>
  <c r="Q99" i="19"/>
  <c r="Q98" i="19"/>
  <c r="R98" i="19"/>
  <c r="Q97" i="19"/>
  <c r="R105" i="19" s="1"/>
  <c r="Q96" i="19"/>
  <c r="R104" i="19"/>
  <c r="Q95" i="19"/>
  <c r="Q94" i="19"/>
  <c r="R102" i="19" s="1"/>
  <c r="Q93" i="19"/>
  <c r="Q92" i="19"/>
  <c r="R100" i="19" s="1"/>
  <c r="Q91" i="19"/>
  <c r="R99" i="19" s="1"/>
  <c r="Q90" i="19"/>
  <c r="Q89" i="19"/>
  <c r="Q88" i="19"/>
  <c r="R96" i="19"/>
  <c r="Q87" i="19"/>
  <c r="Q86" i="19"/>
  <c r="Q85" i="19"/>
  <c r="Q84" i="19"/>
  <c r="Q83" i="19"/>
  <c r="Q82" i="19"/>
  <c r="R90" i="19" s="1"/>
  <c r="Q81" i="19"/>
  <c r="Q80" i="19"/>
  <c r="Q79" i="19"/>
  <c r="R87" i="19"/>
  <c r="Q78" i="19"/>
  <c r="Q77" i="19"/>
  <c r="Q76" i="19"/>
  <c r="R84" i="19" s="1"/>
  <c r="Q75" i="19"/>
  <c r="R83" i="19"/>
  <c r="Q74" i="19"/>
  <c r="Q73" i="19"/>
  <c r="Q72" i="19"/>
  <c r="R80" i="19"/>
  <c r="Q71" i="19"/>
  <c r="Q70" i="19"/>
  <c r="R78" i="19" s="1"/>
  <c r="Q69" i="19"/>
  <c r="R77" i="19" s="1"/>
  <c r="Q68" i="19"/>
  <c r="Q67" i="19"/>
  <c r="Q66" i="19"/>
  <c r="Q65" i="19"/>
  <c r="Q64" i="19"/>
  <c r="Q63" i="19"/>
  <c r="R71" i="19" s="1"/>
  <c r="R63" i="19"/>
  <c r="Q62" i="19"/>
  <c r="Q61" i="19"/>
  <c r="Q60" i="19"/>
  <c r="Q59" i="19"/>
  <c r="R67" i="19"/>
  <c r="Q58" i="19"/>
  <c r="Q57" i="19"/>
  <c r="R65" i="19" s="1"/>
  <c r="Q56" i="19"/>
  <c r="R64" i="19"/>
  <c r="Q55" i="19"/>
  <c r="Q54" i="19"/>
  <c r="R54" i="19" s="1"/>
  <c r="Q53" i="19"/>
  <c r="Q52" i="19"/>
  <c r="R60" i="19" s="1"/>
  <c r="Q51" i="19"/>
  <c r="Q50" i="19"/>
  <c r="Q49" i="19"/>
  <c r="Q48" i="19"/>
  <c r="R56" i="19"/>
  <c r="Q47" i="19"/>
  <c r="Q46" i="19"/>
  <c r="Q45" i="19"/>
  <c r="R45" i="19" s="1"/>
  <c r="Q44" i="19"/>
  <c r="R52" i="19" s="1"/>
  <c r="Q43" i="19"/>
  <c r="Q42" i="19"/>
  <c r="Q41" i="19"/>
  <c r="Q40" i="19"/>
  <c r="R48" i="19"/>
  <c r="Q39" i="19"/>
  <c r="Q38" i="19"/>
  <c r="Q37" i="19"/>
  <c r="Q36" i="19"/>
  <c r="Q35" i="19"/>
  <c r="R35" i="19" s="1"/>
  <c r="Q34" i="19"/>
  <c r="R34" i="19" s="1"/>
  <c r="Q33" i="19"/>
  <c r="Q32" i="19"/>
  <c r="Q31" i="19"/>
  <c r="R39" i="19"/>
  <c r="Q30" i="19"/>
  <c r="R38" i="19"/>
  <c r="Q29" i="19"/>
  <c r="Q28" i="19"/>
  <c r="Q27" i="19"/>
  <c r="Q26" i="19"/>
  <c r="Q25" i="19"/>
  <c r="R33" i="19" s="1"/>
  <c r="Q24" i="19"/>
  <c r="R32" i="19"/>
  <c r="Q23" i="19"/>
  <c r="Q22" i="19"/>
  <c r="Q21" i="19"/>
  <c r="R29" i="19" s="1"/>
  <c r="Q20" i="19"/>
  <c r="R28" i="19" s="1"/>
  <c r="Q19" i="19"/>
  <c r="Q18" i="19"/>
  <c r="Q17" i="19"/>
  <c r="Q16" i="19"/>
  <c r="Q15" i="19"/>
  <c r="R23" i="19" s="1"/>
  <c r="Q14" i="19"/>
  <c r="Q13" i="19"/>
  <c r="R21" i="19" s="1"/>
  <c r="Q12" i="19"/>
  <c r="Q11" i="19"/>
  <c r="Q10" i="19"/>
  <c r="AC258" i="19"/>
  <c r="AC257" i="19"/>
  <c r="AC256" i="19"/>
  <c r="AC254" i="19"/>
  <c r="AC253" i="19"/>
  <c r="AC252" i="19"/>
  <c r="AC250" i="19"/>
  <c r="AC248" i="19"/>
  <c r="AC246" i="19"/>
  <c r="AC245" i="19"/>
  <c r="AC242" i="19"/>
  <c r="AC241" i="19"/>
  <c r="AC238" i="19"/>
  <c r="AC237" i="19"/>
  <c r="AC233" i="19"/>
  <c r="AC232" i="19"/>
  <c r="AC229" i="19"/>
  <c r="AC224" i="19"/>
  <c r="AC222" i="19"/>
  <c r="AC218" i="19"/>
  <c r="AC216" i="19"/>
  <c r="AC214" i="19"/>
  <c r="AC210" i="19"/>
  <c r="AC208" i="19"/>
  <c r="AC206" i="19"/>
  <c r="AC204" i="19"/>
  <c r="AC202" i="19"/>
  <c r="AC200" i="19"/>
  <c r="AC198" i="19"/>
  <c r="AC197" i="19"/>
  <c r="AC194" i="19"/>
  <c r="AC193" i="19"/>
  <c r="AC190" i="19"/>
  <c r="AC189" i="19"/>
  <c r="AC186" i="19"/>
  <c r="AC185" i="19"/>
  <c r="AC182" i="19"/>
  <c r="AC178" i="19"/>
  <c r="AC177" i="19"/>
  <c r="AC174" i="19"/>
  <c r="AC169" i="19"/>
  <c r="AC168" i="19"/>
  <c r="AC165" i="19"/>
  <c r="AC162" i="19"/>
  <c r="AC157" i="19"/>
  <c r="AC154" i="19"/>
  <c r="AC152" i="19"/>
  <c r="AC150" i="19"/>
  <c r="AC146" i="19"/>
  <c r="AC144" i="19"/>
  <c r="AC142" i="19"/>
  <c r="AC140" i="19"/>
  <c r="AC138" i="19"/>
  <c r="AC136" i="19"/>
  <c r="AC133" i="19"/>
  <c r="AC129" i="19"/>
  <c r="AC125" i="19"/>
  <c r="AC120" i="19"/>
  <c r="AC114" i="19"/>
  <c r="AC110" i="19"/>
  <c r="AC106" i="19"/>
  <c r="AC104" i="19"/>
  <c r="AC102" i="19"/>
  <c r="AC101" i="19"/>
  <c r="AC98" i="19"/>
  <c r="AC97" i="19"/>
  <c r="AC96" i="19"/>
  <c r="AC93" i="19"/>
  <c r="AC90" i="19"/>
  <c r="AC88" i="19"/>
  <c r="AC80" i="19"/>
  <c r="AC73" i="19"/>
  <c r="AC72" i="19"/>
  <c r="AC70" i="19"/>
  <c r="AC65" i="19"/>
  <c r="AC60" i="19"/>
  <c r="AC58" i="19"/>
  <c r="AC53" i="19"/>
  <c r="AC48" i="19"/>
  <c r="AC45" i="19"/>
  <c r="AC41" i="19"/>
  <c r="AC40" i="19"/>
  <c r="AC37" i="19"/>
  <c r="AC36" i="19"/>
  <c r="AC33" i="19"/>
  <c r="AC30" i="19"/>
  <c r="AC28" i="19"/>
  <c r="AC26" i="19"/>
  <c r="AC25" i="19"/>
  <c r="AC24" i="19"/>
  <c r="AC22" i="19"/>
  <c r="AC20" i="19"/>
  <c r="AC18" i="19"/>
  <c r="AC17" i="19"/>
  <c r="AC16" i="19"/>
  <c r="AC14" i="19"/>
  <c r="AC12" i="19"/>
  <c r="Y258" i="19"/>
  <c r="Y257" i="19"/>
  <c r="Y256" i="19"/>
  <c r="Y254" i="19"/>
  <c r="Y253" i="19"/>
  <c r="Y252" i="19"/>
  <c r="Y250" i="19"/>
  <c r="Y246" i="19"/>
  <c r="Y245" i="19"/>
  <c r="Y242" i="19"/>
  <c r="Y237" i="19"/>
  <c r="Y234" i="19"/>
  <c r="Y233" i="19"/>
  <c r="Y230" i="19"/>
  <c r="Y226" i="19"/>
  <c r="Y224" i="19"/>
  <c r="Y222" i="19"/>
  <c r="Y218" i="19"/>
  <c r="Y217" i="19"/>
  <c r="Y216" i="19"/>
  <c r="Y212" i="19"/>
  <c r="Y210" i="19"/>
  <c r="Y208" i="19"/>
  <c r="Y206" i="19"/>
  <c r="Y205" i="19"/>
  <c r="Y202" i="19"/>
  <c r="Y200" i="19"/>
  <c r="Y197" i="19"/>
  <c r="Y196" i="19"/>
  <c r="Y194" i="19"/>
  <c r="Y188" i="19"/>
  <c r="Y186" i="19"/>
  <c r="Y182" i="19"/>
  <c r="Y177" i="19"/>
  <c r="Y174" i="19"/>
  <c r="Y169" i="19"/>
  <c r="Y166" i="19"/>
  <c r="Y165" i="19"/>
  <c r="Y161" i="19"/>
  <c r="Y157" i="19"/>
  <c r="Y142" i="19"/>
  <c r="Y141" i="19"/>
  <c r="Y137" i="19"/>
  <c r="Y133" i="19"/>
  <c r="Y129" i="19"/>
  <c r="Y128" i="19"/>
  <c r="Y126" i="19"/>
  <c r="Y125" i="19"/>
  <c r="Y122" i="19"/>
  <c r="Y118" i="19"/>
  <c r="Y114" i="19"/>
  <c r="Y110" i="19"/>
  <c r="Y109" i="19"/>
  <c r="Y108" i="19"/>
  <c r="Y106" i="19"/>
  <c r="Y104" i="19"/>
  <c r="Y102" i="19"/>
  <c r="Y101" i="19"/>
  <c r="Y98" i="19"/>
  <c r="Y97" i="19"/>
  <c r="Y96" i="19"/>
  <c r="Y93" i="19"/>
  <c r="Y92" i="19"/>
  <c r="Y90" i="19"/>
  <c r="Y76" i="19"/>
  <c r="Y73" i="19"/>
  <c r="Y72" i="19"/>
  <c r="Y70" i="19"/>
  <c r="Y68" i="19"/>
  <c r="Y66" i="19"/>
  <c r="Y65" i="19"/>
  <c r="Y60" i="19"/>
  <c r="Y57" i="19"/>
  <c r="Y52" i="19"/>
  <c r="Y49" i="19"/>
  <c r="Y44" i="19"/>
  <c r="Y41" i="19"/>
  <c r="Y40" i="19"/>
  <c r="Y36" i="19"/>
  <c r="Y33" i="19"/>
  <c r="Y30" i="19"/>
  <c r="Y29" i="19"/>
  <c r="Y28" i="19"/>
  <c r="Y25" i="19"/>
  <c r="Y24" i="19"/>
  <c r="Y22" i="19"/>
  <c r="Y18" i="19"/>
  <c r="Y17" i="19"/>
  <c r="Y16" i="19"/>
  <c r="Y14" i="19"/>
  <c r="Y13" i="19"/>
  <c r="Y12" i="19"/>
  <c r="V258" i="19"/>
  <c r="V257" i="19"/>
  <c r="V255" i="19"/>
  <c r="V254" i="19"/>
  <c r="V251" i="19"/>
  <c r="V250" i="19"/>
  <c r="V247" i="19"/>
  <c r="V246" i="19"/>
  <c r="V243" i="19"/>
  <c r="V242" i="19"/>
  <c r="V239" i="19"/>
  <c r="V238" i="19"/>
  <c r="V237" i="19"/>
  <c r="V235" i="19"/>
  <c r="V234" i="19"/>
  <c r="V233" i="19"/>
  <c r="V230" i="19"/>
  <c r="V229" i="19"/>
  <c r="V227" i="19"/>
  <c r="V225" i="19"/>
  <c r="V223" i="19"/>
  <c r="V219" i="19"/>
  <c r="V218" i="19"/>
  <c r="V217" i="19"/>
  <c r="V213" i="19"/>
  <c r="V211" i="19"/>
  <c r="V209" i="19"/>
  <c r="V207" i="19"/>
  <c r="V205" i="19"/>
  <c r="V203" i="19"/>
  <c r="V199" i="19"/>
  <c r="V198" i="19"/>
  <c r="V197" i="19"/>
  <c r="V194" i="19"/>
  <c r="V190" i="19"/>
  <c r="V187" i="19"/>
  <c r="V182" i="19"/>
  <c r="V177" i="19"/>
  <c r="V175" i="19"/>
  <c r="V170" i="19"/>
  <c r="V167" i="19"/>
  <c r="V166" i="19"/>
  <c r="V162" i="19"/>
  <c r="V159" i="19"/>
  <c r="V158" i="19"/>
  <c r="V154" i="19"/>
  <c r="V151" i="19"/>
  <c r="V149" i="19"/>
  <c r="V147" i="19"/>
  <c r="V146" i="19"/>
  <c r="V143" i="19"/>
  <c r="V141" i="19"/>
  <c r="V139" i="19"/>
  <c r="V135" i="19"/>
  <c r="V131" i="19"/>
  <c r="V130" i="19"/>
  <c r="V127" i="19"/>
  <c r="V126" i="19"/>
  <c r="V125" i="19"/>
  <c r="V123" i="19"/>
  <c r="V122" i="19"/>
  <c r="V119" i="19"/>
  <c r="V118" i="19"/>
  <c r="V117" i="19"/>
  <c r="V115" i="19"/>
  <c r="V107" i="19"/>
  <c r="V102" i="19"/>
  <c r="V101" i="19"/>
  <c r="V98" i="19"/>
  <c r="V97" i="19"/>
  <c r="V95" i="19"/>
  <c r="V93" i="19"/>
  <c r="V91" i="19"/>
  <c r="V90" i="19"/>
  <c r="V85" i="19"/>
  <c r="V79" i="19"/>
  <c r="V77" i="19"/>
  <c r="V73" i="19"/>
  <c r="V70" i="19"/>
  <c r="V69" i="19"/>
  <c r="V67" i="19"/>
  <c r="V65" i="19"/>
  <c r="V62" i="19"/>
  <c r="V61" i="19"/>
  <c r="V57" i="19"/>
  <c r="V54" i="19"/>
  <c r="V53" i="19"/>
  <c r="V49" i="19"/>
  <c r="V45" i="19"/>
  <c r="V41" i="19"/>
  <c r="V35" i="19"/>
  <c r="V34" i="19"/>
  <c r="V33" i="19"/>
  <c r="V29" i="19"/>
  <c r="V27" i="19"/>
  <c r="V25" i="19"/>
  <c r="V21" i="19"/>
  <c r="V19" i="19"/>
  <c r="V17" i="19"/>
  <c r="V15" i="19"/>
  <c r="V14" i="19"/>
  <c r="V13" i="19"/>
  <c r="V11" i="19"/>
  <c r="W11" i="19" s="1"/>
  <c r="R258" i="19"/>
  <c r="R257" i="19"/>
  <c r="R255" i="19"/>
  <c r="R253" i="19"/>
  <c r="R251" i="19"/>
  <c r="R250" i="19"/>
  <c r="R247" i="19"/>
  <c r="R243" i="19"/>
  <c r="R242" i="19"/>
  <c r="R239" i="19"/>
  <c r="R238" i="19"/>
  <c r="R237" i="19"/>
  <c r="R235" i="19"/>
  <c r="R233" i="19"/>
  <c r="R231" i="19"/>
  <c r="R230" i="19"/>
  <c r="R227" i="19"/>
  <c r="R225" i="19"/>
  <c r="R223" i="19"/>
  <c r="R221" i="19"/>
  <c r="R219" i="19"/>
  <c r="R217" i="19"/>
  <c r="R215" i="19"/>
  <c r="R213" i="19"/>
  <c r="R211" i="19"/>
  <c r="R207" i="19"/>
  <c r="R205" i="19"/>
  <c r="R202" i="19"/>
  <c r="R199" i="19"/>
  <c r="R197" i="19"/>
  <c r="R194" i="19"/>
  <c r="R191" i="19"/>
  <c r="R186" i="19"/>
  <c r="R183" i="19"/>
  <c r="R181" i="19"/>
  <c r="R175" i="19"/>
  <c r="R174" i="19"/>
  <c r="R171" i="19"/>
  <c r="R166" i="19"/>
  <c r="R163" i="19"/>
  <c r="R158" i="19"/>
  <c r="R155" i="19"/>
  <c r="R151" i="19"/>
  <c r="R149" i="19"/>
  <c r="R145" i="19"/>
  <c r="R141" i="19"/>
  <c r="R127" i="19"/>
  <c r="R119" i="19"/>
  <c r="R117" i="19"/>
  <c r="R115" i="19"/>
  <c r="R111" i="19"/>
  <c r="R107" i="19"/>
  <c r="R106" i="19"/>
  <c r="R103" i="19"/>
  <c r="R101" i="19"/>
  <c r="R97" i="19"/>
  <c r="R93" i="19"/>
  <c r="R91" i="19"/>
  <c r="R74" i="19"/>
  <c r="R70" i="19"/>
  <c r="R69" i="19"/>
  <c r="R61" i="19"/>
  <c r="R50" i="19"/>
  <c r="R49" i="19"/>
  <c r="R46" i="19"/>
  <c r="R41" i="19"/>
  <c r="R30" i="19"/>
  <c r="R27" i="19"/>
  <c r="R15" i="19"/>
  <c r="R14" i="19"/>
  <c r="R11" i="19"/>
  <c r="S11" i="19" s="1"/>
  <c r="G7" i="23"/>
  <c r="H7" i="23" s="1"/>
  <c r="I7" i="23" s="1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21" i="23"/>
  <c r="G22" i="23"/>
  <c r="G23" i="23"/>
  <c r="G24" i="23"/>
  <c r="G25" i="23"/>
  <c r="G26" i="23"/>
  <c r="G27" i="23"/>
  <c r="G28" i="23"/>
  <c r="G29" i="23"/>
  <c r="G30" i="23"/>
  <c r="G31" i="23"/>
  <c r="G32" i="23"/>
  <c r="G33" i="23"/>
  <c r="G34" i="23"/>
  <c r="G35" i="23"/>
  <c r="G36" i="23"/>
  <c r="G37" i="23"/>
  <c r="G38" i="23"/>
  <c r="G39" i="23"/>
  <c r="G40" i="23"/>
  <c r="G41" i="23"/>
  <c r="G42" i="23"/>
  <c r="G43" i="23"/>
  <c r="G44" i="23"/>
  <c r="G45" i="23"/>
  <c r="G46" i="23"/>
  <c r="G47" i="23"/>
  <c r="G48" i="23"/>
  <c r="G49" i="23"/>
  <c r="G50" i="23"/>
  <c r="G51" i="23"/>
  <c r="G52" i="23"/>
  <c r="G53" i="23"/>
  <c r="G54" i="23"/>
  <c r="G55" i="23"/>
  <c r="H59" i="23" s="1"/>
  <c r="G56" i="23"/>
  <c r="G57" i="23"/>
  <c r="G58" i="23"/>
  <c r="G59" i="23"/>
  <c r="G60" i="23"/>
  <c r="G61" i="23"/>
  <c r="G62" i="23"/>
  <c r="G63" i="23"/>
  <c r="G64" i="23"/>
  <c r="G65" i="23"/>
  <c r="G66" i="23"/>
  <c r="G67" i="23"/>
  <c r="H67" i="23" s="1"/>
  <c r="G68" i="23"/>
  <c r="G69" i="23"/>
  <c r="G70" i="23"/>
  <c r="G71" i="23"/>
  <c r="H75" i="23" s="1"/>
  <c r="G72" i="23"/>
  <c r="G73" i="23"/>
  <c r="G74" i="23"/>
  <c r="G75" i="23"/>
  <c r="G76" i="23"/>
  <c r="H80" i="23" s="1"/>
  <c r="G77" i="23"/>
  <c r="G78" i="23"/>
  <c r="G79" i="23"/>
  <c r="G80" i="23"/>
  <c r="G81" i="23"/>
  <c r="G82" i="23"/>
  <c r="G83" i="23"/>
  <c r="G84" i="23"/>
  <c r="G85" i="23"/>
  <c r="G86" i="23"/>
  <c r="G87" i="23"/>
  <c r="G88" i="23"/>
  <c r="G89" i="23"/>
  <c r="G90" i="23"/>
  <c r="C59" i="45"/>
  <c r="C91" i="23" s="1"/>
  <c r="G91" i="23"/>
  <c r="E59" i="45"/>
  <c r="C92" i="23" s="1"/>
  <c r="G92" i="23"/>
  <c r="G59" i="45"/>
  <c r="C93" i="23" s="1"/>
  <c r="G93" i="23"/>
  <c r="H93" i="23"/>
  <c r="I59" i="45"/>
  <c r="C94" i="23" s="1"/>
  <c r="G94" i="23"/>
  <c r="H94" i="23" s="1"/>
  <c r="C58" i="46"/>
  <c r="C95" i="23" s="1"/>
  <c r="G95" i="23"/>
  <c r="H95" i="23"/>
  <c r="E58" i="46"/>
  <c r="C96" i="23" s="1"/>
  <c r="D96" i="23" s="1"/>
  <c r="G96" i="23"/>
  <c r="G58" i="46"/>
  <c r="C97" i="23" s="1"/>
  <c r="G97" i="23"/>
  <c r="I58" i="46"/>
  <c r="C98" i="23" s="1"/>
  <c r="G98" i="23"/>
  <c r="C59" i="47"/>
  <c r="C99" i="23" s="1"/>
  <c r="G99" i="23"/>
  <c r="E59" i="47"/>
  <c r="C100" i="23" s="1"/>
  <c r="G100" i="23"/>
  <c r="G59" i="47"/>
  <c r="C101" i="23" s="1"/>
  <c r="G101" i="23"/>
  <c r="I59" i="47"/>
  <c r="C102" i="23" s="1"/>
  <c r="G102" i="23"/>
  <c r="G103" i="23"/>
  <c r="G104" i="23"/>
  <c r="G105" i="23"/>
  <c r="G106" i="23"/>
  <c r="G107" i="23"/>
  <c r="G108" i="23"/>
  <c r="G109" i="23"/>
  <c r="G110" i="23"/>
  <c r="G111" i="23"/>
  <c r="G112" i="23"/>
  <c r="G113" i="23"/>
  <c r="G114" i="23"/>
  <c r="G115" i="23"/>
  <c r="G116" i="23"/>
  <c r="G117" i="23"/>
  <c r="G118" i="23"/>
  <c r="G119" i="23"/>
  <c r="G120" i="23"/>
  <c r="G121" i="23"/>
  <c r="G122" i="23"/>
  <c r="G123" i="23"/>
  <c r="G124" i="23"/>
  <c r="G125" i="23"/>
  <c r="G126" i="23"/>
  <c r="G127" i="23"/>
  <c r="G128" i="23"/>
  <c r="G129" i="23"/>
  <c r="H129" i="23" s="1"/>
  <c r="G130" i="23"/>
  <c r="N258" i="19"/>
  <c r="N257" i="19"/>
  <c r="N256" i="19"/>
  <c r="O256" i="19" s="1"/>
  <c r="N255" i="19"/>
  <c r="O255" i="19" s="1"/>
  <c r="N254" i="19"/>
  <c r="N253" i="19"/>
  <c r="N252" i="19"/>
  <c r="N251" i="19"/>
  <c r="N250" i="19"/>
  <c r="O258" i="19" s="1"/>
  <c r="N249" i="19"/>
  <c r="N248" i="19"/>
  <c r="N247" i="19"/>
  <c r="N246" i="19"/>
  <c r="O254" i="19" s="1"/>
  <c r="N245" i="19"/>
  <c r="O253" i="19" s="1"/>
  <c r="N244" i="19"/>
  <c r="O252" i="19" s="1"/>
  <c r="N243" i="19"/>
  <c r="N242" i="19"/>
  <c r="N241" i="19"/>
  <c r="N240" i="19"/>
  <c r="N239" i="19"/>
  <c r="O247" i="19" s="1"/>
  <c r="N238" i="19"/>
  <c r="O246" i="19" s="1"/>
  <c r="N237" i="19"/>
  <c r="N236" i="19"/>
  <c r="N235" i="19"/>
  <c r="O243" i="19"/>
  <c r="N234" i="19"/>
  <c r="O242" i="19" s="1"/>
  <c r="N233" i="19"/>
  <c r="N232" i="19"/>
  <c r="N231" i="19"/>
  <c r="N230" i="19"/>
  <c r="N229" i="19"/>
  <c r="O237" i="19" s="1"/>
  <c r="N228" i="19"/>
  <c r="O236" i="19" s="1"/>
  <c r="N227" i="19"/>
  <c r="N226" i="19"/>
  <c r="O234" i="19" s="1"/>
  <c r="N225" i="19"/>
  <c r="N224" i="19"/>
  <c r="N223" i="19"/>
  <c r="N222" i="19"/>
  <c r="N221" i="19"/>
  <c r="N220" i="19"/>
  <c r="N219" i="19"/>
  <c r="N218" i="19"/>
  <c r="O226" i="19" s="1"/>
  <c r="N217" i="19"/>
  <c r="O225" i="19" s="1"/>
  <c r="N216" i="19"/>
  <c r="N215" i="19"/>
  <c r="N214" i="19"/>
  <c r="N213" i="19"/>
  <c r="N212" i="19"/>
  <c r="O220" i="19" s="1"/>
  <c r="N211" i="19"/>
  <c r="N210" i="19"/>
  <c r="N209" i="19"/>
  <c r="N208" i="19"/>
  <c r="O216" i="19" s="1"/>
  <c r="N207" i="19"/>
  <c r="N206" i="19"/>
  <c r="O214" i="19" s="1"/>
  <c r="N205" i="19"/>
  <c r="O205" i="19" s="1"/>
  <c r="N204" i="19"/>
  <c r="N203" i="19"/>
  <c r="N202" i="19"/>
  <c r="O210" i="19" s="1"/>
  <c r="N201" i="19"/>
  <c r="N200" i="19"/>
  <c r="N199" i="19"/>
  <c r="N198" i="19"/>
  <c r="N197" i="19"/>
  <c r="N196" i="19"/>
  <c r="N195" i="19"/>
  <c r="O203" i="19" s="1"/>
  <c r="N194" i="19"/>
  <c r="N193" i="19"/>
  <c r="N192" i="19"/>
  <c r="N191" i="19"/>
  <c r="N190" i="19"/>
  <c r="O198" i="19"/>
  <c r="N189" i="19"/>
  <c r="N188" i="19"/>
  <c r="N187" i="19"/>
  <c r="N186" i="19"/>
  <c r="N185" i="19"/>
  <c r="N184" i="19"/>
  <c r="O192" i="19" s="1"/>
  <c r="N183" i="19"/>
  <c r="N182" i="19"/>
  <c r="N181" i="19"/>
  <c r="N180" i="19"/>
  <c r="O188" i="19" s="1"/>
  <c r="N179" i="19"/>
  <c r="O187" i="19" s="1"/>
  <c r="N178" i="19"/>
  <c r="O186" i="19"/>
  <c r="N177" i="19"/>
  <c r="N176" i="19"/>
  <c r="N175" i="19"/>
  <c r="O175" i="19" s="1"/>
  <c r="N174" i="19"/>
  <c r="O174" i="19" s="1"/>
  <c r="N173" i="19"/>
  <c r="N172" i="19"/>
  <c r="N171" i="19"/>
  <c r="N170" i="19"/>
  <c r="N169" i="19"/>
  <c r="O177" i="19" s="1"/>
  <c r="N168" i="19"/>
  <c r="N167" i="19"/>
  <c r="N166" i="19"/>
  <c r="N165" i="19"/>
  <c r="N164" i="19"/>
  <c r="O172" i="19"/>
  <c r="N163" i="19"/>
  <c r="O171" i="19" s="1"/>
  <c r="N162" i="19"/>
  <c r="O170" i="19" s="1"/>
  <c r="N161" i="19"/>
  <c r="O169" i="19" s="1"/>
  <c r="N160" i="19"/>
  <c r="N159" i="19"/>
  <c r="O167" i="19" s="1"/>
  <c r="N158" i="19"/>
  <c r="O166" i="19" s="1"/>
  <c r="N157" i="19"/>
  <c r="N156" i="19"/>
  <c r="N155" i="19"/>
  <c r="N154" i="19"/>
  <c r="N153" i="19"/>
  <c r="O153" i="19" s="1"/>
  <c r="N152" i="19"/>
  <c r="N151" i="19"/>
  <c r="N150" i="19"/>
  <c r="O158" i="19" s="1"/>
  <c r="N149" i="19"/>
  <c r="O157" i="19" s="1"/>
  <c r="N148" i="19"/>
  <c r="N147" i="19"/>
  <c r="O155" i="19" s="1"/>
  <c r="N146" i="19"/>
  <c r="N145" i="19"/>
  <c r="N144" i="19"/>
  <c r="N143" i="19"/>
  <c r="O151" i="19" s="1"/>
  <c r="N142" i="19"/>
  <c r="O142" i="19" s="1"/>
  <c r="N141" i="19"/>
  <c r="N140" i="19"/>
  <c r="N139" i="19"/>
  <c r="N138" i="19"/>
  <c r="N137" i="19"/>
  <c r="O145" i="19" s="1"/>
  <c r="N136" i="19"/>
  <c r="O144" i="19" s="1"/>
  <c r="N135" i="19"/>
  <c r="N134" i="19"/>
  <c r="N133" i="19"/>
  <c r="N132" i="19"/>
  <c r="N131" i="19"/>
  <c r="N130" i="19"/>
  <c r="O138" i="19" s="1"/>
  <c r="N129" i="19"/>
  <c r="N128" i="19"/>
  <c r="N127" i="19"/>
  <c r="N126" i="19"/>
  <c r="O134" i="19"/>
  <c r="N125" i="19"/>
  <c r="N124" i="19"/>
  <c r="N123" i="19"/>
  <c r="O131" i="19" s="1"/>
  <c r="N122" i="19"/>
  <c r="N121" i="19"/>
  <c r="O129" i="19" s="1"/>
  <c r="N120" i="19"/>
  <c r="O128" i="19" s="1"/>
  <c r="N119" i="19"/>
  <c r="O127" i="19" s="1"/>
  <c r="N118" i="19"/>
  <c r="O126" i="19" s="1"/>
  <c r="N117" i="19"/>
  <c r="N116" i="19"/>
  <c r="O124" i="19" s="1"/>
  <c r="N115" i="19"/>
  <c r="N114" i="19"/>
  <c r="O122" i="19" s="1"/>
  <c r="N113" i="19"/>
  <c r="N112" i="19"/>
  <c r="O120" i="19"/>
  <c r="N111" i="19"/>
  <c r="O119" i="19" s="1"/>
  <c r="N110" i="19"/>
  <c r="O118" i="19" s="1"/>
  <c r="N109" i="19"/>
  <c r="N108" i="19"/>
  <c r="N107" i="19"/>
  <c r="O115" i="19" s="1"/>
  <c r="N106" i="19"/>
  <c r="O114" i="19" s="1"/>
  <c r="N105" i="19"/>
  <c r="N104" i="19"/>
  <c r="N103" i="19"/>
  <c r="O111" i="19" s="1"/>
  <c r="N102" i="19"/>
  <c r="O110" i="19" s="1"/>
  <c r="N101" i="19"/>
  <c r="N100" i="19"/>
  <c r="O108" i="19"/>
  <c r="N99" i="19"/>
  <c r="O107" i="19" s="1"/>
  <c r="N98" i="19"/>
  <c r="O98" i="19" s="1"/>
  <c r="N97" i="19"/>
  <c r="N96" i="19"/>
  <c r="N95" i="19"/>
  <c r="N94" i="19"/>
  <c r="N93" i="19"/>
  <c r="O93" i="19" s="1"/>
  <c r="N92" i="19"/>
  <c r="O100" i="19" s="1"/>
  <c r="N91" i="19"/>
  <c r="N90" i="19"/>
  <c r="N89" i="19"/>
  <c r="O97" i="19" s="1"/>
  <c r="N88" i="19"/>
  <c r="O96" i="19" s="1"/>
  <c r="N87" i="19"/>
  <c r="N86" i="19"/>
  <c r="O94" i="19" s="1"/>
  <c r="N85" i="19"/>
  <c r="N84" i="19"/>
  <c r="O92" i="19" s="1"/>
  <c r="N83" i="19"/>
  <c r="O91" i="19" s="1"/>
  <c r="N82" i="19"/>
  <c r="O90" i="19"/>
  <c r="N81" i="19"/>
  <c r="N80" i="19"/>
  <c r="N79" i="19"/>
  <c r="N78" i="19"/>
  <c r="O86" i="19" s="1"/>
  <c r="N77" i="19"/>
  <c r="N76" i="19"/>
  <c r="O84" i="19" s="1"/>
  <c r="N75" i="19"/>
  <c r="N74" i="19"/>
  <c r="O82" i="19" s="1"/>
  <c r="N73" i="19"/>
  <c r="O81" i="19" s="1"/>
  <c r="N72" i="19"/>
  <c r="N71" i="19"/>
  <c r="O79" i="19"/>
  <c r="N70" i="19"/>
  <c r="N69" i="19"/>
  <c r="O77" i="19"/>
  <c r="N68" i="19"/>
  <c r="N67" i="19"/>
  <c r="N66" i="19"/>
  <c r="O74" i="19"/>
  <c r="N65" i="19"/>
  <c r="N64" i="19"/>
  <c r="N63" i="19"/>
  <c r="N62" i="19"/>
  <c r="N61" i="19"/>
  <c r="O69" i="19" s="1"/>
  <c r="N60" i="19"/>
  <c r="N59" i="19"/>
  <c r="O67" i="19" s="1"/>
  <c r="N58" i="19"/>
  <c r="O66" i="19" s="1"/>
  <c r="N57" i="19"/>
  <c r="N56" i="19"/>
  <c r="O64" i="19" s="1"/>
  <c r="N55" i="19"/>
  <c r="N54" i="19"/>
  <c r="O62" i="19" s="1"/>
  <c r="N53" i="19"/>
  <c r="N52" i="19"/>
  <c r="N51" i="19"/>
  <c r="N50" i="19"/>
  <c r="O58" i="19"/>
  <c r="N49" i="19"/>
  <c r="N48" i="19"/>
  <c r="O56" i="19" s="1"/>
  <c r="N47" i="19"/>
  <c r="N46" i="19"/>
  <c r="N45" i="19"/>
  <c r="O53" i="19" s="1"/>
  <c r="N44" i="19"/>
  <c r="O52" i="19" s="1"/>
  <c r="N43" i="19"/>
  <c r="O51" i="19" s="1"/>
  <c r="N42" i="19"/>
  <c r="N41" i="19"/>
  <c r="O41" i="19" s="1"/>
  <c r="N40" i="19"/>
  <c r="N39" i="19"/>
  <c r="N38" i="19"/>
  <c r="N37" i="19"/>
  <c r="O45" i="19" s="1"/>
  <c r="N36" i="19"/>
  <c r="O44" i="19" s="1"/>
  <c r="N35" i="19"/>
  <c r="O43" i="19" s="1"/>
  <c r="N34" i="19"/>
  <c r="O34" i="19" s="1"/>
  <c r="N33" i="19"/>
  <c r="N32" i="19"/>
  <c r="N31" i="19"/>
  <c r="O39" i="19" s="1"/>
  <c r="N30" i="19"/>
  <c r="N29" i="19"/>
  <c r="O29" i="19" s="1"/>
  <c r="N28" i="19"/>
  <c r="N27" i="19"/>
  <c r="N26" i="19"/>
  <c r="N25" i="19"/>
  <c r="O33" i="19" s="1"/>
  <c r="N24" i="19"/>
  <c r="N23" i="19"/>
  <c r="N22" i="19"/>
  <c r="O30" i="19" s="1"/>
  <c r="N21" i="19"/>
  <c r="N20" i="19"/>
  <c r="O28" i="19" s="1"/>
  <c r="N19" i="19"/>
  <c r="O27" i="19" s="1"/>
  <c r="N18" i="19"/>
  <c r="O26" i="19"/>
  <c r="N17" i="19"/>
  <c r="O17" i="19" s="1"/>
  <c r="N16" i="19"/>
  <c r="N15" i="19"/>
  <c r="O15" i="19" s="1"/>
  <c r="N14" i="19"/>
  <c r="N13" i="19"/>
  <c r="O13" i="19" s="1"/>
  <c r="N12" i="19"/>
  <c r="O20" i="19" s="1"/>
  <c r="N11" i="19"/>
  <c r="N10" i="19"/>
  <c r="O18" i="19" s="1"/>
  <c r="J257" i="19"/>
  <c r="K257" i="19" s="1"/>
  <c r="J256" i="19"/>
  <c r="J255" i="19"/>
  <c r="J254" i="19"/>
  <c r="J253" i="19"/>
  <c r="J252" i="19"/>
  <c r="J251" i="19"/>
  <c r="K251" i="19" s="1"/>
  <c r="J250" i="19"/>
  <c r="K258" i="19"/>
  <c r="J249" i="19"/>
  <c r="J248" i="19"/>
  <c r="K248" i="19"/>
  <c r="J247" i="19"/>
  <c r="K247" i="19" s="1"/>
  <c r="J246" i="19"/>
  <c r="J245" i="19"/>
  <c r="K253" i="19" s="1"/>
  <c r="J244" i="19"/>
  <c r="J243" i="19"/>
  <c r="J242" i="19"/>
  <c r="K250" i="19"/>
  <c r="J241" i="19"/>
  <c r="J240" i="19"/>
  <c r="J239" i="19"/>
  <c r="J238" i="19"/>
  <c r="J237" i="19"/>
  <c r="J236" i="19"/>
  <c r="J235" i="19"/>
  <c r="K243" i="19"/>
  <c r="J234" i="19"/>
  <c r="K242" i="19" s="1"/>
  <c r="J233" i="19"/>
  <c r="J232" i="19"/>
  <c r="K232" i="19" s="1"/>
  <c r="J231" i="19"/>
  <c r="K239" i="19" s="1"/>
  <c r="J230" i="19"/>
  <c r="K238" i="19" s="1"/>
  <c r="J229" i="19"/>
  <c r="K237" i="19" s="1"/>
  <c r="J228" i="19"/>
  <c r="K228" i="19" s="1"/>
  <c r="J227" i="19"/>
  <c r="K227" i="19" s="1"/>
  <c r="J226" i="19"/>
  <c r="K226" i="19"/>
  <c r="J225" i="19"/>
  <c r="J224" i="19"/>
  <c r="J223" i="19"/>
  <c r="J222" i="19"/>
  <c r="K230" i="19" s="1"/>
  <c r="J221" i="19"/>
  <c r="J220" i="19"/>
  <c r="J219" i="19"/>
  <c r="J218" i="19"/>
  <c r="J217" i="19"/>
  <c r="J216" i="19"/>
  <c r="K224" i="19" s="1"/>
  <c r="J215" i="19"/>
  <c r="J214" i="19"/>
  <c r="J213" i="19"/>
  <c r="J212" i="19"/>
  <c r="J211" i="19"/>
  <c r="J210" i="19"/>
  <c r="K218" i="19" s="1"/>
  <c r="J209" i="19"/>
  <c r="J208" i="19"/>
  <c r="J207" i="19"/>
  <c r="J206" i="19"/>
  <c r="K214" i="19" s="1"/>
  <c r="J205" i="19"/>
  <c r="K213" i="19" s="1"/>
  <c r="J204" i="19"/>
  <c r="K212" i="19" s="1"/>
  <c r="J203" i="19"/>
  <c r="J202" i="19"/>
  <c r="J201" i="19"/>
  <c r="J200" i="19"/>
  <c r="J199" i="19"/>
  <c r="J198" i="19"/>
  <c r="J197" i="19"/>
  <c r="K197" i="19" s="1"/>
  <c r="J196" i="19"/>
  <c r="J195" i="19"/>
  <c r="K203" i="19" s="1"/>
  <c r="J194" i="19"/>
  <c r="J193" i="19"/>
  <c r="J192" i="19"/>
  <c r="J191" i="19"/>
  <c r="J190" i="19"/>
  <c r="K198" i="19" s="1"/>
  <c r="J189" i="19"/>
  <c r="J188" i="19"/>
  <c r="J187" i="19"/>
  <c r="J186" i="19"/>
  <c r="K194" i="19" s="1"/>
  <c r="J185" i="19"/>
  <c r="K185" i="19" s="1"/>
  <c r="J184" i="19"/>
  <c r="J183" i="19"/>
  <c r="J182" i="19"/>
  <c r="J181" i="19"/>
  <c r="K189" i="19"/>
  <c r="J180" i="19"/>
  <c r="K180" i="19" s="1"/>
  <c r="J179" i="19"/>
  <c r="J178" i="19"/>
  <c r="K186" i="19" s="1"/>
  <c r="J177" i="19"/>
  <c r="J176" i="19"/>
  <c r="K184" i="19" s="1"/>
  <c r="J175" i="19"/>
  <c r="K175" i="19" s="1"/>
  <c r="J174" i="19"/>
  <c r="K182" i="19" s="1"/>
  <c r="J173" i="19"/>
  <c r="J172" i="19"/>
  <c r="J171" i="19"/>
  <c r="J170" i="19"/>
  <c r="J169" i="19"/>
  <c r="K177" i="19" s="1"/>
  <c r="J168" i="19"/>
  <c r="J167" i="19"/>
  <c r="J166" i="19"/>
  <c r="K174" i="19"/>
  <c r="J165" i="19"/>
  <c r="K173" i="19" s="1"/>
  <c r="J164" i="19"/>
  <c r="J163" i="19"/>
  <c r="J162" i="19"/>
  <c r="K170" i="19"/>
  <c r="J161" i="19"/>
  <c r="J160" i="19"/>
  <c r="J159" i="19"/>
  <c r="J158" i="19"/>
  <c r="K166" i="19"/>
  <c r="J157" i="19"/>
  <c r="J156" i="19"/>
  <c r="J155" i="19"/>
  <c r="J154" i="19"/>
  <c r="K162" i="19" s="1"/>
  <c r="J153" i="19"/>
  <c r="J152" i="19"/>
  <c r="J151" i="19"/>
  <c r="K159" i="19" s="1"/>
  <c r="J150" i="19"/>
  <c r="J149" i="19"/>
  <c r="K157" i="19" s="1"/>
  <c r="J148" i="19"/>
  <c r="K156" i="19"/>
  <c r="J147" i="19"/>
  <c r="J146" i="19"/>
  <c r="J145" i="19"/>
  <c r="J144" i="19"/>
  <c r="K152" i="19" s="1"/>
  <c r="J143" i="19"/>
  <c r="J142" i="19"/>
  <c r="J141" i="19"/>
  <c r="J140" i="19"/>
  <c r="J139" i="19"/>
  <c r="J138" i="19"/>
  <c r="K146" i="19" s="1"/>
  <c r="J137" i="19"/>
  <c r="J136" i="19"/>
  <c r="K144" i="19" s="1"/>
  <c r="J135" i="19"/>
  <c r="J134" i="19"/>
  <c r="J133" i="19"/>
  <c r="K133" i="19" s="1"/>
  <c r="K141" i="19"/>
  <c r="J132" i="19"/>
  <c r="K140" i="19"/>
  <c r="J131" i="19"/>
  <c r="J130" i="19"/>
  <c r="J129" i="19"/>
  <c r="K137" i="19"/>
  <c r="J128" i="19"/>
  <c r="J127" i="19"/>
  <c r="J126" i="19"/>
  <c r="K134" i="19" s="1"/>
  <c r="J125" i="19"/>
  <c r="J124" i="19"/>
  <c r="K132" i="19" s="1"/>
  <c r="J123" i="19"/>
  <c r="J122" i="19"/>
  <c r="J121" i="19"/>
  <c r="J120" i="19"/>
  <c r="J119" i="19"/>
  <c r="J118" i="19"/>
  <c r="J117" i="19"/>
  <c r="J116" i="19"/>
  <c r="J115" i="19"/>
  <c r="J114" i="19"/>
  <c r="K122" i="19"/>
  <c r="J113" i="19"/>
  <c r="J112" i="19"/>
  <c r="J111" i="19"/>
  <c r="J110" i="19"/>
  <c r="J109" i="19"/>
  <c r="J108" i="19"/>
  <c r="J107" i="19"/>
  <c r="J106" i="19"/>
  <c r="K114" i="19" s="1"/>
  <c r="J105" i="19"/>
  <c r="J104" i="19"/>
  <c r="K112" i="19"/>
  <c r="J103" i="19"/>
  <c r="J102" i="19"/>
  <c r="J101" i="19"/>
  <c r="K109" i="19" s="1"/>
  <c r="J100" i="19"/>
  <c r="J99" i="19"/>
  <c r="K107" i="19"/>
  <c r="J98" i="19"/>
  <c r="K106" i="19"/>
  <c r="J97" i="19"/>
  <c r="J96" i="19"/>
  <c r="J95" i="19"/>
  <c r="K103" i="19" s="1"/>
  <c r="J94" i="19"/>
  <c r="J93" i="19"/>
  <c r="J92" i="19"/>
  <c r="J91" i="19"/>
  <c r="K99" i="19" s="1"/>
  <c r="J90" i="19"/>
  <c r="K98" i="19"/>
  <c r="J89" i="19"/>
  <c r="J88" i="19"/>
  <c r="J87" i="19"/>
  <c r="K95" i="19" s="1"/>
  <c r="J86" i="19"/>
  <c r="J85" i="19"/>
  <c r="K93" i="19" s="1"/>
  <c r="J84" i="19"/>
  <c r="J83" i="19"/>
  <c r="J82" i="19"/>
  <c r="K90" i="19" s="1"/>
  <c r="J81" i="19"/>
  <c r="K89" i="19"/>
  <c r="J80" i="19"/>
  <c r="K88" i="19"/>
  <c r="J79" i="19"/>
  <c r="J78" i="19"/>
  <c r="K86" i="19"/>
  <c r="J77" i="19"/>
  <c r="J76" i="19"/>
  <c r="K84" i="19" s="1"/>
  <c r="J75" i="19"/>
  <c r="J74" i="19"/>
  <c r="J73" i="19"/>
  <c r="K81" i="19"/>
  <c r="J72" i="19"/>
  <c r="J71" i="19"/>
  <c r="K79" i="19" s="1"/>
  <c r="J70" i="19"/>
  <c r="J69" i="19"/>
  <c r="J68" i="19"/>
  <c r="K68" i="19" s="1"/>
  <c r="J67" i="19"/>
  <c r="K75" i="19" s="1"/>
  <c r="J66" i="19"/>
  <c r="J65" i="19"/>
  <c r="J64" i="19"/>
  <c r="J63" i="19"/>
  <c r="J62" i="19"/>
  <c r="K70" i="19" s="1"/>
  <c r="J61" i="19"/>
  <c r="J60" i="19"/>
  <c r="J59" i="19"/>
  <c r="J58" i="19"/>
  <c r="K66" i="19"/>
  <c r="J57" i="19"/>
  <c r="K57" i="19" s="1"/>
  <c r="J56" i="19"/>
  <c r="K64" i="19" s="1"/>
  <c r="J55" i="19"/>
  <c r="J54" i="19"/>
  <c r="J53" i="19"/>
  <c r="K61" i="19"/>
  <c r="J52" i="19"/>
  <c r="J51" i="19"/>
  <c r="J50" i="19"/>
  <c r="J49" i="19"/>
  <c r="J48" i="19"/>
  <c r="K48" i="19" s="1"/>
  <c r="J47" i="19"/>
  <c r="K55" i="19" s="1"/>
  <c r="J46" i="19"/>
  <c r="J45" i="19"/>
  <c r="J44" i="19"/>
  <c r="J43" i="19"/>
  <c r="J42" i="19"/>
  <c r="J41" i="19"/>
  <c r="K49" i="19" s="1"/>
  <c r="J40" i="19"/>
  <c r="J39" i="19"/>
  <c r="J38" i="19"/>
  <c r="K46" i="19"/>
  <c r="J37" i="19"/>
  <c r="J36" i="19"/>
  <c r="J35" i="19"/>
  <c r="J34" i="19"/>
  <c r="J33" i="19"/>
  <c r="J32" i="19"/>
  <c r="K40" i="19" s="1"/>
  <c r="J31" i="19"/>
  <c r="J30" i="19"/>
  <c r="K38" i="19" s="1"/>
  <c r="J29" i="19"/>
  <c r="J28" i="19"/>
  <c r="J27" i="19"/>
  <c r="J26" i="19"/>
  <c r="K34" i="19" s="1"/>
  <c r="J25" i="19"/>
  <c r="K33" i="19" s="1"/>
  <c r="J24" i="19"/>
  <c r="J23" i="19"/>
  <c r="K31" i="19" s="1"/>
  <c r="J22" i="19"/>
  <c r="K30" i="19" s="1"/>
  <c r="J21" i="19"/>
  <c r="J20" i="19"/>
  <c r="J19" i="19"/>
  <c r="J18" i="19"/>
  <c r="K26" i="19" s="1"/>
  <c r="J17" i="19"/>
  <c r="K17" i="19" s="1"/>
  <c r="J16" i="19"/>
  <c r="J15" i="19"/>
  <c r="K15" i="19" s="1"/>
  <c r="J14" i="19"/>
  <c r="J13" i="19"/>
  <c r="J12" i="19"/>
  <c r="K12" i="19"/>
  <c r="J11" i="19"/>
  <c r="K19" i="19" s="1"/>
  <c r="J10" i="19"/>
  <c r="K18" i="19" s="1"/>
  <c r="O251" i="19"/>
  <c r="O241" i="19"/>
  <c r="O240" i="19"/>
  <c r="O235" i="19"/>
  <c r="O233" i="19"/>
  <c r="O229" i="19"/>
  <c r="O228" i="19"/>
  <c r="O215" i="19"/>
  <c r="O213" i="19"/>
  <c r="O201" i="19"/>
  <c r="O200" i="19"/>
  <c r="O197" i="19"/>
  <c r="O196" i="19"/>
  <c r="O191" i="19"/>
  <c r="O185" i="19"/>
  <c r="O184" i="19"/>
  <c r="O160" i="19"/>
  <c r="O159" i="19"/>
  <c r="O156" i="19"/>
  <c r="O152" i="19"/>
  <c r="O140" i="19"/>
  <c r="O137" i="19"/>
  <c r="O132" i="19"/>
  <c r="O113" i="19"/>
  <c r="O109" i="19"/>
  <c r="O105" i="19"/>
  <c r="O104" i="19"/>
  <c r="O89" i="19"/>
  <c r="O72" i="19"/>
  <c r="O71" i="19"/>
  <c r="O57" i="19"/>
  <c r="O49" i="19"/>
  <c r="O37" i="19"/>
  <c r="O24" i="19"/>
  <c r="O21" i="19"/>
  <c r="O16" i="19"/>
  <c r="O12" i="19"/>
  <c r="K256" i="19"/>
  <c r="K240" i="19"/>
  <c r="K229" i="19"/>
  <c r="K221" i="19"/>
  <c r="K220" i="19"/>
  <c r="K217" i="19"/>
  <c r="K209" i="19"/>
  <c r="K208" i="19"/>
  <c r="K201" i="19"/>
  <c r="K196" i="19"/>
  <c r="K188" i="19"/>
  <c r="K179" i="19"/>
  <c r="K172" i="19"/>
  <c r="K171" i="19"/>
  <c r="K168" i="19"/>
  <c r="K167" i="19"/>
  <c r="K164" i="19"/>
  <c r="K163" i="19"/>
  <c r="K153" i="19"/>
  <c r="K149" i="19"/>
  <c r="K145" i="19"/>
  <c r="K120" i="19"/>
  <c r="K115" i="19"/>
  <c r="K104" i="19"/>
  <c r="K97" i="19"/>
  <c r="K96" i="19"/>
  <c r="K91" i="19"/>
  <c r="K63" i="19"/>
  <c r="K43" i="19"/>
  <c r="K23" i="19"/>
  <c r="K13" i="19"/>
  <c r="K11" i="19"/>
  <c r="L11" i="19" s="1"/>
  <c r="G257" i="19"/>
  <c r="G256" i="19"/>
  <c r="G255" i="19"/>
  <c r="G254" i="19"/>
  <c r="G253" i="19"/>
  <c r="G252" i="19"/>
  <c r="G249" i="19"/>
  <c r="G248" i="19"/>
  <c r="G247" i="19"/>
  <c r="G246" i="19"/>
  <c r="G245" i="19"/>
  <c r="G244" i="19"/>
  <c r="G241" i="19"/>
  <c r="G240" i="19"/>
  <c r="G239" i="19"/>
  <c r="G238" i="19"/>
  <c r="G237" i="19"/>
  <c r="G236" i="19"/>
  <c r="G233" i="19"/>
  <c r="G232" i="19"/>
  <c r="G231" i="19"/>
  <c r="G230" i="19"/>
  <c r="G229" i="19"/>
  <c r="G228" i="19"/>
  <c r="G225" i="19"/>
  <c r="G224" i="19"/>
  <c r="G223" i="19"/>
  <c r="G222" i="19"/>
  <c r="G221" i="19"/>
  <c r="G220" i="19"/>
  <c r="G217" i="19"/>
  <c r="G216" i="19"/>
  <c r="G215" i="19"/>
  <c r="G214" i="19"/>
  <c r="G213" i="19"/>
  <c r="G212" i="19"/>
  <c r="G209" i="19"/>
  <c r="G208" i="19"/>
  <c r="G207" i="19"/>
  <c r="G206" i="19"/>
  <c r="G205" i="19"/>
  <c r="G204" i="19"/>
  <c r="G201" i="19"/>
  <c r="G200" i="19"/>
  <c r="G199" i="19"/>
  <c r="G198" i="19"/>
  <c r="G197" i="19"/>
  <c r="G196" i="19"/>
  <c r="G193" i="19"/>
  <c r="G192" i="19"/>
  <c r="G191" i="19"/>
  <c r="G190" i="19"/>
  <c r="G189" i="19"/>
  <c r="G188" i="19"/>
  <c r="G185" i="19"/>
  <c r="G184" i="19"/>
  <c r="G183" i="19"/>
  <c r="G182" i="19"/>
  <c r="G181" i="19"/>
  <c r="G180" i="19"/>
  <c r="G177" i="19"/>
  <c r="G176" i="19"/>
  <c r="G175" i="19"/>
  <c r="G174" i="19"/>
  <c r="G173" i="19"/>
  <c r="G172" i="19"/>
  <c r="G169" i="19"/>
  <c r="G168" i="19"/>
  <c r="G167" i="19"/>
  <c r="G166" i="19"/>
  <c r="G165" i="19"/>
  <c r="G164" i="19"/>
  <c r="G161" i="19"/>
  <c r="G160" i="19"/>
  <c r="G159" i="19"/>
  <c r="G158" i="19"/>
  <c r="G157" i="19"/>
  <c r="G156" i="19"/>
  <c r="G153" i="19"/>
  <c r="G152" i="19"/>
  <c r="G151" i="19"/>
  <c r="G150" i="19"/>
  <c r="G149" i="19"/>
  <c r="G148" i="19"/>
  <c r="G145" i="19"/>
  <c r="G144" i="19"/>
  <c r="G143" i="19"/>
  <c r="G142" i="19"/>
  <c r="G141" i="19"/>
  <c r="G140" i="19"/>
  <c r="G137" i="19"/>
  <c r="G136" i="19"/>
  <c r="G135" i="19"/>
  <c r="G134" i="19"/>
  <c r="G133" i="19"/>
  <c r="G132" i="19"/>
  <c r="G129" i="19"/>
  <c r="G128" i="19"/>
  <c r="G127" i="19"/>
  <c r="G126" i="19"/>
  <c r="G125" i="19"/>
  <c r="G124" i="19"/>
  <c r="G121" i="19"/>
  <c r="G120" i="19"/>
  <c r="G119" i="19"/>
  <c r="G118" i="19"/>
  <c r="G117" i="19"/>
  <c r="G116" i="19"/>
  <c r="G113" i="19"/>
  <c r="G112" i="19"/>
  <c r="G111" i="19"/>
  <c r="G110" i="19"/>
  <c r="G109" i="19"/>
  <c r="G108" i="19"/>
  <c r="G105" i="19"/>
  <c r="G104" i="19"/>
  <c r="G103" i="19"/>
  <c r="G102" i="19"/>
  <c r="G101" i="19"/>
  <c r="G100" i="19"/>
  <c r="G97" i="19"/>
  <c r="G96" i="19"/>
  <c r="G95" i="19"/>
  <c r="G94" i="19"/>
  <c r="G93" i="19"/>
  <c r="G92" i="19"/>
  <c r="G89" i="19"/>
  <c r="G88" i="19"/>
  <c r="G87" i="19"/>
  <c r="G86" i="19"/>
  <c r="G85" i="19"/>
  <c r="G84" i="19"/>
  <c r="G81" i="19"/>
  <c r="G80" i="19"/>
  <c r="G79" i="19"/>
  <c r="G78" i="19"/>
  <c r="G77" i="19"/>
  <c r="G76" i="19"/>
  <c r="G73" i="19"/>
  <c r="G72" i="19"/>
  <c r="G71" i="19"/>
  <c r="G70" i="19"/>
  <c r="G69" i="19"/>
  <c r="G68" i="19"/>
  <c r="G65" i="19"/>
  <c r="G64" i="19"/>
  <c r="G63" i="19"/>
  <c r="G62" i="19"/>
  <c r="G61" i="19"/>
  <c r="G60" i="19"/>
  <c r="G57" i="19"/>
  <c r="G56" i="19"/>
  <c r="G55" i="19"/>
  <c r="H63" i="19" s="1"/>
  <c r="G54" i="19"/>
  <c r="G53" i="19"/>
  <c r="G52" i="19"/>
  <c r="G49" i="19"/>
  <c r="G48" i="19"/>
  <c r="G47" i="19"/>
  <c r="G46" i="19"/>
  <c r="G45" i="19"/>
  <c r="G44" i="19"/>
  <c r="G41" i="19"/>
  <c r="G40" i="19"/>
  <c r="G39" i="19"/>
  <c r="G38" i="19"/>
  <c r="G37" i="19"/>
  <c r="G36" i="19"/>
  <c r="G33" i="19"/>
  <c r="G32" i="19"/>
  <c r="G31" i="19"/>
  <c r="G30" i="19"/>
  <c r="G29" i="19"/>
  <c r="G28" i="19"/>
  <c r="G25" i="19"/>
  <c r="G24" i="19"/>
  <c r="G23" i="19"/>
  <c r="G22" i="19"/>
  <c r="G21" i="19"/>
  <c r="G20" i="19"/>
  <c r="G17" i="19"/>
  <c r="G16" i="19"/>
  <c r="G15" i="19"/>
  <c r="H15" i="19" s="1"/>
  <c r="G14" i="19"/>
  <c r="G13" i="19"/>
  <c r="G12" i="19"/>
  <c r="G251" i="19"/>
  <c r="G243" i="19"/>
  <c r="G235" i="19"/>
  <c r="G227" i="19"/>
  <c r="G219" i="19"/>
  <c r="G211" i="19"/>
  <c r="G203" i="19"/>
  <c r="G195" i="19"/>
  <c r="G187" i="19"/>
  <c r="G179" i="19"/>
  <c r="G171" i="19"/>
  <c r="G163" i="19"/>
  <c r="G155" i="19"/>
  <c r="G147" i="19"/>
  <c r="G139" i="19"/>
  <c r="G131" i="19"/>
  <c r="G123" i="19"/>
  <c r="G115" i="19"/>
  <c r="G107" i="19"/>
  <c r="G99" i="19"/>
  <c r="G91" i="19"/>
  <c r="G83" i="19"/>
  <c r="G75" i="19"/>
  <c r="G67" i="19"/>
  <c r="G59" i="19"/>
  <c r="G51" i="19"/>
  <c r="G43" i="19"/>
  <c r="G35" i="19"/>
  <c r="G27" i="19"/>
  <c r="G19" i="19"/>
  <c r="G11" i="19"/>
  <c r="G258" i="19"/>
  <c r="G250" i="19"/>
  <c r="G242" i="19"/>
  <c r="G234" i="19"/>
  <c r="G226" i="19"/>
  <c r="G218" i="19"/>
  <c r="G210" i="19"/>
  <c r="G202" i="19"/>
  <c r="G194" i="19"/>
  <c r="G186" i="19"/>
  <c r="G178" i="19"/>
  <c r="G170" i="19"/>
  <c r="G162" i="19"/>
  <c r="G154" i="19"/>
  <c r="G146" i="19"/>
  <c r="G138" i="19"/>
  <c r="G130" i="19"/>
  <c r="G122" i="19"/>
  <c r="G114" i="19"/>
  <c r="G106" i="19"/>
  <c r="G98" i="19"/>
  <c r="G90" i="19"/>
  <c r="G82" i="19"/>
  <c r="G74" i="19"/>
  <c r="G66" i="19"/>
  <c r="G58" i="19"/>
  <c r="G50" i="19"/>
  <c r="G42" i="19"/>
  <c r="G34" i="19"/>
  <c r="G26" i="19"/>
  <c r="G18" i="19"/>
  <c r="G10" i="19"/>
  <c r="C234" i="19"/>
  <c r="C226" i="19"/>
  <c r="C218" i="19"/>
  <c r="C210" i="19"/>
  <c r="C202" i="19"/>
  <c r="C194" i="19"/>
  <c r="C186" i="19"/>
  <c r="C178" i="19"/>
  <c r="C170" i="19"/>
  <c r="C162" i="19"/>
  <c r="C242" i="19"/>
  <c r="C250" i="19"/>
  <c r="C154" i="19"/>
  <c r="C146" i="19"/>
  <c r="C138" i="19"/>
  <c r="C130" i="19"/>
  <c r="C122" i="19"/>
  <c r="C114" i="19"/>
  <c r="C106" i="19"/>
  <c r="C98" i="19"/>
  <c r="C90" i="19"/>
  <c r="C82" i="19"/>
  <c r="C74" i="19"/>
  <c r="C66" i="19"/>
  <c r="C58" i="19"/>
  <c r="C50" i="19"/>
  <c r="C42" i="19"/>
  <c r="C34" i="19"/>
  <c r="C33" i="19"/>
  <c r="C32" i="19"/>
  <c r="C31" i="19"/>
  <c r="C30" i="19"/>
  <c r="C29" i="19"/>
  <c r="C28" i="19"/>
  <c r="C27" i="19"/>
  <c r="C26" i="19"/>
  <c r="C18" i="19"/>
  <c r="C86" i="19"/>
  <c r="C257" i="19"/>
  <c r="C249" i="19"/>
  <c r="C241" i="19"/>
  <c r="C233" i="19"/>
  <c r="C225" i="19"/>
  <c r="C217" i="19"/>
  <c r="C209" i="19"/>
  <c r="C201" i="19"/>
  <c r="C193" i="19"/>
  <c r="C185" i="19"/>
  <c r="C177" i="19"/>
  <c r="C169" i="19"/>
  <c r="C161" i="19"/>
  <c r="C153" i="19"/>
  <c r="C145" i="19"/>
  <c r="C137" i="19"/>
  <c r="C129" i="19"/>
  <c r="C121" i="19"/>
  <c r="C113" i="19"/>
  <c r="C105" i="19"/>
  <c r="C97" i="19"/>
  <c r="C89" i="19"/>
  <c r="C81" i="19"/>
  <c r="C73" i="19"/>
  <c r="C65" i="19"/>
  <c r="C57" i="19"/>
  <c r="C49" i="19"/>
  <c r="C41" i="19"/>
  <c r="C25" i="19"/>
  <c r="C17" i="19"/>
  <c r="C256" i="19"/>
  <c r="C248" i="19"/>
  <c r="C240" i="19"/>
  <c r="C232" i="19"/>
  <c r="C224" i="19"/>
  <c r="C216" i="19"/>
  <c r="C208" i="19"/>
  <c r="C200" i="19"/>
  <c r="C192" i="19"/>
  <c r="C184" i="19"/>
  <c r="C176" i="19"/>
  <c r="C168" i="19"/>
  <c r="C160" i="19"/>
  <c r="C152" i="19"/>
  <c r="C144" i="19"/>
  <c r="C136" i="19"/>
  <c r="C128" i="19"/>
  <c r="C120" i="19"/>
  <c r="C112" i="19"/>
  <c r="C104" i="19"/>
  <c r="C96" i="19"/>
  <c r="C88" i="19"/>
  <c r="C80" i="19"/>
  <c r="C72" i="19"/>
  <c r="C64" i="19"/>
  <c r="C56" i="19"/>
  <c r="C48" i="19"/>
  <c r="C40" i="19"/>
  <c r="C24" i="19"/>
  <c r="C16" i="19"/>
  <c r="D16" i="19" s="1"/>
  <c r="C255" i="19"/>
  <c r="C247" i="19"/>
  <c r="C239" i="19"/>
  <c r="C231" i="19"/>
  <c r="C223" i="19"/>
  <c r="C215" i="19"/>
  <c r="C207" i="19"/>
  <c r="C199" i="19"/>
  <c r="C191" i="19"/>
  <c r="C183" i="19"/>
  <c r="C175" i="19"/>
  <c r="C167" i="19"/>
  <c r="C159" i="19"/>
  <c r="C151" i="19"/>
  <c r="C143" i="19"/>
  <c r="C135" i="19"/>
  <c r="C127" i="19"/>
  <c r="C119" i="19"/>
  <c r="C111" i="19"/>
  <c r="C103" i="19"/>
  <c r="C95" i="19"/>
  <c r="C87" i="19"/>
  <c r="C79" i="19"/>
  <c r="C71" i="19"/>
  <c r="C63" i="19"/>
  <c r="C55" i="19"/>
  <c r="C47" i="19"/>
  <c r="C39" i="19"/>
  <c r="C23" i="19"/>
  <c r="C15" i="19"/>
  <c r="C254" i="19"/>
  <c r="C246" i="19"/>
  <c r="C238" i="19"/>
  <c r="C230" i="19"/>
  <c r="C222" i="19"/>
  <c r="C214" i="19"/>
  <c r="C206" i="19"/>
  <c r="C198" i="19"/>
  <c r="C190" i="19"/>
  <c r="C182" i="19"/>
  <c r="C174" i="19"/>
  <c r="C166" i="19"/>
  <c r="C158" i="19"/>
  <c r="C150" i="19"/>
  <c r="C142" i="19"/>
  <c r="C134" i="19"/>
  <c r="C126" i="19"/>
  <c r="C118" i="19"/>
  <c r="C110" i="19"/>
  <c r="C102" i="19"/>
  <c r="C94" i="19"/>
  <c r="C78" i="19"/>
  <c r="C70" i="19"/>
  <c r="C62" i="19"/>
  <c r="C54" i="19"/>
  <c r="C46" i="19"/>
  <c r="C38" i="19"/>
  <c r="C22" i="19"/>
  <c r="C14" i="19"/>
  <c r="C253" i="19"/>
  <c r="C245" i="19"/>
  <c r="C237" i="19"/>
  <c r="C229" i="19"/>
  <c r="C221" i="19"/>
  <c r="C213" i="19"/>
  <c r="C205" i="19"/>
  <c r="C197" i="19"/>
  <c r="C189" i="19"/>
  <c r="C181" i="19"/>
  <c r="C173" i="19"/>
  <c r="C165" i="19"/>
  <c r="C157" i="19"/>
  <c r="C149" i="19"/>
  <c r="C141" i="19"/>
  <c r="C133" i="19"/>
  <c r="C125" i="19"/>
  <c r="C117" i="19"/>
  <c r="C109" i="19"/>
  <c r="C101" i="19"/>
  <c r="C93" i="19"/>
  <c r="C85" i="19"/>
  <c r="C77" i="19"/>
  <c r="C69" i="19"/>
  <c r="C61" i="19"/>
  <c r="C53" i="19"/>
  <c r="C45" i="19"/>
  <c r="C37" i="19"/>
  <c r="C21" i="19"/>
  <c r="C13" i="19"/>
  <c r="C252" i="19"/>
  <c r="C244" i="19"/>
  <c r="C236" i="19"/>
  <c r="C228" i="19"/>
  <c r="C220" i="19"/>
  <c r="C212" i="19"/>
  <c r="C204" i="19"/>
  <c r="C196" i="19"/>
  <c r="C188" i="19"/>
  <c r="C180" i="19"/>
  <c r="C172" i="19"/>
  <c r="C164" i="19"/>
  <c r="C156" i="19"/>
  <c r="C148" i="19"/>
  <c r="C140" i="19"/>
  <c r="C132" i="19"/>
  <c r="C124" i="19"/>
  <c r="C116" i="19"/>
  <c r="C108" i="19"/>
  <c r="C100" i="19"/>
  <c r="C92" i="19"/>
  <c r="C84" i="19"/>
  <c r="C76" i="19"/>
  <c r="C68" i="19"/>
  <c r="C60" i="19"/>
  <c r="C52" i="19"/>
  <c r="C44" i="19"/>
  <c r="C36" i="19"/>
  <c r="C20" i="19"/>
  <c r="D28" i="19"/>
  <c r="C12" i="19"/>
  <c r="D12" i="19" s="1"/>
  <c r="C251" i="19"/>
  <c r="C243" i="19"/>
  <c r="C235" i="19"/>
  <c r="C227" i="19"/>
  <c r="C219" i="19"/>
  <c r="C211" i="19"/>
  <c r="C203" i="19"/>
  <c r="C195" i="19"/>
  <c r="C187" i="19"/>
  <c r="C179" i="19"/>
  <c r="C171" i="19"/>
  <c r="C163" i="19"/>
  <c r="C155" i="19"/>
  <c r="C147" i="19"/>
  <c r="C139" i="19"/>
  <c r="C131" i="19"/>
  <c r="C123" i="19"/>
  <c r="C115" i="19"/>
  <c r="C107" i="19"/>
  <c r="C99" i="19"/>
  <c r="C91" i="19"/>
  <c r="C83" i="19"/>
  <c r="C75" i="19"/>
  <c r="C67" i="19"/>
  <c r="C59" i="19"/>
  <c r="C51" i="19"/>
  <c r="C43" i="19"/>
  <c r="C35" i="19"/>
  <c r="C19" i="19"/>
  <c r="C11" i="19"/>
  <c r="C10" i="19"/>
  <c r="B55" i="46"/>
  <c r="AR5" i="25"/>
  <c r="AS5" i="25"/>
  <c r="AT5" i="25"/>
  <c r="AU5" i="25"/>
  <c r="K6" i="25"/>
  <c r="C8" i="13"/>
  <c r="C6" i="1" s="1"/>
  <c r="K7" i="25"/>
  <c r="C9" i="13" s="1"/>
  <c r="C7" i="1" s="1"/>
  <c r="K8" i="25"/>
  <c r="C10" i="13"/>
  <c r="C8" i="1" s="1"/>
  <c r="K9" i="25"/>
  <c r="C11" i="13"/>
  <c r="C9" i="1" s="1"/>
  <c r="K10" i="25"/>
  <c r="C12" i="13" s="1"/>
  <c r="C10" i="1"/>
  <c r="K12" i="25"/>
  <c r="C14" i="13" s="1"/>
  <c r="C12" i="1" s="1"/>
  <c r="K13" i="25"/>
  <c r="C15" i="13" s="1"/>
  <c r="C13" i="1" s="1"/>
  <c r="K14" i="25"/>
  <c r="C16" i="13" s="1"/>
  <c r="C14" i="1" s="1"/>
  <c r="K15" i="25"/>
  <c r="C17" i="13" s="1"/>
  <c r="C15" i="1" s="1"/>
  <c r="K16" i="25"/>
  <c r="C18" i="13" s="1"/>
  <c r="C16" i="1" s="1"/>
  <c r="K17" i="25"/>
  <c r="C19" i="13" s="1"/>
  <c r="C17" i="1" s="1"/>
  <c r="K18" i="25"/>
  <c r="C20" i="13"/>
  <c r="C18" i="1" s="1"/>
  <c r="K19" i="25"/>
  <c r="C21" i="13" s="1"/>
  <c r="C19" i="1" s="1"/>
  <c r="K20" i="25"/>
  <c r="C22" i="13" s="1"/>
  <c r="C20" i="1" s="1"/>
  <c r="K21" i="25"/>
  <c r="C23" i="13" s="1"/>
  <c r="C21" i="1" s="1"/>
  <c r="K22" i="25"/>
  <c r="C24" i="13"/>
  <c r="C22" i="1" s="1"/>
  <c r="K23" i="25"/>
  <c r="C25" i="13"/>
  <c r="C23" i="1" s="1"/>
  <c r="K24" i="25"/>
  <c r="C26" i="13" s="1"/>
  <c r="C24" i="1" s="1"/>
  <c r="AR26" i="25"/>
  <c r="AS26" i="25"/>
  <c r="AT26" i="25"/>
  <c r="AU26" i="25"/>
  <c r="AR5" i="26"/>
  <c r="AS5" i="26"/>
  <c r="AT5" i="26"/>
  <c r="AU5" i="26"/>
  <c r="K6" i="26"/>
  <c r="D8" i="13"/>
  <c r="D6" i="1" s="1"/>
  <c r="K7" i="26"/>
  <c r="D9" i="13" s="1"/>
  <c r="D7" i="1" s="1"/>
  <c r="K8" i="26"/>
  <c r="D10" i="13"/>
  <c r="D8" i="1" s="1"/>
  <c r="K9" i="26"/>
  <c r="D11" i="13" s="1"/>
  <c r="D9" i="1" s="1"/>
  <c r="K10" i="26"/>
  <c r="D12" i="13" s="1"/>
  <c r="D10" i="1" s="1"/>
  <c r="K12" i="26"/>
  <c r="D14" i="13"/>
  <c r="D12" i="1" s="1"/>
  <c r="K13" i="26"/>
  <c r="D15" i="13"/>
  <c r="D13" i="1" s="1"/>
  <c r="K14" i="26"/>
  <c r="D16" i="13" s="1"/>
  <c r="D14" i="1" s="1"/>
  <c r="K15" i="26"/>
  <c r="D17" i="13" s="1"/>
  <c r="D15" i="1" s="1"/>
  <c r="K16" i="26"/>
  <c r="D18" i="13" s="1"/>
  <c r="D16" i="1" s="1"/>
  <c r="K17" i="26"/>
  <c r="D19" i="13" s="1"/>
  <c r="D17" i="1" s="1"/>
  <c r="K18" i="26"/>
  <c r="D20" i="13" s="1"/>
  <c r="D18" i="1" s="1"/>
  <c r="K19" i="26"/>
  <c r="D21" i="13" s="1"/>
  <c r="D19" i="1" s="1"/>
  <c r="K20" i="26"/>
  <c r="D22" i="13"/>
  <c r="D20" i="1" s="1"/>
  <c r="K21" i="26"/>
  <c r="D23" i="13" s="1"/>
  <c r="D21" i="1" s="1"/>
  <c r="K22" i="26"/>
  <c r="D24" i="13" s="1"/>
  <c r="D22" i="1" s="1"/>
  <c r="K23" i="26"/>
  <c r="D25" i="13"/>
  <c r="D23" i="1" s="1"/>
  <c r="K24" i="26"/>
  <c r="D26" i="13" s="1"/>
  <c r="D24" i="1" s="1"/>
  <c r="AR26" i="26"/>
  <c r="AS26" i="26"/>
  <c r="AT26" i="26"/>
  <c r="AU26" i="26"/>
  <c r="AR5" i="27"/>
  <c r="AS5" i="27"/>
  <c r="AT5" i="27"/>
  <c r="AU5" i="27"/>
  <c r="K6" i="27"/>
  <c r="E8" i="13"/>
  <c r="E6" i="1" s="1"/>
  <c r="K7" i="27"/>
  <c r="E9" i="13" s="1"/>
  <c r="E7" i="1" s="1"/>
  <c r="K8" i="27"/>
  <c r="E10" i="13" s="1"/>
  <c r="E8" i="1" s="1"/>
  <c r="K9" i="27"/>
  <c r="E11" i="13" s="1"/>
  <c r="E9" i="1" s="1"/>
  <c r="K10" i="27"/>
  <c r="E12" i="13" s="1"/>
  <c r="E10" i="1" s="1"/>
  <c r="K12" i="27"/>
  <c r="E14" i="13" s="1"/>
  <c r="E12" i="1" s="1"/>
  <c r="K13" i="27"/>
  <c r="E15" i="13"/>
  <c r="E13" i="1" s="1"/>
  <c r="K14" i="27"/>
  <c r="E16" i="13" s="1"/>
  <c r="E14" i="1" s="1"/>
  <c r="K15" i="27"/>
  <c r="E17" i="13" s="1"/>
  <c r="E15" i="1" s="1"/>
  <c r="K16" i="27"/>
  <c r="E18" i="13" s="1"/>
  <c r="E16" i="1" s="1"/>
  <c r="K17" i="27"/>
  <c r="E19" i="13" s="1"/>
  <c r="E17" i="1" s="1"/>
  <c r="K18" i="27"/>
  <c r="E20" i="13"/>
  <c r="E18" i="1"/>
  <c r="K19" i="27"/>
  <c r="E21" i="13"/>
  <c r="E19" i="1" s="1"/>
  <c r="K20" i="27"/>
  <c r="E22" i="13" s="1"/>
  <c r="E20" i="1" s="1"/>
  <c r="K21" i="27"/>
  <c r="E23" i="13" s="1"/>
  <c r="E21" i="1" s="1"/>
  <c r="K22" i="27"/>
  <c r="E24" i="13"/>
  <c r="E22" i="1" s="1"/>
  <c r="K23" i="27"/>
  <c r="E25" i="13" s="1"/>
  <c r="E23" i="1"/>
  <c r="K24" i="27"/>
  <c r="E26" i="13" s="1"/>
  <c r="E24" i="1" s="1"/>
  <c r="AR26" i="27"/>
  <c r="AS26" i="27"/>
  <c r="AT26" i="27"/>
  <c r="AU26" i="27"/>
  <c r="AR5" i="28"/>
  <c r="AS5" i="28"/>
  <c r="AT5" i="28"/>
  <c r="AU5" i="28"/>
  <c r="K6" i="28"/>
  <c r="F8" i="13" s="1"/>
  <c r="F6" i="1" s="1"/>
  <c r="K7" i="28"/>
  <c r="F9" i="13"/>
  <c r="F7" i="1" s="1"/>
  <c r="K8" i="28"/>
  <c r="F10" i="13"/>
  <c r="F8" i="1" s="1"/>
  <c r="K9" i="28"/>
  <c r="F11" i="13" s="1"/>
  <c r="F9" i="1" s="1"/>
  <c r="K10" i="28"/>
  <c r="F12" i="13"/>
  <c r="F10" i="1" s="1"/>
  <c r="K12" i="28"/>
  <c r="F14" i="13"/>
  <c r="F12" i="1" s="1"/>
  <c r="K13" i="28"/>
  <c r="F15" i="13" s="1"/>
  <c r="F13" i="1" s="1"/>
  <c r="K14" i="28"/>
  <c r="F16" i="13" s="1"/>
  <c r="F14" i="1" s="1"/>
  <c r="K15" i="28"/>
  <c r="F17" i="13" s="1"/>
  <c r="F15" i="1" s="1"/>
  <c r="K16" i="28"/>
  <c r="F18" i="13" s="1"/>
  <c r="F16" i="1" s="1"/>
  <c r="K17" i="28"/>
  <c r="F19" i="13"/>
  <c r="F17" i="1" s="1"/>
  <c r="K18" i="28"/>
  <c r="F20" i="13" s="1"/>
  <c r="F18" i="1" s="1"/>
  <c r="K19" i="28"/>
  <c r="F21" i="13" s="1"/>
  <c r="F19" i="1" s="1"/>
  <c r="K20" i="28"/>
  <c r="F22" i="13" s="1"/>
  <c r="F20" i="1" s="1"/>
  <c r="K21" i="28"/>
  <c r="F23" i="13"/>
  <c r="F21" i="1" s="1"/>
  <c r="K22" i="28"/>
  <c r="F24" i="13" s="1"/>
  <c r="F22" i="1" s="1"/>
  <c r="K23" i="28"/>
  <c r="F25" i="13" s="1"/>
  <c r="F23" i="1" s="1"/>
  <c r="K24" i="28"/>
  <c r="F26" i="13" s="1"/>
  <c r="F24" i="1" s="1"/>
  <c r="AR26" i="28"/>
  <c r="AS26" i="28"/>
  <c r="AT26" i="28"/>
  <c r="K26" i="28"/>
  <c r="F28" i="13" s="1"/>
  <c r="AU26" i="28"/>
  <c r="AR5" i="29"/>
  <c r="AS5" i="29"/>
  <c r="AT5" i="29"/>
  <c r="AU5" i="29"/>
  <c r="K6" i="29"/>
  <c r="G8" i="13" s="1"/>
  <c r="G6" i="1" s="1"/>
  <c r="K7" i="29"/>
  <c r="G9" i="13"/>
  <c r="G7" i="1" s="1"/>
  <c r="K8" i="29"/>
  <c r="G10" i="13"/>
  <c r="G8" i="1" s="1"/>
  <c r="K9" i="29"/>
  <c r="G11" i="13" s="1"/>
  <c r="G9" i="1" s="1"/>
  <c r="K10" i="29"/>
  <c r="G12" i="13" s="1"/>
  <c r="G10" i="1" s="1"/>
  <c r="K12" i="29"/>
  <c r="G14" i="13"/>
  <c r="G12" i="1" s="1"/>
  <c r="K13" i="29"/>
  <c r="G15" i="13" s="1"/>
  <c r="G13" i="1" s="1"/>
  <c r="K14" i="29"/>
  <c r="G16" i="13" s="1"/>
  <c r="G14" i="1" s="1"/>
  <c r="K15" i="29"/>
  <c r="G17" i="13" s="1"/>
  <c r="G15" i="1" s="1"/>
  <c r="K16" i="29"/>
  <c r="G18" i="13" s="1"/>
  <c r="G16" i="1" s="1"/>
  <c r="K17" i="29"/>
  <c r="G19" i="13" s="1"/>
  <c r="G17" i="1" s="1"/>
  <c r="K18" i="29"/>
  <c r="G20" i="13" s="1"/>
  <c r="G18" i="1" s="1"/>
  <c r="K19" i="29"/>
  <c r="G21" i="13" s="1"/>
  <c r="G19" i="1" s="1"/>
  <c r="K20" i="29"/>
  <c r="G22" i="13" s="1"/>
  <c r="G20" i="1" s="1"/>
  <c r="K21" i="29"/>
  <c r="G23" i="13"/>
  <c r="G21" i="1"/>
  <c r="K22" i="29"/>
  <c r="G24" i="13" s="1"/>
  <c r="G22" i="1" s="1"/>
  <c r="K23" i="29"/>
  <c r="G25" i="13" s="1"/>
  <c r="G23" i="1" s="1"/>
  <c r="K24" i="29"/>
  <c r="G26" i="13"/>
  <c r="G24" i="1"/>
  <c r="AR26" i="29"/>
  <c r="AS26" i="29"/>
  <c r="AT26" i="29"/>
  <c r="AU26" i="29"/>
  <c r="AR5" i="30"/>
  <c r="AS5" i="30"/>
  <c r="AT5" i="30"/>
  <c r="AU5" i="30"/>
  <c r="K6" i="30"/>
  <c r="H8" i="13" s="1"/>
  <c r="H6" i="1" s="1"/>
  <c r="K7" i="30"/>
  <c r="H9" i="13" s="1"/>
  <c r="H7" i="1" s="1"/>
  <c r="K8" i="30"/>
  <c r="H10" i="13" s="1"/>
  <c r="H8" i="1" s="1"/>
  <c r="K9" i="30"/>
  <c r="H11" i="13" s="1"/>
  <c r="H9" i="1" s="1"/>
  <c r="K10" i="30"/>
  <c r="H12" i="13"/>
  <c r="H10" i="1"/>
  <c r="K12" i="30"/>
  <c r="H14" i="13" s="1"/>
  <c r="H12" i="1" s="1"/>
  <c r="K13" i="30"/>
  <c r="H15" i="13" s="1"/>
  <c r="H13" i="1" s="1"/>
  <c r="K14" i="30"/>
  <c r="H16" i="13"/>
  <c r="H14" i="1"/>
  <c r="K15" i="30"/>
  <c r="H17" i="13" s="1"/>
  <c r="H15" i="1" s="1"/>
  <c r="K16" i="30"/>
  <c r="H18" i="13" s="1"/>
  <c r="H16" i="1" s="1"/>
  <c r="K17" i="30"/>
  <c r="H19" i="13"/>
  <c r="H17" i="1" s="1"/>
  <c r="K18" i="30"/>
  <c r="H20" i="13" s="1"/>
  <c r="H18" i="1" s="1"/>
  <c r="K19" i="30"/>
  <c r="H21" i="13" s="1"/>
  <c r="H19" i="1" s="1"/>
  <c r="K20" i="30"/>
  <c r="H22" i="13" s="1"/>
  <c r="H20" i="1" s="1"/>
  <c r="K21" i="30"/>
  <c r="H23" i="13" s="1"/>
  <c r="H21" i="1" s="1"/>
  <c r="K22" i="30"/>
  <c r="H24" i="13"/>
  <c r="H22" i="1" s="1"/>
  <c r="K23" i="30"/>
  <c r="H25" i="13" s="1"/>
  <c r="H23" i="1" s="1"/>
  <c r="K24" i="30"/>
  <c r="H26" i="13" s="1"/>
  <c r="H24" i="1" s="1"/>
  <c r="AR26" i="30"/>
  <c r="AS26" i="30"/>
  <c r="AT26" i="30"/>
  <c r="AU26" i="30"/>
  <c r="AR5" i="31"/>
  <c r="AS5" i="31"/>
  <c r="AT5" i="31"/>
  <c r="AU5" i="31"/>
  <c r="K6" i="31"/>
  <c r="I8" i="13" s="1"/>
  <c r="I6" i="1" s="1"/>
  <c r="K7" i="31"/>
  <c r="I9" i="13" s="1"/>
  <c r="I7" i="1" s="1"/>
  <c r="K8" i="31"/>
  <c r="I10" i="13"/>
  <c r="I8" i="1" s="1"/>
  <c r="K9" i="31"/>
  <c r="I11" i="13" s="1"/>
  <c r="I9" i="1" s="1"/>
  <c r="K10" i="31"/>
  <c r="I12" i="13" s="1"/>
  <c r="I10" i="1" s="1"/>
  <c r="K12" i="31"/>
  <c r="I14" i="13"/>
  <c r="I12" i="1"/>
  <c r="K13" i="31"/>
  <c r="I15" i="13" s="1"/>
  <c r="I13" i="1" s="1"/>
  <c r="K14" i="31"/>
  <c r="I16" i="13" s="1"/>
  <c r="I14" i="1" s="1"/>
  <c r="K15" i="31"/>
  <c r="I17" i="13"/>
  <c r="I15" i="1" s="1"/>
  <c r="K16" i="31"/>
  <c r="I18" i="13" s="1"/>
  <c r="I16" i="1" s="1"/>
  <c r="K17" i="31"/>
  <c r="I19" i="13" s="1"/>
  <c r="I17" i="1" s="1"/>
  <c r="K18" i="31"/>
  <c r="I20" i="13" s="1"/>
  <c r="I18" i="1" s="1"/>
  <c r="K19" i="31"/>
  <c r="I21" i="13" s="1"/>
  <c r="I19" i="1" s="1"/>
  <c r="K20" i="31"/>
  <c r="I22" i="13"/>
  <c r="I20" i="1" s="1"/>
  <c r="K21" i="31"/>
  <c r="I23" i="13"/>
  <c r="I21" i="1" s="1"/>
  <c r="K22" i="31"/>
  <c r="I24" i="13" s="1"/>
  <c r="I22" i="1" s="1"/>
  <c r="K23" i="31"/>
  <c r="I25" i="13" s="1"/>
  <c r="I23" i="1" s="1"/>
  <c r="K24" i="31"/>
  <c r="I26" i="13"/>
  <c r="I24" i="1" s="1"/>
  <c r="AR26" i="31"/>
  <c r="AS26" i="31"/>
  <c r="K26" i="31"/>
  <c r="I28" i="13" s="1"/>
  <c r="AT26" i="31"/>
  <c r="AU26" i="31"/>
  <c r="AR5" i="32"/>
  <c r="AS5" i="32"/>
  <c r="AT5" i="32"/>
  <c r="AU5" i="32"/>
  <c r="K6" i="32"/>
  <c r="J8" i="13" s="1"/>
  <c r="J6" i="1" s="1"/>
  <c r="K7" i="32"/>
  <c r="J9" i="13"/>
  <c r="J7" i="1" s="1"/>
  <c r="K8" i="32"/>
  <c r="J10" i="13"/>
  <c r="J8" i="1" s="1"/>
  <c r="K9" i="32"/>
  <c r="J11" i="13" s="1"/>
  <c r="J9" i="1" s="1"/>
  <c r="K12" i="32"/>
  <c r="J14" i="13" s="1"/>
  <c r="J12" i="1" s="1"/>
  <c r="K13" i="32"/>
  <c r="J15" i="13"/>
  <c r="J13" i="1" s="1"/>
  <c r="K15" i="32"/>
  <c r="J17" i="13"/>
  <c r="J15" i="1"/>
  <c r="K17" i="32"/>
  <c r="J19" i="13" s="1"/>
  <c r="J17" i="1" s="1"/>
  <c r="K18" i="32"/>
  <c r="J20" i="13" s="1"/>
  <c r="J18" i="1" s="1"/>
  <c r="K19" i="32"/>
  <c r="J21" i="13" s="1"/>
  <c r="J19" i="1" s="1"/>
  <c r="K20" i="32"/>
  <c r="J22" i="13" s="1"/>
  <c r="J20" i="1" s="1"/>
  <c r="K21" i="32"/>
  <c r="J23" i="13" s="1"/>
  <c r="J21" i="1" s="1"/>
  <c r="K22" i="32"/>
  <c r="J24" i="13"/>
  <c r="J22" i="1" s="1"/>
  <c r="K23" i="32"/>
  <c r="J25" i="13" s="1"/>
  <c r="J23" i="1" s="1"/>
  <c r="K24" i="32"/>
  <c r="J26" i="13"/>
  <c r="J24" i="1" s="1"/>
  <c r="AR26" i="32"/>
  <c r="AS26" i="32"/>
  <c r="AT26" i="32"/>
  <c r="AU26" i="32"/>
  <c r="AR5" i="33"/>
  <c r="AS5" i="33"/>
  <c r="AT5" i="33"/>
  <c r="AU5" i="33"/>
  <c r="K6" i="33"/>
  <c r="K8" i="13" s="1"/>
  <c r="K6" i="1" s="1"/>
  <c r="K7" i="33"/>
  <c r="K9" i="13" s="1"/>
  <c r="K7" i="1" s="1"/>
  <c r="K8" i="33"/>
  <c r="K10" i="13" s="1"/>
  <c r="K8" i="1" s="1"/>
  <c r="K9" i="33"/>
  <c r="K11" i="13" s="1"/>
  <c r="K9" i="1" s="1"/>
  <c r="K10" i="33"/>
  <c r="K12" i="13" s="1"/>
  <c r="K10" i="1" s="1"/>
  <c r="K12" i="33"/>
  <c r="K14" i="13"/>
  <c r="K12" i="1" s="1"/>
  <c r="K13" i="33"/>
  <c r="K15" i="13" s="1"/>
  <c r="K13" i="1" s="1"/>
  <c r="K14" i="33"/>
  <c r="K16" i="13"/>
  <c r="K14" i="1" s="1"/>
  <c r="K15" i="33"/>
  <c r="K17" i="13" s="1"/>
  <c r="K15" i="1" s="1"/>
  <c r="K16" i="33"/>
  <c r="K18" i="13" s="1"/>
  <c r="K16" i="1" s="1"/>
  <c r="K17" i="33"/>
  <c r="K19" i="13" s="1"/>
  <c r="K17" i="1" s="1"/>
  <c r="K18" i="33"/>
  <c r="K20" i="13"/>
  <c r="K18" i="1"/>
  <c r="K19" i="33"/>
  <c r="K21" i="13" s="1"/>
  <c r="K19" i="1" s="1"/>
  <c r="K20" i="33"/>
  <c r="K22" i="13"/>
  <c r="K20" i="1" s="1"/>
  <c r="K21" i="33"/>
  <c r="K23" i="13"/>
  <c r="K21" i="1" s="1"/>
  <c r="K22" i="33"/>
  <c r="K24" i="13" s="1"/>
  <c r="K22" i="1" s="1"/>
  <c r="K23" i="33"/>
  <c r="K25" i="13" s="1"/>
  <c r="K23" i="1" s="1"/>
  <c r="K24" i="33"/>
  <c r="K26" i="13" s="1"/>
  <c r="K24" i="1" s="1"/>
  <c r="AR26" i="33"/>
  <c r="AS26" i="33"/>
  <c r="AT26" i="33"/>
  <c r="AU26" i="33"/>
  <c r="AR5" i="34"/>
  <c r="AS5" i="34"/>
  <c r="AT5" i="34"/>
  <c r="AU5" i="34"/>
  <c r="K6" i="34"/>
  <c r="L8" i="13" s="1"/>
  <c r="B6" i="5" s="1"/>
  <c r="K7" i="34"/>
  <c r="L9" i="13" s="1"/>
  <c r="B7" i="5" s="1"/>
  <c r="K8" i="34"/>
  <c r="L10" i="13" s="1"/>
  <c r="B8" i="5" s="1"/>
  <c r="K9" i="34"/>
  <c r="L11" i="13" s="1"/>
  <c r="B9" i="5" s="1"/>
  <c r="K10" i="34"/>
  <c r="L12" i="13" s="1"/>
  <c r="B10" i="5" s="1"/>
  <c r="K12" i="34"/>
  <c r="L14" i="13"/>
  <c r="B12" i="5" s="1"/>
  <c r="K13" i="34"/>
  <c r="L15" i="13" s="1"/>
  <c r="B13" i="5" s="1"/>
  <c r="K14" i="34"/>
  <c r="L16" i="13"/>
  <c r="B14" i="5" s="1"/>
  <c r="K15" i="34"/>
  <c r="L17" i="13" s="1"/>
  <c r="B15" i="5" s="1"/>
  <c r="K16" i="34"/>
  <c r="L18" i="13" s="1"/>
  <c r="B16" i="5" s="1"/>
  <c r="K17" i="34"/>
  <c r="L19" i="13" s="1"/>
  <c r="B17" i="5" s="1"/>
  <c r="K18" i="34"/>
  <c r="L20" i="13"/>
  <c r="B18" i="5"/>
  <c r="K19" i="34"/>
  <c r="L21" i="13" s="1"/>
  <c r="B19" i="5" s="1"/>
  <c r="K20" i="34"/>
  <c r="L22" i="13"/>
  <c r="B20" i="5" s="1"/>
  <c r="K21" i="34"/>
  <c r="L23" i="13"/>
  <c r="B21" i="5" s="1"/>
  <c r="K22" i="34"/>
  <c r="L24" i="13" s="1"/>
  <c r="B22" i="5" s="1"/>
  <c r="K23" i="34"/>
  <c r="L25" i="13" s="1"/>
  <c r="B23" i="5" s="1"/>
  <c r="K24" i="34"/>
  <c r="L26" i="13" s="1"/>
  <c r="B24" i="5" s="1"/>
  <c r="AR26" i="34"/>
  <c r="AS26" i="34"/>
  <c r="AT26" i="34"/>
  <c r="AU26" i="34"/>
  <c r="AR5" i="35"/>
  <c r="AS5" i="35"/>
  <c r="AT5" i="35"/>
  <c r="AU5" i="35"/>
  <c r="K6" i="35"/>
  <c r="M8" i="13" s="1"/>
  <c r="C6" i="5" s="1"/>
  <c r="K7" i="35"/>
  <c r="M9" i="13"/>
  <c r="C7" i="5"/>
  <c r="K8" i="35"/>
  <c r="M10" i="13" s="1"/>
  <c r="C8" i="5" s="1"/>
  <c r="K9" i="35"/>
  <c r="M11" i="13"/>
  <c r="C9" i="5" s="1"/>
  <c r="K10" i="35"/>
  <c r="M12" i="13"/>
  <c r="C10" i="5" s="1"/>
  <c r="K12" i="35"/>
  <c r="M14" i="13" s="1"/>
  <c r="C12" i="5" s="1"/>
  <c r="K13" i="35"/>
  <c r="M15" i="13" s="1"/>
  <c r="C13" i="5" s="1"/>
  <c r="K14" i="35"/>
  <c r="M16" i="13" s="1"/>
  <c r="C14" i="5" s="1"/>
  <c r="K15" i="35"/>
  <c r="M17" i="13"/>
  <c r="C15" i="5" s="1"/>
  <c r="K16" i="35"/>
  <c r="M18" i="13"/>
  <c r="C16" i="5" s="1"/>
  <c r="K17" i="35"/>
  <c r="M19" i="13" s="1"/>
  <c r="C17" i="5" s="1"/>
  <c r="K18" i="35"/>
  <c r="M20" i="13" s="1"/>
  <c r="C18" i="5" s="1"/>
  <c r="K19" i="35"/>
  <c r="M21" i="13"/>
  <c r="C19" i="5" s="1"/>
  <c r="K20" i="35"/>
  <c r="M22" i="13"/>
  <c r="C20" i="5"/>
  <c r="K21" i="35"/>
  <c r="M23" i="13" s="1"/>
  <c r="C21" i="5" s="1"/>
  <c r="K22" i="35"/>
  <c r="M24" i="13" s="1"/>
  <c r="C22" i="5" s="1"/>
  <c r="K23" i="35"/>
  <c r="M25" i="13" s="1"/>
  <c r="C23" i="5" s="1"/>
  <c r="K24" i="35"/>
  <c r="M26" i="13" s="1"/>
  <c r="C24" i="5" s="1"/>
  <c r="AR26" i="35"/>
  <c r="AS26" i="35"/>
  <c r="AT26" i="35"/>
  <c r="AU26" i="35"/>
  <c r="AR5" i="36"/>
  <c r="AS5" i="36"/>
  <c r="AT5" i="36"/>
  <c r="AU5" i="36"/>
  <c r="K6" i="36"/>
  <c r="N8" i="13" s="1"/>
  <c r="D6" i="5" s="1"/>
  <c r="K7" i="36"/>
  <c r="N9" i="13" s="1"/>
  <c r="D7" i="5" s="1"/>
  <c r="K8" i="36"/>
  <c r="N10" i="13"/>
  <c r="D8" i="5" s="1"/>
  <c r="K9" i="36"/>
  <c r="N11" i="13"/>
  <c r="D9" i="5"/>
  <c r="K10" i="36"/>
  <c r="N12" i="13" s="1"/>
  <c r="D10" i="5" s="1"/>
  <c r="K13" i="36"/>
  <c r="N15" i="13" s="1"/>
  <c r="D13" i="5" s="1"/>
  <c r="K14" i="36"/>
  <c r="N16" i="13" s="1"/>
  <c r="D14" i="5" s="1"/>
  <c r="K15" i="36"/>
  <c r="N17" i="13" s="1"/>
  <c r="D15" i="5" s="1"/>
  <c r="K16" i="36"/>
  <c r="N18" i="13" s="1"/>
  <c r="D16" i="5" s="1"/>
  <c r="K17" i="36"/>
  <c r="N19" i="13"/>
  <c r="D17" i="5" s="1"/>
  <c r="K18" i="36"/>
  <c r="N20" i="13" s="1"/>
  <c r="D18" i="5" s="1"/>
  <c r="K19" i="36"/>
  <c r="N21" i="13"/>
  <c r="D19" i="5" s="1"/>
  <c r="K20" i="36"/>
  <c r="N22" i="13" s="1"/>
  <c r="D20" i="5" s="1"/>
  <c r="K23" i="36"/>
  <c r="N25" i="13" s="1"/>
  <c r="D23" i="5" s="1"/>
  <c r="K24" i="36"/>
  <c r="N26" i="13" s="1"/>
  <c r="D24" i="5" s="1"/>
  <c r="AR26" i="36"/>
  <c r="AS26" i="36"/>
  <c r="AT26" i="36"/>
  <c r="AU26" i="36"/>
  <c r="AR5" i="37"/>
  <c r="AS5" i="37"/>
  <c r="AT5" i="37"/>
  <c r="AU5" i="37"/>
  <c r="K6" i="37"/>
  <c r="O8" i="13" s="1"/>
  <c r="E6" i="5" s="1"/>
  <c r="K7" i="37"/>
  <c r="O9" i="13" s="1"/>
  <c r="E7" i="5" s="1"/>
  <c r="K8" i="37"/>
  <c r="O10" i="13"/>
  <c r="E8" i="5" s="1"/>
  <c r="K9" i="37"/>
  <c r="O11" i="13" s="1"/>
  <c r="E9" i="5" s="1"/>
  <c r="K10" i="37"/>
  <c r="O12" i="13"/>
  <c r="E10" i="5" s="1"/>
  <c r="K12" i="37"/>
  <c r="O14" i="13" s="1"/>
  <c r="E12" i="5" s="1"/>
  <c r="K13" i="37"/>
  <c r="O15" i="13" s="1"/>
  <c r="E13" i="5" s="1"/>
  <c r="K14" i="37"/>
  <c r="O16" i="13" s="1"/>
  <c r="E14" i="5" s="1"/>
  <c r="K15" i="37"/>
  <c r="O17" i="13"/>
  <c r="E15" i="5"/>
  <c r="K16" i="37"/>
  <c r="O18" i="13" s="1"/>
  <c r="E16" i="5" s="1"/>
  <c r="K17" i="37"/>
  <c r="O19" i="13"/>
  <c r="E17" i="5" s="1"/>
  <c r="K18" i="37"/>
  <c r="O20" i="13"/>
  <c r="E18" i="5" s="1"/>
  <c r="K19" i="37"/>
  <c r="O21" i="13" s="1"/>
  <c r="E19" i="5" s="1"/>
  <c r="K20" i="37"/>
  <c r="O22" i="13" s="1"/>
  <c r="E20" i="5" s="1"/>
  <c r="K21" i="37"/>
  <c r="O23" i="13" s="1"/>
  <c r="E21" i="5" s="1"/>
  <c r="K22" i="37"/>
  <c r="O24" i="13"/>
  <c r="E22" i="5" s="1"/>
  <c r="K23" i="37"/>
  <c r="O25" i="13"/>
  <c r="E23" i="5" s="1"/>
  <c r="K24" i="37"/>
  <c r="O26" i="13" s="1"/>
  <c r="E24" i="5" s="1"/>
  <c r="AR26" i="37"/>
  <c r="AS26" i="37"/>
  <c r="AT26" i="37"/>
  <c r="AU26" i="37"/>
  <c r="AR5" i="38"/>
  <c r="AS5" i="38"/>
  <c r="AT5" i="38"/>
  <c r="AU5" i="38"/>
  <c r="K6" i="38"/>
  <c r="P8" i="13"/>
  <c r="F6" i="5" s="1"/>
  <c r="K7" i="38"/>
  <c r="P9" i="13"/>
  <c r="F7" i="5"/>
  <c r="K8" i="38"/>
  <c r="P10" i="13" s="1"/>
  <c r="F8" i="5" s="1"/>
  <c r="K9" i="38"/>
  <c r="P11" i="13" s="1"/>
  <c r="F9" i="5" s="1"/>
  <c r="K10" i="38"/>
  <c r="P12" i="13"/>
  <c r="F10" i="5" s="1"/>
  <c r="K12" i="38"/>
  <c r="P14" i="13" s="1"/>
  <c r="F12" i="5" s="1"/>
  <c r="K13" i="38"/>
  <c r="P15" i="13" s="1"/>
  <c r="F13" i="5"/>
  <c r="K14" i="38"/>
  <c r="P16" i="13" s="1"/>
  <c r="F14" i="5" s="1"/>
  <c r="K15" i="38"/>
  <c r="P17" i="13"/>
  <c r="F15" i="5" s="1"/>
  <c r="K16" i="38"/>
  <c r="P18" i="13"/>
  <c r="F16" i="5"/>
  <c r="K17" i="38"/>
  <c r="P19" i="13" s="1"/>
  <c r="F17" i="5" s="1"/>
  <c r="K18" i="38"/>
  <c r="P20" i="13" s="1"/>
  <c r="F18" i="5" s="1"/>
  <c r="K19" i="38"/>
  <c r="P21" i="13"/>
  <c r="F19" i="5" s="1"/>
  <c r="K20" i="38"/>
  <c r="P22" i="13" s="1"/>
  <c r="F20" i="5" s="1"/>
  <c r="K21" i="38"/>
  <c r="P23" i="13" s="1"/>
  <c r="F21" i="5"/>
  <c r="K22" i="38"/>
  <c r="P24" i="13" s="1"/>
  <c r="F22" i="5" s="1"/>
  <c r="K23" i="38"/>
  <c r="P25" i="13"/>
  <c r="F23" i="5" s="1"/>
  <c r="K24" i="38"/>
  <c r="P26" i="13"/>
  <c r="F24" i="5"/>
  <c r="AR26" i="38"/>
  <c r="AS26" i="38"/>
  <c r="AT26" i="38"/>
  <c r="K26" i="38" s="1"/>
  <c r="P28" i="13" s="1"/>
  <c r="AU26" i="38"/>
  <c r="AR5" i="39"/>
  <c r="AS5" i="39"/>
  <c r="AT5" i="39"/>
  <c r="AU5" i="39"/>
  <c r="K6" i="39"/>
  <c r="Q8" i="13" s="1"/>
  <c r="G6" i="5" s="1"/>
  <c r="K7" i="39"/>
  <c r="Q9" i="13"/>
  <c r="G7" i="5" s="1"/>
  <c r="K8" i="39"/>
  <c r="Q10" i="13" s="1"/>
  <c r="G8" i="5" s="1"/>
  <c r="K9" i="39"/>
  <c r="Q11" i="13" s="1"/>
  <c r="G9" i="5" s="1"/>
  <c r="K10" i="39"/>
  <c r="Q12" i="13" s="1"/>
  <c r="G10" i="5" s="1"/>
  <c r="K12" i="39"/>
  <c r="Q14" i="13" s="1"/>
  <c r="G12" i="5" s="1"/>
  <c r="K13" i="39"/>
  <c r="Q15" i="13" s="1"/>
  <c r="G13" i="5" s="1"/>
  <c r="K14" i="39"/>
  <c r="Q16" i="13" s="1"/>
  <c r="G14" i="5" s="1"/>
  <c r="K15" i="39"/>
  <c r="Q17" i="13" s="1"/>
  <c r="G15" i="5" s="1"/>
  <c r="K16" i="39"/>
  <c r="Q18" i="13"/>
  <c r="G16" i="5" s="1"/>
  <c r="K17" i="39"/>
  <c r="Q19" i="13" s="1"/>
  <c r="G17" i="5" s="1"/>
  <c r="K18" i="39"/>
  <c r="Q20" i="13" s="1"/>
  <c r="G18" i="5" s="1"/>
  <c r="K19" i="39"/>
  <c r="Q21" i="13" s="1"/>
  <c r="G19" i="5" s="1"/>
  <c r="K20" i="39"/>
  <c r="Q22" i="13" s="1"/>
  <c r="G20" i="5" s="1"/>
  <c r="K21" i="39"/>
  <c r="Q23" i="13" s="1"/>
  <c r="G21" i="5" s="1"/>
  <c r="K22" i="39"/>
  <c r="Q24" i="13" s="1"/>
  <c r="G22" i="5" s="1"/>
  <c r="K23" i="39"/>
  <c r="Q25" i="13" s="1"/>
  <c r="G23" i="5" s="1"/>
  <c r="K24" i="39"/>
  <c r="Q26" i="13" s="1"/>
  <c r="G24" i="5" s="1"/>
  <c r="AR26" i="39"/>
  <c r="AS26" i="39"/>
  <c r="AT26" i="39"/>
  <c r="AU26" i="39"/>
  <c r="AR5" i="40"/>
  <c r="AS5" i="40"/>
  <c r="AT5" i="40"/>
  <c r="AU5" i="40"/>
  <c r="K13" i="40"/>
  <c r="R15" i="13" s="1"/>
  <c r="H13" i="5" s="1"/>
  <c r="K17" i="40"/>
  <c r="R19" i="13" s="1"/>
  <c r="H17" i="5" s="1"/>
  <c r="K21" i="40"/>
  <c r="R23" i="13" s="1"/>
  <c r="H21" i="5" s="1"/>
  <c r="AR26" i="40"/>
  <c r="AS26" i="40"/>
  <c r="AT26" i="40"/>
  <c r="AU26" i="40"/>
  <c r="AR5" i="41"/>
  <c r="AS5" i="41"/>
  <c r="AT5" i="41"/>
  <c r="AU5" i="41"/>
  <c r="K6" i="41"/>
  <c r="S8" i="13" s="1"/>
  <c r="I6" i="5" s="1"/>
  <c r="K7" i="41"/>
  <c r="S9" i="13" s="1"/>
  <c r="I7" i="5" s="1"/>
  <c r="K8" i="41"/>
  <c r="S10" i="13" s="1"/>
  <c r="I8" i="5" s="1"/>
  <c r="K9" i="41"/>
  <c r="S11" i="13" s="1"/>
  <c r="I9" i="5" s="1"/>
  <c r="K10" i="41"/>
  <c r="S12" i="13"/>
  <c r="I10" i="5" s="1"/>
  <c r="K12" i="41"/>
  <c r="S14" i="13" s="1"/>
  <c r="I12" i="5" s="1"/>
  <c r="K13" i="41"/>
  <c r="S15" i="13" s="1"/>
  <c r="I13" i="5" s="1"/>
  <c r="K14" i="41"/>
  <c r="S16" i="13" s="1"/>
  <c r="I14" i="5" s="1"/>
  <c r="K15" i="41"/>
  <c r="S17" i="13" s="1"/>
  <c r="I15" i="5" s="1"/>
  <c r="K16" i="41"/>
  <c r="S18" i="13" s="1"/>
  <c r="I16" i="5" s="1"/>
  <c r="K17" i="41"/>
  <c r="S19" i="13" s="1"/>
  <c r="I17" i="5" s="1"/>
  <c r="K18" i="41"/>
  <c r="S20" i="13" s="1"/>
  <c r="I18" i="5" s="1"/>
  <c r="K19" i="41"/>
  <c r="S21" i="13" s="1"/>
  <c r="I19" i="5" s="1"/>
  <c r="K20" i="41"/>
  <c r="S22" i="13" s="1"/>
  <c r="I20" i="5" s="1"/>
  <c r="K21" i="41"/>
  <c r="S23" i="13" s="1"/>
  <c r="I21" i="5" s="1"/>
  <c r="K22" i="41"/>
  <c r="S24" i="13" s="1"/>
  <c r="I22" i="5" s="1"/>
  <c r="K23" i="41"/>
  <c r="S25" i="13"/>
  <c r="I23" i="5" s="1"/>
  <c r="K24" i="41"/>
  <c r="S26" i="13" s="1"/>
  <c r="I24" i="5" s="1"/>
  <c r="AR26" i="41"/>
  <c r="AS26" i="41"/>
  <c r="AT26" i="41"/>
  <c r="AU26" i="41"/>
  <c r="AR5" i="42"/>
  <c r="AS5" i="42"/>
  <c r="AT5" i="42"/>
  <c r="AU5" i="42"/>
  <c r="K6" i="42"/>
  <c r="T8" i="13"/>
  <c r="J6" i="5" s="1"/>
  <c r="K7" i="42"/>
  <c r="T9" i="13" s="1"/>
  <c r="J7" i="5" s="1"/>
  <c r="K8" i="42"/>
  <c r="T10" i="13" s="1"/>
  <c r="J8" i="5" s="1"/>
  <c r="K9" i="42"/>
  <c r="T11" i="13" s="1"/>
  <c r="J9" i="5" s="1"/>
  <c r="K10" i="42"/>
  <c r="T12" i="13" s="1"/>
  <c r="J10" i="5" s="1"/>
  <c r="K12" i="42"/>
  <c r="T14" i="13" s="1"/>
  <c r="J12" i="5" s="1"/>
  <c r="K13" i="42"/>
  <c r="T15" i="13" s="1"/>
  <c r="J13" i="5" s="1"/>
  <c r="K14" i="42"/>
  <c r="T16" i="13" s="1"/>
  <c r="J14" i="5" s="1"/>
  <c r="K15" i="42"/>
  <c r="T17" i="13"/>
  <c r="J15" i="5" s="1"/>
  <c r="K16" i="42"/>
  <c r="T18" i="13" s="1"/>
  <c r="J16" i="5" s="1"/>
  <c r="K17" i="42"/>
  <c r="T19" i="13" s="1"/>
  <c r="J17" i="5" s="1"/>
  <c r="K18" i="42"/>
  <c r="T20" i="13" s="1"/>
  <c r="J18" i="5" s="1"/>
  <c r="K19" i="42"/>
  <c r="T21" i="13" s="1"/>
  <c r="J19" i="5" s="1"/>
  <c r="K20" i="42"/>
  <c r="T22" i="13" s="1"/>
  <c r="J20" i="5" s="1"/>
  <c r="K21" i="42"/>
  <c r="T23" i="13" s="1"/>
  <c r="J21" i="5" s="1"/>
  <c r="K22" i="42"/>
  <c r="T24" i="13" s="1"/>
  <c r="J22" i="5" s="1"/>
  <c r="K23" i="42"/>
  <c r="T25" i="13" s="1"/>
  <c r="J23" i="5" s="1"/>
  <c r="K24" i="42"/>
  <c r="T26" i="13" s="1"/>
  <c r="J24" i="5" s="1"/>
  <c r="AR26" i="42"/>
  <c r="K26" i="42" s="1"/>
  <c r="T28" i="13" s="1"/>
  <c r="AS26" i="42"/>
  <c r="AT26" i="42"/>
  <c r="AU26" i="42"/>
  <c r="AR5" i="43"/>
  <c r="AS5" i="43"/>
  <c r="AT5" i="43"/>
  <c r="AU5" i="43"/>
  <c r="K6" i="43"/>
  <c r="U8" i="13"/>
  <c r="K6" i="5" s="1"/>
  <c r="K7" i="43"/>
  <c r="U9" i="13" s="1"/>
  <c r="K7" i="5" s="1"/>
  <c r="K8" i="43"/>
  <c r="U10" i="13"/>
  <c r="K8" i="5" s="1"/>
  <c r="K9" i="43"/>
  <c r="U11" i="13" s="1"/>
  <c r="K9" i="5" s="1"/>
  <c r="K10" i="43"/>
  <c r="U12" i="13"/>
  <c r="K10" i="5" s="1"/>
  <c r="K12" i="43"/>
  <c r="U14" i="13" s="1"/>
  <c r="K12" i="5" s="1"/>
  <c r="K13" i="43"/>
  <c r="U15" i="13"/>
  <c r="K13" i="5" s="1"/>
  <c r="K14" i="43"/>
  <c r="U16" i="13" s="1"/>
  <c r="K14" i="5" s="1"/>
  <c r="K15" i="43"/>
  <c r="U17" i="13"/>
  <c r="K15" i="5" s="1"/>
  <c r="K16" i="43"/>
  <c r="U18" i="13" s="1"/>
  <c r="K16" i="5" s="1"/>
  <c r="K17" i="43"/>
  <c r="U19" i="13"/>
  <c r="K17" i="5" s="1"/>
  <c r="K18" i="43"/>
  <c r="U20" i="13" s="1"/>
  <c r="K18" i="5" s="1"/>
  <c r="K19" i="43"/>
  <c r="U21" i="13"/>
  <c r="K19" i="5" s="1"/>
  <c r="K20" i="43"/>
  <c r="U22" i="13" s="1"/>
  <c r="K20" i="5" s="1"/>
  <c r="K21" i="43"/>
  <c r="U23" i="13"/>
  <c r="K21" i="5" s="1"/>
  <c r="K22" i="43"/>
  <c r="U24" i="13" s="1"/>
  <c r="K22" i="5" s="1"/>
  <c r="K23" i="43"/>
  <c r="U25" i="13"/>
  <c r="K23" i="5" s="1"/>
  <c r="K24" i="43"/>
  <c r="U26" i="13" s="1"/>
  <c r="K24" i="5" s="1"/>
  <c r="AR26" i="43"/>
  <c r="AS26" i="43"/>
  <c r="AT26" i="43"/>
  <c r="AU26" i="43"/>
  <c r="AR5" i="44"/>
  <c r="AS5" i="44"/>
  <c r="AT5" i="44"/>
  <c r="AU5" i="44"/>
  <c r="K6" i="44"/>
  <c r="V8" i="13"/>
  <c r="B6" i="9" s="1"/>
  <c r="K7" i="44"/>
  <c r="V9" i="13" s="1"/>
  <c r="B7" i="9" s="1"/>
  <c r="K8" i="44"/>
  <c r="V10" i="13" s="1"/>
  <c r="B8" i="9" s="1"/>
  <c r="K9" i="44"/>
  <c r="V11" i="13" s="1"/>
  <c r="B9" i="9" s="1"/>
  <c r="K10" i="44"/>
  <c r="V12" i="13"/>
  <c r="B10" i="9" s="1"/>
  <c r="K12" i="44"/>
  <c r="V14" i="13" s="1"/>
  <c r="B12" i="9" s="1"/>
  <c r="K13" i="44"/>
  <c r="V15" i="13" s="1"/>
  <c r="B13" i="9" s="1"/>
  <c r="K14" i="44"/>
  <c r="V16" i="13" s="1"/>
  <c r="B14" i="9" s="1"/>
  <c r="K15" i="44"/>
  <c r="V17" i="13"/>
  <c r="B15" i="9" s="1"/>
  <c r="K16" i="44"/>
  <c r="V18" i="13" s="1"/>
  <c r="B16" i="9" s="1"/>
  <c r="K17" i="44"/>
  <c r="V19" i="13" s="1"/>
  <c r="B17" i="9" s="1"/>
  <c r="K18" i="44"/>
  <c r="V20" i="13" s="1"/>
  <c r="B18" i="9" s="1"/>
  <c r="K19" i="44"/>
  <c r="V21" i="13"/>
  <c r="B19" i="9" s="1"/>
  <c r="K20" i="44"/>
  <c r="V22" i="13" s="1"/>
  <c r="B20" i="9" s="1"/>
  <c r="K21" i="44"/>
  <c r="V23" i="13" s="1"/>
  <c r="B21" i="9" s="1"/>
  <c r="K22" i="44"/>
  <c r="V24" i="13" s="1"/>
  <c r="B22" i="9" s="1"/>
  <c r="K23" i="44"/>
  <c r="V25" i="13"/>
  <c r="B23" i="9" s="1"/>
  <c r="K24" i="44"/>
  <c r="V26" i="13" s="1"/>
  <c r="B24" i="9" s="1"/>
  <c r="AR26" i="44"/>
  <c r="AS26" i="44"/>
  <c r="AT26" i="44"/>
  <c r="AU26" i="44"/>
  <c r="AR5" i="45"/>
  <c r="AS5" i="45"/>
  <c r="AT5" i="45"/>
  <c r="AU5" i="45"/>
  <c r="K6" i="45"/>
  <c r="W8" i="13" s="1"/>
  <c r="C6" i="9" s="1"/>
  <c r="K7" i="45"/>
  <c r="W9" i="13" s="1"/>
  <c r="C7" i="9" s="1"/>
  <c r="K8" i="45"/>
  <c r="W10" i="13" s="1"/>
  <c r="C8" i="9" s="1"/>
  <c r="K9" i="45"/>
  <c r="W11" i="13" s="1"/>
  <c r="C9" i="9" s="1"/>
  <c r="K10" i="45"/>
  <c r="W12" i="13" s="1"/>
  <c r="C10" i="9" s="1"/>
  <c r="K12" i="45"/>
  <c r="W14" i="13" s="1"/>
  <c r="C12" i="9" s="1"/>
  <c r="K13" i="45"/>
  <c r="W15" i="13" s="1"/>
  <c r="C13" i="9" s="1"/>
  <c r="K14" i="45"/>
  <c r="W16" i="13" s="1"/>
  <c r="C14" i="9" s="1"/>
  <c r="K15" i="45"/>
  <c r="W17" i="13" s="1"/>
  <c r="C15" i="9" s="1"/>
  <c r="K16" i="45"/>
  <c r="W18" i="13" s="1"/>
  <c r="C16" i="9" s="1"/>
  <c r="K17" i="45"/>
  <c r="W19" i="13" s="1"/>
  <c r="C17" i="9" s="1"/>
  <c r="K18" i="45"/>
  <c r="W20" i="13" s="1"/>
  <c r="C18" i="9" s="1"/>
  <c r="K19" i="45"/>
  <c r="W21" i="13" s="1"/>
  <c r="C19" i="9" s="1"/>
  <c r="K20" i="45"/>
  <c r="W22" i="13" s="1"/>
  <c r="C20" i="9" s="1"/>
  <c r="K21" i="45"/>
  <c r="W23" i="13" s="1"/>
  <c r="C21" i="9" s="1"/>
  <c r="K22" i="45"/>
  <c r="W24" i="13" s="1"/>
  <c r="C22" i="9" s="1"/>
  <c r="K23" i="45"/>
  <c r="W25" i="13" s="1"/>
  <c r="C23" i="9" s="1"/>
  <c r="K24" i="45"/>
  <c r="W26" i="13" s="1"/>
  <c r="C24" i="9" s="1"/>
  <c r="AR26" i="45"/>
  <c r="AS26" i="45"/>
  <c r="AT26" i="45"/>
  <c r="AU26" i="45"/>
  <c r="AR5" i="46"/>
  <c r="AS5" i="46"/>
  <c r="AT5" i="46"/>
  <c r="AU5" i="46"/>
  <c r="K6" i="46"/>
  <c r="X8" i="13"/>
  <c r="D6" i="9" s="1"/>
  <c r="K7" i="46"/>
  <c r="X9" i="13" s="1"/>
  <c r="D7" i="9" s="1"/>
  <c r="K8" i="46"/>
  <c r="X10" i="13"/>
  <c r="D8" i="9" s="1"/>
  <c r="K9" i="46"/>
  <c r="X11" i="13" s="1"/>
  <c r="D9" i="9" s="1"/>
  <c r="K10" i="46"/>
  <c r="X12" i="13"/>
  <c r="D10" i="9" s="1"/>
  <c r="K12" i="46"/>
  <c r="X14" i="13" s="1"/>
  <c r="D12" i="9" s="1"/>
  <c r="K13" i="46"/>
  <c r="X15" i="13"/>
  <c r="D13" i="9" s="1"/>
  <c r="K14" i="46"/>
  <c r="X16" i="13" s="1"/>
  <c r="D14" i="9" s="1"/>
  <c r="K15" i="46"/>
  <c r="X17" i="13"/>
  <c r="D15" i="9" s="1"/>
  <c r="K16" i="46"/>
  <c r="X18" i="13" s="1"/>
  <c r="D16" i="9" s="1"/>
  <c r="K17" i="46"/>
  <c r="X19" i="13"/>
  <c r="D17" i="9" s="1"/>
  <c r="K18" i="46"/>
  <c r="X20" i="13" s="1"/>
  <c r="D18" i="9" s="1"/>
  <c r="K19" i="46"/>
  <c r="X21" i="13"/>
  <c r="D19" i="9" s="1"/>
  <c r="K20" i="46"/>
  <c r="X22" i="13" s="1"/>
  <c r="D20" i="9" s="1"/>
  <c r="K21" i="46"/>
  <c r="X23" i="13"/>
  <c r="D21" i="9" s="1"/>
  <c r="K22" i="46"/>
  <c r="X24" i="13" s="1"/>
  <c r="D22" i="9" s="1"/>
  <c r="K23" i="46"/>
  <c r="X25" i="13"/>
  <c r="D23" i="9" s="1"/>
  <c r="K24" i="46"/>
  <c r="X26" i="13" s="1"/>
  <c r="D24" i="9" s="1"/>
  <c r="AR26" i="46"/>
  <c r="AS26" i="46"/>
  <c r="AT26" i="46"/>
  <c r="AU26" i="46"/>
  <c r="AR5" i="47"/>
  <c r="AS5" i="47"/>
  <c r="AT5" i="47"/>
  <c r="AU5" i="47"/>
  <c r="K6" i="47"/>
  <c r="Y8" i="13" s="1"/>
  <c r="E6" i="9" s="1"/>
  <c r="K7" i="47"/>
  <c r="Y9" i="13" s="1"/>
  <c r="E7" i="9" s="1"/>
  <c r="K8" i="47"/>
  <c r="Y10" i="13"/>
  <c r="E8" i="9" s="1"/>
  <c r="K9" i="47"/>
  <c r="Y11" i="13" s="1"/>
  <c r="E9" i="9" s="1"/>
  <c r="K10" i="47"/>
  <c r="Y12" i="13" s="1"/>
  <c r="E10" i="9" s="1"/>
  <c r="K12" i="47"/>
  <c r="Y14" i="13" s="1"/>
  <c r="E12" i="9" s="1"/>
  <c r="K13" i="47"/>
  <c r="Y15" i="13"/>
  <c r="E13" i="9" s="1"/>
  <c r="K14" i="47"/>
  <c r="Y16" i="13" s="1"/>
  <c r="E14" i="9" s="1"/>
  <c r="K15" i="47"/>
  <c r="Y17" i="13" s="1"/>
  <c r="E15" i="9" s="1"/>
  <c r="K16" i="47"/>
  <c r="Y18" i="13" s="1"/>
  <c r="E16" i="9" s="1"/>
  <c r="K17" i="47"/>
  <c r="Y19" i="13"/>
  <c r="E17" i="9" s="1"/>
  <c r="K18" i="47"/>
  <c r="Y20" i="13" s="1"/>
  <c r="E18" i="9" s="1"/>
  <c r="K19" i="47"/>
  <c r="Y21" i="13" s="1"/>
  <c r="E19" i="9" s="1"/>
  <c r="K20" i="47"/>
  <c r="Y22" i="13" s="1"/>
  <c r="E20" i="9" s="1"/>
  <c r="K21" i="47"/>
  <c r="Y23" i="13"/>
  <c r="E21" i="9" s="1"/>
  <c r="K22" i="47"/>
  <c r="Y24" i="13" s="1"/>
  <c r="E22" i="9" s="1"/>
  <c r="K23" i="47"/>
  <c r="Y25" i="13" s="1"/>
  <c r="E23" i="9" s="1"/>
  <c r="K24" i="47"/>
  <c r="Y26" i="13" s="1"/>
  <c r="E24" i="9" s="1"/>
  <c r="AR26" i="47"/>
  <c r="AS26" i="47"/>
  <c r="AT26" i="47"/>
  <c r="AU26" i="47"/>
  <c r="AR5" i="48"/>
  <c r="AS5" i="48"/>
  <c r="AT5" i="48"/>
  <c r="AU5" i="48"/>
  <c r="K6" i="48"/>
  <c r="Z8" i="13" s="1"/>
  <c r="F6" i="9" s="1"/>
  <c r="K7" i="48"/>
  <c r="Z9" i="13" s="1"/>
  <c r="F7" i="9" s="1"/>
  <c r="K8" i="48"/>
  <c r="Z10" i="13" s="1"/>
  <c r="F8" i="9" s="1"/>
  <c r="K9" i="48"/>
  <c r="Z11" i="13" s="1"/>
  <c r="F9" i="9" s="1"/>
  <c r="K10" i="48"/>
  <c r="Z12" i="13" s="1"/>
  <c r="F10" i="9" s="1"/>
  <c r="K12" i="48"/>
  <c r="Z14" i="13" s="1"/>
  <c r="F12" i="9" s="1"/>
  <c r="K13" i="48"/>
  <c r="Z15" i="13" s="1"/>
  <c r="F13" i="9" s="1"/>
  <c r="K14" i="48"/>
  <c r="Z16" i="13" s="1"/>
  <c r="F14" i="9" s="1"/>
  <c r="K15" i="48"/>
  <c r="Z17" i="13" s="1"/>
  <c r="F15" i="9" s="1"/>
  <c r="K16" i="48"/>
  <c r="Z18" i="13" s="1"/>
  <c r="F16" i="9" s="1"/>
  <c r="K17" i="48"/>
  <c r="Z19" i="13" s="1"/>
  <c r="F17" i="9" s="1"/>
  <c r="K18" i="48"/>
  <c r="Z20" i="13" s="1"/>
  <c r="F18" i="9" s="1"/>
  <c r="K19" i="48"/>
  <c r="Z21" i="13" s="1"/>
  <c r="F19" i="9" s="1"/>
  <c r="K20" i="48"/>
  <c r="Z22" i="13" s="1"/>
  <c r="F20" i="9" s="1"/>
  <c r="K21" i="48"/>
  <c r="Z23" i="13" s="1"/>
  <c r="F21" i="9" s="1"/>
  <c r="K22" i="48"/>
  <c r="Z24" i="13" s="1"/>
  <c r="F22" i="9" s="1"/>
  <c r="K23" i="48"/>
  <c r="Z25" i="13" s="1"/>
  <c r="F23" i="9" s="1"/>
  <c r="K24" i="48"/>
  <c r="Z26" i="13" s="1"/>
  <c r="F24" i="9" s="1"/>
  <c r="AR26" i="48"/>
  <c r="AS26" i="48"/>
  <c r="AT26" i="48"/>
  <c r="AU26" i="48"/>
  <c r="AR5" i="49"/>
  <c r="AS5" i="49"/>
  <c r="AT5" i="49"/>
  <c r="AU5" i="49"/>
  <c r="K6" i="49"/>
  <c r="AA8" i="13"/>
  <c r="G6" i="9" s="1"/>
  <c r="K7" i="49"/>
  <c r="AA9" i="13" s="1"/>
  <c r="G7" i="9" s="1"/>
  <c r="K8" i="49"/>
  <c r="AA10" i="13"/>
  <c r="G8" i="9" s="1"/>
  <c r="K9" i="49"/>
  <c r="AA11" i="13" s="1"/>
  <c r="G9" i="9" s="1"/>
  <c r="K10" i="49"/>
  <c r="AA12" i="13"/>
  <c r="G10" i="9" s="1"/>
  <c r="K12" i="49"/>
  <c r="AA14" i="13" s="1"/>
  <c r="G12" i="9" s="1"/>
  <c r="K13" i="49"/>
  <c r="AA15" i="13"/>
  <c r="G13" i="9" s="1"/>
  <c r="K14" i="49"/>
  <c r="AA16" i="13" s="1"/>
  <c r="G14" i="9" s="1"/>
  <c r="K15" i="49"/>
  <c r="AA17" i="13"/>
  <c r="G15" i="9" s="1"/>
  <c r="K16" i="49"/>
  <c r="AA18" i="13" s="1"/>
  <c r="G16" i="9" s="1"/>
  <c r="K17" i="49"/>
  <c r="AA19" i="13"/>
  <c r="G17" i="9" s="1"/>
  <c r="K18" i="49"/>
  <c r="AA20" i="13" s="1"/>
  <c r="G18" i="9" s="1"/>
  <c r="K19" i="49"/>
  <c r="AA21" i="13"/>
  <c r="G19" i="9" s="1"/>
  <c r="K20" i="49"/>
  <c r="AA22" i="13" s="1"/>
  <c r="G20" i="9" s="1"/>
  <c r="K21" i="49"/>
  <c r="AA23" i="13"/>
  <c r="G21" i="9" s="1"/>
  <c r="K22" i="49"/>
  <c r="AA24" i="13" s="1"/>
  <c r="G22" i="9" s="1"/>
  <c r="K23" i="49"/>
  <c r="AA25" i="13"/>
  <c r="G23" i="9" s="1"/>
  <c r="K24" i="49"/>
  <c r="AA26" i="13" s="1"/>
  <c r="G24" i="9" s="1"/>
  <c r="AR26" i="49"/>
  <c r="AS26" i="49"/>
  <c r="AT26" i="49"/>
  <c r="AU26" i="49"/>
  <c r="AR5" i="50"/>
  <c r="AS5" i="50"/>
  <c r="AT5" i="50"/>
  <c r="AU5" i="50"/>
  <c r="K6" i="50"/>
  <c r="AB8" i="13"/>
  <c r="H6" i="9" s="1"/>
  <c r="K7" i="50"/>
  <c r="AB9" i="13" s="1"/>
  <c r="H7" i="9" s="1"/>
  <c r="K8" i="50"/>
  <c r="AB10" i="13" s="1"/>
  <c r="H8" i="9" s="1"/>
  <c r="K9" i="50"/>
  <c r="AB11" i="13" s="1"/>
  <c r="H9" i="9" s="1"/>
  <c r="K10" i="50"/>
  <c r="AB12" i="13"/>
  <c r="H10" i="9" s="1"/>
  <c r="K12" i="50"/>
  <c r="AB14" i="13" s="1"/>
  <c r="H12" i="9" s="1"/>
  <c r="K13" i="50"/>
  <c r="AB15" i="13" s="1"/>
  <c r="H13" i="9" s="1"/>
  <c r="K14" i="50"/>
  <c r="AB16" i="13" s="1"/>
  <c r="H14" i="9" s="1"/>
  <c r="K15" i="50"/>
  <c r="AB17" i="13"/>
  <c r="H15" i="9" s="1"/>
  <c r="K16" i="50"/>
  <c r="AB18" i="13" s="1"/>
  <c r="H16" i="9" s="1"/>
  <c r="K17" i="50"/>
  <c r="AB19" i="13" s="1"/>
  <c r="H17" i="9" s="1"/>
  <c r="K18" i="50"/>
  <c r="AB20" i="13" s="1"/>
  <c r="H18" i="9" s="1"/>
  <c r="K19" i="50"/>
  <c r="AB21" i="13"/>
  <c r="H19" i="9" s="1"/>
  <c r="K20" i="50"/>
  <c r="AB22" i="13" s="1"/>
  <c r="H20" i="9" s="1"/>
  <c r="K21" i="50"/>
  <c r="AB23" i="13" s="1"/>
  <c r="H21" i="9" s="1"/>
  <c r="K22" i="50"/>
  <c r="AB24" i="13" s="1"/>
  <c r="H22" i="9" s="1"/>
  <c r="K23" i="50"/>
  <c r="AB25" i="13"/>
  <c r="H23" i="9" s="1"/>
  <c r="K24" i="50"/>
  <c r="AB26" i="13" s="1"/>
  <c r="H24" i="9" s="1"/>
  <c r="AR26" i="50"/>
  <c r="AS26" i="50"/>
  <c r="AT26" i="50"/>
  <c r="AU26" i="50"/>
  <c r="AR5" i="51"/>
  <c r="AS5" i="51"/>
  <c r="AT5" i="51"/>
  <c r="AU5" i="51"/>
  <c r="K6" i="51"/>
  <c r="AC8" i="13" s="1"/>
  <c r="I6" i="9" s="1"/>
  <c r="K7" i="51"/>
  <c r="AC9" i="13" s="1"/>
  <c r="I7" i="9" s="1"/>
  <c r="K8" i="51"/>
  <c r="AC10" i="13" s="1"/>
  <c r="I8" i="9" s="1"/>
  <c r="K9" i="51"/>
  <c r="AC11" i="13" s="1"/>
  <c r="I9" i="9" s="1"/>
  <c r="K10" i="51"/>
  <c r="AC12" i="13" s="1"/>
  <c r="I10" i="9" s="1"/>
  <c r="K12" i="51"/>
  <c r="AC14" i="13" s="1"/>
  <c r="I12" i="9" s="1"/>
  <c r="K13" i="51"/>
  <c r="AC15" i="13" s="1"/>
  <c r="I13" i="9" s="1"/>
  <c r="K14" i="51"/>
  <c r="AC16" i="13" s="1"/>
  <c r="I14" i="9" s="1"/>
  <c r="K15" i="51"/>
  <c r="AC17" i="13" s="1"/>
  <c r="I15" i="9" s="1"/>
  <c r="K16" i="51"/>
  <c r="AC18" i="13" s="1"/>
  <c r="I16" i="9" s="1"/>
  <c r="K17" i="51"/>
  <c r="AC19" i="13" s="1"/>
  <c r="I17" i="9" s="1"/>
  <c r="K18" i="51"/>
  <c r="AC20" i="13" s="1"/>
  <c r="I18" i="9" s="1"/>
  <c r="K19" i="51"/>
  <c r="AC21" i="13" s="1"/>
  <c r="I19" i="9" s="1"/>
  <c r="K20" i="51"/>
  <c r="AC22" i="13" s="1"/>
  <c r="I20" i="9" s="1"/>
  <c r="K21" i="51"/>
  <c r="AC23" i="13" s="1"/>
  <c r="I21" i="9" s="1"/>
  <c r="K22" i="51"/>
  <c r="AC24" i="13" s="1"/>
  <c r="I22" i="9" s="1"/>
  <c r="K23" i="51"/>
  <c r="AC25" i="13" s="1"/>
  <c r="I23" i="9" s="1"/>
  <c r="K24" i="51"/>
  <c r="AC26" i="13" s="1"/>
  <c r="I24" i="9" s="1"/>
  <c r="AR26" i="51"/>
  <c r="AS26" i="51"/>
  <c r="AT26" i="51"/>
  <c r="AU26" i="51"/>
  <c r="AR5" i="52"/>
  <c r="AS5" i="52"/>
  <c r="AT5" i="52"/>
  <c r="AU5" i="52"/>
  <c r="K6" i="52"/>
  <c r="AD8" i="13"/>
  <c r="J6" i="9" s="1"/>
  <c r="K7" i="52"/>
  <c r="AD9" i="13" s="1"/>
  <c r="J7" i="9" s="1"/>
  <c r="K8" i="52"/>
  <c r="AD10" i="13"/>
  <c r="J8" i="9" s="1"/>
  <c r="K9" i="52"/>
  <c r="AD11" i="13" s="1"/>
  <c r="J9" i="9" s="1"/>
  <c r="K10" i="52"/>
  <c r="AD12" i="13"/>
  <c r="J10" i="9" s="1"/>
  <c r="K12" i="52"/>
  <c r="AD14" i="13" s="1"/>
  <c r="J12" i="9" s="1"/>
  <c r="K13" i="52"/>
  <c r="AD15" i="13"/>
  <c r="J13" i="9" s="1"/>
  <c r="K14" i="52"/>
  <c r="AD16" i="13" s="1"/>
  <c r="J14" i="9" s="1"/>
  <c r="K15" i="52"/>
  <c r="AD17" i="13"/>
  <c r="J15" i="9" s="1"/>
  <c r="K16" i="52"/>
  <c r="AD18" i="13" s="1"/>
  <c r="J16" i="9" s="1"/>
  <c r="K17" i="52"/>
  <c r="AD19" i="13"/>
  <c r="J17" i="9" s="1"/>
  <c r="K18" i="52"/>
  <c r="AD20" i="13" s="1"/>
  <c r="J18" i="9" s="1"/>
  <c r="K19" i="52"/>
  <c r="AD21" i="13"/>
  <c r="J19" i="9" s="1"/>
  <c r="K20" i="52"/>
  <c r="AD22" i="13" s="1"/>
  <c r="J20" i="9" s="1"/>
  <c r="K21" i="52"/>
  <c r="AD23" i="13"/>
  <c r="J21" i="9" s="1"/>
  <c r="K22" i="52"/>
  <c r="AD24" i="13" s="1"/>
  <c r="J22" i="9" s="1"/>
  <c r="K23" i="52"/>
  <c r="AD25" i="13"/>
  <c r="J23" i="9" s="1"/>
  <c r="K24" i="52"/>
  <c r="AD26" i="13" s="1"/>
  <c r="J24" i="9" s="1"/>
  <c r="AR26" i="52"/>
  <c r="AS26" i="52"/>
  <c r="AT26" i="52"/>
  <c r="AU26" i="52"/>
  <c r="AR5" i="53"/>
  <c r="AS5" i="53"/>
  <c r="AT5" i="53"/>
  <c r="AU5" i="53"/>
  <c r="K6" i="53"/>
  <c r="AE8" i="13" s="1"/>
  <c r="K6" i="9" s="1"/>
  <c r="K7" i="53"/>
  <c r="AE9" i="13" s="1"/>
  <c r="K7" i="9" s="1"/>
  <c r="K8" i="53"/>
  <c r="AE10" i="13"/>
  <c r="K8" i="9" s="1"/>
  <c r="K9" i="53"/>
  <c r="AE11" i="13" s="1"/>
  <c r="K9" i="9" s="1"/>
  <c r="K10" i="53"/>
  <c r="AE12" i="13" s="1"/>
  <c r="K10" i="9" s="1"/>
  <c r="K12" i="53"/>
  <c r="AE14" i="13" s="1"/>
  <c r="K12" i="9" s="1"/>
  <c r="K13" i="53"/>
  <c r="AE15" i="13"/>
  <c r="K13" i="9" s="1"/>
  <c r="K14" i="53"/>
  <c r="AE16" i="13" s="1"/>
  <c r="K14" i="9" s="1"/>
  <c r="K15" i="53"/>
  <c r="AE17" i="13" s="1"/>
  <c r="K15" i="9" s="1"/>
  <c r="K16" i="53"/>
  <c r="AE18" i="13" s="1"/>
  <c r="K16" i="9" s="1"/>
  <c r="K17" i="53"/>
  <c r="AE19" i="13"/>
  <c r="K17" i="9" s="1"/>
  <c r="K18" i="53"/>
  <c r="AE20" i="13" s="1"/>
  <c r="K18" i="9" s="1"/>
  <c r="K19" i="53"/>
  <c r="AE21" i="13" s="1"/>
  <c r="K19" i="9" s="1"/>
  <c r="K20" i="53"/>
  <c r="AE22" i="13" s="1"/>
  <c r="K20" i="9" s="1"/>
  <c r="K21" i="53"/>
  <c r="AE23" i="13"/>
  <c r="K21" i="9" s="1"/>
  <c r="K22" i="53"/>
  <c r="AE24" i="13" s="1"/>
  <c r="K22" i="9" s="1"/>
  <c r="K23" i="53"/>
  <c r="AE25" i="13" s="1"/>
  <c r="K23" i="9" s="1"/>
  <c r="K24" i="53"/>
  <c r="AE26" i="13" s="1"/>
  <c r="K24" i="9" s="1"/>
  <c r="AR26" i="53"/>
  <c r="AS26" i="53"/>
  <c r="AT26" i="53"/>
  <c r="AU26" i="53"/>
  <c r="AR5" i="54"/>
  <c r="AS5" i="54"/>
  <c r="K5" i="54" s="1"/>
  <c r="AF7" i="13" s="1"/>
  <c r="AT5" i="54"/>
  <c r="AU5" i="54"/>
  <c r="K6" i="54"/>
  <c r="AF8" i="13" s="1"/>
  <c r="K7" i="54"/>
  <c r="AF9" i="13"/>
  <c r="K8" i="54"/>
  <c r="AF10" i="13"/>
  <c r="K9" i="54"/>
  <c r="AF11" i="13" s="1"/>
  <c r="K10" i="54"/>
  <c r="AF12" i="13"/>
  <c r="K12" i="54"/>
  <c r="AF14" i="13"/>
  <c r="K13" i="54"/>
  <c r="AF15" i="13" s="1"/>
  <c r="K14" i="54"/>
  <c r="AF16" i="13"/>
  <c r="K15" i="54"/>
  <c r="AF17" i="13"/>
  <c r="K16" i="54"/>
  <c r="AF18" i="13" s="1"/>
  <c r="K17" i="54"/>
  <c r="AF19" i="13"/>
  <c r="K18" i="54"/>
  <c r="AF20" i="13"/>
  <c r="K19" i="54"/>
  <c r="AF21" i="13" s="1"/>
  <c r="K20" i="54"/>
  <c r="AF22" i="13"/>
  <c r="K21" i="54"/>
  <c r="AF23" i="13"/>
  <c r="K22" i="54"/>
  <c r="AF24" i="13" s="1"/>
  <c r="K23" i="54"/>
  <c r="AF25" i="13"/>
  <c r="K24" i="54"/>
  <c r="AF26" i="13"/>
  <c r="AR26" i="54"/>
  <c r="AS26" i="54"/>
  <c r="AT26" i="54"/>
  <c r="AU26" i="54"/>
  <c r="AR5" i="24"/>
  <c r="AS5" i="24"/>
  <c r="AT5" i="24"/>
  <c r="AU5" i="24"/>
  <c r="K6" i="24"/>
  <c r="B8" i="13" s="1"/>
  <c r="K7" i="24"/>
  <c r="B9" i="13" s="1"/>
  <c r="K8" i="24"/>
  <c r="B10" i="13" s="1"/>
  <c r="K9" i="24"/>
  <c r="B11" i="13" s="1"/>
  <c r="K10" i="24"/>
  <c r="B12" i="13" s="1"/>
  <c r="B10" i="1" s="1"/>
  <c r="K12" i="24"/>
  <c r="B14" i="13" s="1"/>
  <c r="K13" i="24"/>
  <c r="B15" i="13" s="1"/>
  <c r="K14" i="24"/>
  <c r="B16" i="13" s="1"/>
  <c r="K15" i="24"/>
  <c r="B17" i="13" s="1"/>
  <c r="K16" i="24"/>
  <c r="B18" i="13" s="1"/>
  <c r="B16" i="1" s="1"/>
  <c r="L16" i="1" s="1"/>
  <c r="K17" i="24"/>
  <c r="B19" i="13" s="1"/>
  <c r="K18" i="24"/>
  <c r="B20" i="13" s="1"/>
  <c r="K19" i="24"/>
  <c r="B21" i="13" s="1"/>
  <c r="K20" i="24"/>
  <c r="B22" i="13" s="1"/>
  <c r="K21" i="24"/>
  <c r="B23" i="13" s="1"/>
  <c r="K22" i="24"/>
  <c r="B24" i="13" s="1"/>
  <c r="K23" i="24"/>
  <c r="B25" i="13" s="1"/>
  <c r="K24" i="24"/>
  <c r="B26" i="13" s="1"/>
  <c r="AR26" i="24"/>
  <c r="AS26" i="24"/>
  <c r="AT26" i="24"/>
  <c r="AU26" i="24"/>
  <c r="L5" i="45"/>
  <c r="W7" i="15" s="1"/>
  <c r="C5" i="11" s="1"/>
  <c r="L5" i="46"/>
  <c r="X7" i="15"/>
  <c r="D5" i="11" s="1"/>
  <c r="L4" i="45"/>
  <c r="W6" i="15" s="1"/>
  <c r="C4" i="11" s="1"/>
  <c r="L4" i="46"/>
  <c r="X6" i="15" s="1"/>
  <c r="D4" i="11" s="1"/>
  <c r="W7" i="14"/>
  <c r="X7" i="14"/>
  <c r="B7" i="14"/>
  <c r="W6" i="14"/>
  <c r="X6" i="14"/>
  <c r="B6" i="14"/>
  <c r="K26" i="26"/>
  <c r="D28" i="13" s="1"/>
  <c r="K26" i="30"/>
  <c r="H28" i="13"/>
  <c r="K26" i="34"/>
  <c r="L28" i="13"/>
  <c r="K26" i="36"/>
  <c r="N28" i="13" s="1"/>
  <c r="K26" i="40"/>
  <c r="R28" i="13"/>
  <c r="K26" i="44"/>
  <c r="V28" i="13" s="1"/>
  <c r="J31" i="45"/>
  <c r="K31" i="45"/>
  <c r="W31" i="62" s="1"/>
  <c r="J31" i="46"/>
  <c r="K31" i="46" s="1"/>
  <c r="X31" i="62" s="1"/>
  <c r="J31" i="47"/>
  <c r="K31" i="47"/>
  <c r="Y31" i="62" s="1"/>
  <c r="K5" i="34"/>
  <c r="L7" i="13" s="1"/>
  <c r="B5" i="5" s="1"/>
  <c r="B6" i="16"/>
  <c r="B4" i="4" s="1"/>
  <c r="C6" i="16"/>
  <c r="C4" i="4" s="1"/>
  <c r="D6" i="16"/>
  <c r="D4" i="4"/>
  <c r="E6" i="16"/>
  <c r="E4" i="4"/>
  <c r="F6" i="16"/>
  <c r="F4" i="4" s="1"/>
  <c r="B7" i="16"/>
  <c r="B5" i="4" s="1"/>
  <c r="C7" i="16"/>
  <c r="C5" i="4" s="1"/>
  <c r="D7" i="16"/>
  <c r="D5" i="4"/>
  <c r="E7" i="16"/>
  <c r="E5" i="4"/>
  <c r="F7" i="16"/>
  <c r="F5" i="4" s="1"/>
  <c r="L6" i="16"/>
  <c r="B4" i="8"/>
  <c r="M6" i="16"/>
  <c r="C4" i="8"/>
  <c r="N6" i="16"/>
  <c r="D4" i="8" s="1"/>
  <c r="O6" i="16"/>
  <c r="E4" i="8"/>
  <c r="P6" i="16"/>
  <c r="F4" i="8"/>
  <c r="L7" i="16"/>
  <c r="B5" i="8" s="1"/>
  <c r="M7" i="16"/>
  <c r="C5" i="8"/>
  <c r="N7" i="16"/>
  <c r="D5" i="8"/>
  <c r="O7" i="16"/>
  <c r="E5" i="8" s="1"/>
  <c r="P7" i="16"/>
  <c r="F5" i="8"/>
  <c r="B6" i="62"/>
  <c r="B4" i="63" s="1"/>
  <c r="K5" i="27"/>
  <c r="E7" i="13"/>
  <c r="E5" i="1" s="1"/>
  <c r="K5" i="28"/>
  <c r="F7" i="13" s="1"/>
  <c r="F5" i="1" s="1"/>
  <c r="A31" i="25"/>
  <c r="A31" i="26"/>
  <c r="A31" i="27"/>
  <c r="A31" i="28"/>
  <c r="A31" i="29"/>
  <c r="A31" i="30"/>
  <c r="A31" i="31"/>
  <c r="A31" i="32"/>
  <c r="A31" i="33"/>
  <c r="A31" i="34"/>
  <c r="A31" i="35"/>
  <c r="A31" i="36"/>
  <c r="A31" i="37"/>
  <c r="A31" i="38"/>
  <c r="A31" i="39"/>
  <c r="A31" i="40"/>
  <c r="A31" i="41"/>
  <c r="A31" i="42"/>
  <c r="A31" i="43"/>
  <c r="A31" i="44"/>
  <c r="A31" i="45"/>
  <c r="A31" i="46"/>
  <c r="A31" i="47"/>
  <c r="A31" i="48"/>
  <c r="A31" i="49"/>
  <c r="A31" i="50"/>
  <c r="A31" i="51"/>
  <c r="A31" i="52"/>
  <c r="A31" i="53"/>
  <c r="A31" i="54"/>
  <c r="G7" i="16"/>
  <c r="H7" i="16"/>
  <c r="I7" i="16"/>
  <c r="J7" i="16"/>
  <c r="J5" i="4"/>
  <c r="K7" i="16"/>
  <c r="Q7" i="16"/>
  <c r="R7" i="16"/>
  <c r="S7" i="16"/>
  <c r="I5" i="8" s="1"/>
  <c r="T7" i="16"/>
  <c r="U7" i="16"/>
  <c r="V7" i="16"/>
  <c r="W7" i="16"/>
  <c r="C5" i="12"/>
  <c r="X7" i="16"/>
  <c r="D5" i="12" s="1"/>
  <c r="Y7" i="16"/>
  <c r="Z7" i="16"/>
  <c r="AA7" i="16"/>
  <c r="AB7" i="16"/>
  <c r="AC7" i="16"/>
  <c r="I5" i="12" s="1"/>
  <c r="AD7" i="16"/>
  <c r="AE7" i="16"/>
  <c r="AF7" i="16"/>
  <c r="AF6" i="16"/>
  <c r="AE6" i="16"/>
  <c r="AD6" i="16"/>
  <c r="AC6" i="16"/>
  <c r="AB6" i="16"/>
  <c r="H4" i="12" s="1"/>
  <c r="AA6" i="16"/>
  <c r="Z6" i="16"/>
  <c r="Y6" i="16"/>
  <c r="E4" i="12" s="1"/>
  <c r="X6" i="16"/>
  <c r="W6" i="16"/>
  <c r="V6" i="16"/>
  <c r="U6" i="16"/>
  <c r="K4" i="8"/>
  <c r="T6" i="16"/>
  <c r="S6" i="16"/>
  <c r="R6" i="16"/>
  <c r="H4" i="8" s="1"/>
  <c r="Q6" i="16"/>
  <c r="K6" i="16"/>
  <c r="J6" i="16"/>
  <c r="I6" i="16"/>
  <c r="I4" i="4" s="1"/>
  <c r="H6" i="16"/>
  <c r="G6" i="16"/>
  <c r="J31" i="26"/>
  <c r="D6" i="62" s="1"/>
  <c r="D4" i="63" s="1"/>
  <c r="J31" i="27"/>
  <c r="E6" i="62" s="1"/>
  <c r="E4" i="63" s="1"/>
  <c r="J31" i="28"/>
  <c r="F6" i="62" s="1"/>
  <c r="F4" i="63" s="1"/>
  <c r="J31" i="29"/>
  <c r="K31" i="29" s="1"/>
  <c r="G31" i="62" s="1"/>
  <c r="J31" i="30"/>
  <c r="J31" i="31"/>
  <c r="K31" i="31" s="1"/>
  <c r="I31" i="62" s="1"/>
  <c r="J31" i="32"/>
  <c r="K31" i="32" s="1"/>
  <c r="J31" i="62" s="1"/>
  <c r="J31" i="33"/>
  <c r="K31" i="33" s="1"/>
  <c r="K31" i="62" s="1"/>
  <c r="J31" i="34"/>
  <c r="L6" i="62" s="1"/>
  <c r="B4" i="64" s="1"/>
  <c r="J31" i="35"/>
  <c r="M6" i="62" s="1"/>
  <c r="C4" i="64" s="1"/>
  <c r="J31" i="36"/>
  <c r="N6" i="62"/>
  <c r="D4" i="64" s="1"/>
  <c r="J31" i="37"/>
  <c r="O6" i="62" s="1"/>
  <c r="E4" i="64" s="1"/>
  <c r="J31" i="38"/>
  <c r="P6" i="62" s="1"/>
  <c r="F4" i="64" s="1"/>
  <c r="J31" i="39"/>
  <c r="J31" i="40"/>
  <c r="J31" i="41"/>
  <c r="K31" i="41" s="1"/>
  <c r="S31" i="62" s="1"/>
  <c r="J31" i="42"/>
  <c r="J31" i="43"/>
  <c r="K31" i="43" s="1"/>
  <c r="U31" i="62" s="1"/>
  <c r="J31" i="44"/>
  <c r="J31" i="48"/>
  <c r="K31" i="48" s="1"/>
  <c r="Z31" i="62" s="1"/>
  <c r="J31" i="49"/>
  <c r="J31" i="50"/>
  <c r="K31" i="50" s="1"/>
  <c r="AB31" i="62" s="1"/>
  <c r="J31" i="51"/>
  <c r="K31" i="51" s="1"/>
  <c r="AC31" i="62" s="1"/>
  <c r="J31" i="52"/>
  <c r="K31" i="52" s="1"/>
  <c r="AD31" i="62" s="1"/>
  <c r="J31" i="53"/>
  <c r="J31" i="54"/>
  <c r="AF6" i="62" s="1"/>
  <c r="J31" i="25"/>
  <c r="L4" i="24"/>
  <c r="B6" i="15" s="1"/>
  <c r="B61" i="25"/>
  <c r="B61" i="26"/>
  <c r="B61" i="27"/>
  <c r="B61" i="28"/>
  <c r="B61" i="29"/>
  <c r="B61" i="30"/>
  <c r="B61" i="31"/>
  <c r="B61" i="32"/>
  <c r="B61" i="33"/>
  <c r="B61" i="34"/>
  <c r="B61" i="35"/>
  <c r="B61" i="36"/>
  <c r="B61" i="37"/>
  <c r="B61" i="38"/>
  <c r="B61" i="39"/>
  <c r="B61" i="40"/>
  <c r="B61" i="41"/>
  <c r="B61" i="42"/>
  <c r="B61" i="43"/>
  <c r="B61" i="44"/>
  <c r="B61" i="45"/>
  <c r="B60" i="46"/>
  <c r="B61" i="47"/>
  <c r="B61" i="48"/>
  <c r="B61" i="49"/>
  <c r="B61" i="50"/>
  <c r="B61" i="51"/>
  <c r="B61" i="52"/>
  <c r="B61" i="53"/>
  <c r="B61" i="54"/>
  <c r="B61" i="24"/>
  <c r="B60" i="25"/>
  <c r="B60" i="26"/>
  <c r="B60" i="27"/>
  <c r="B60" i="28"/>
  <c r="B60" i="29"/>
  <c r="B60" i="30"/>
  <c r="B60" i="31"/>
  <c r="B60" i="32"/>
  <c r="B60" i="33"/>
  <c r="B60" i="34"/>
  <c r="B60" i="35"/>
  <c r="B60" i="36"/>
  <c r="B60" i="37"/>
  <c r="B60" i="38"/>
  <c r="B60" i="39"/>
  <c r="B60" i="40"/>
  <c r="B60" i="41"/>
  <c r="B60" i="42"/>
  <c r="B60" i="43"/>
  <c r="B60" i="44"/>
  <c r="B60" i="45"/>
  <c r="B59" i="46"/>
  <c r="B60" i="47"/>
  <c r="B60" i="48"/>
  <c r="B60" i="49"/>
  <c r="B60" i="50"/>
  <c r="B60" i="51"/>
  <c r="B60" i="52"/>
  <c r="B60" i="53"/>
  <c r="B60" i="54"/>
  <c r="B60" i="24"/>
  <c r="B59" i="25"/>
  <c r="B59" i="26"/>
  <c r="B59" i="27"/>
  <c r="B59" i="28"/>
  <c r="B59" i="29"/>
  <c r="B59" i="30"/>
  <c r="B59" i="31"/>
  <c r="B59" i="32"/>
  <c r="B59" i="33"/>
  <c r="B59" i="34"/>
  <c r="B59" i="35"/>
  <c r="B59" i="36"/>
  <c r="B59" i="37"/>
  <c r="B59" i="38"/>
  <c r="B59" i="39"/>
  <c r="B59" i="40"/>
  <c r="B59" i="41"/>
  <c r="B59" i="42"/>
  <c r="B59" i="43"/>
  <c r="B59" i="44"/>
  <c r="B59" i="45"/>
  <c r="B58" i="46"/>
  <c r="B59" i="47"/>
  <c r="B59" i="48"/>
  <c r="B59" i="49"/>
  <c r="B59" i="50"/>
  <c r="B59" i="51"/>
  <c r="B59" i="52"/>
  <c r="B59" i="53"/>
  <c r="B59" i="54"/>
  <c r="B59" i="24"/>
  <c r="B58" i="25"/>
  <c r="B58" i="26"/>
  <c r="B58" i="27"/>
  <c r="B58" i="28"/>
  <c r="B58" i="29"/>
  <c r="B58" i="30"/>
  <c r="B58" i="31"/>
  <c r="B58" i="32"/>
  <c r="B58" i="33"/>
  <c r="B58" i="34"/>
  <c r="B58" i="35"/>
  <c r="B58" i="36"/>
  <c r="B58" i="37"/>
  <c r="B58" i="38"/>
  <c r="B58" i="39"/>
  <c r="B58" i="40"/>
  <c r="B58" i="41"/>
  <c r="B58" i="42"/>
  <c r="B58" i="43"/>
  <c r="B58" i="44"/>
  <c r="B58" i="45"/>
  <c r="B57" i="46"/>
  <c r="B58" i="47"/>
  <c r="B58" i="48"/>
  <c r="B58" i="49"/>
  <c r="B58" i="50"/>
  <c r="B58" i="51"/>
  <c r="B58" i="52"/>
  <c r="B58" i="53"/>
  <c r="B58" i="54"/>
  <c r="B58" i="24"/>
  <c r="B57" i="25"/>
  <c r="B57" i="26"/>
  <c r="B57" i="27"/>
  <c r="B57" i="28"/>
  <c r="B57" i="29"/>
  <c r="B57" i="30"/>
  <c r="B57" i="31"/>
  <c r="B57" i="32"/>
  <c r="B57" i="33"/>
  <c r="B57" i="34"/>
  <c r="B57" i="35"/>
  <c r="B57" i="36"/>
  <c r="B57" i="37"/>
  <c r="B57" i="38"/>
  <c r="B57" i="39"/>
  <c r="B57" i="40"/>
  <c r="B57" i="41"/>
  <c r="B57" i="42"/>
  <c r="B57" i="43"/>
  <c r="B57" i="44"/>
  <c r="B57" i="45"/>
  <c r="B57" i="47"/>
  <c r="B57" i="48"/>
  <c r="B57" i="49"/>
  <c r="B57" i="50"/>
  <c r="B57" i="51"/>
  <c r="B57" i="52"/>
  <c r="B57" i="53"/>
  <c r="B57" i="54"/>
  <c r="B57" i="24"/>
  <c r="B56" i="25"/>
  <c r="B56" i="26"/>
  <c r="B56" i="27"/>
  <c r="B56" i="28"/>
  <c r="B56" i="29"/>
  <c r="B56" i="30"/>
  <c r="B56" i="31"/>
  <c r="B56" i="32"/>
  <c r="B56" i="33"/>
  <c r="B56" i="34"/>
  <c r="B56" i="35"/>
  <c r="B56" i="36"/>
  <c r="B56" i="37"/>
  <c r="B56" i="38"/>
  <c r="B56" i="39"/>
  <c r="B56" i="40"/>
  <c r="B56" i="41"/>
  <c r="B56" i="42"/>
  <c r="B56" i="43"/>
  <c r="B56" i="44"/>
  <c r="B56" i="45"/>
  <c r="B56" i="46"/>
  <c r="B56" i="47"/>
  <c r="B56" i="48"/>
  <c r="B56" i="49"/>
  <c r="B56" i="50"/>
  <c r="B56" i="51"/>
  <c r="B56" i="52"/>
  <c r="B56" i="53"/>
  <c r="B56" i="54"/>
  <c r="B56" i="24"/>
  <c r="B55" i="25"/>
  <c r="B55" i="26"/>
  <c r="B55" i="27"/>
  <c r="B55" i="28"/>
  <c r="B55" i="29"/>
  <c r="B55" i="30"/>
  <c r="B55" i="31"/>
  <c r="B55" i="32"/>
  <c r="B55" i="33"/>
  <c r="B55" i="34"/>
  <c r="B55" i="35"/>
  <c r="B55" i="36"/>
  <c r="B55" i="37"/>
  <c r="B55" i="38"/>
  <c r="B55" i="39"/>
  <c r="B55" i="40"/>
  <c r="B55" i="41"/>
  <c r="B55" i="42"/>
  <c r="B55" i="43"/>
  <c r="B55" i="44"/>
  <c r="B55" i="45"/>
  <c r="B55" i="47"/>
  <c r="B55" i="48"/>
  <c r="B55" i="49"/>
  <c r="B55" i="50"/>
  <c r="B55" i="51"/>
  <c r="B55" i="52"/>
  <c r="B55" i="53"/>
  <c r="B55" i="54"/>
  <c r="B55" i="24"/>
  <c r="I55" i="25"/>
  <c r="I55" i="26"/>
  <c r="I55" i="27"/>
  <c r="I55" i="28"/>
  <c r="I55" i="29"/>
  <c r="I55" i="30"/>
  <c r="I55" i="31"/>
  <c r="I55" i="32"/>
  <c r="I55" i="33"/>
  <c r="I55" i="34"/>
  <c r="I55" i="35"/>
  <c r="I55" i="36"/>
  <c r="I55" i="37"/>
  <c r="I55" i="38"/>
  <c r="I55" i="39"/>
  <c r="I55" i="40"/>
  <c r="I55" i="41"/>
  <c r="I55" i="42"/>
  <c r="I55" i="43"/>
  <c r="I55" i="44"/>
  <c r="I55" i="45"/>
  <c r="I55" i="46"/>
  <c r="I55" i="47"/>
  <c r="I55" i="48"/>
  <c r="I55" i="49"/>
  <c r="I55" i="50"/>
  <c r="I55" i="51"/>
  <c r="I55" i="52"/>
  <c r="I55" i="53"/>
  <c r="I55" i="54"/>
  <c r="I55" i="24"/>
  <c r="H55" i="25"/>
  <c r="H55" i="26"/>
  <c r="H55" i="27"/>
  <c r="H55" i="28"/>
  <c r="H55" i="29"/>
  <c r="H55" i="30"/>
  <c r="H55" i="31"/>
  <c r="H55" i="32"/>
  <c r="H55" i="33"/>
  <c r="H55" i="34"/>
  <c r="H55" i="35"/>
  <c r="H55" i="36"/>
  <c r="H55" i="37"/>
  <c r="H55" i="38"/>
  <c r="H55" i="39"/>
  <c r="H55" i="40"/>
  <c r="H55" i="41"/>
  <c r="H55" i="42"/>
  <c r="H55" i="43"/>
  <c r="H55" i="44"/>
  <c r="H55" i="45"/>
  <c r="H55" i="46"/>
  <c r="H55" i="47"/>
  <c r="H55" i="48"/>
  <c r="H55" i="49"/>
  <c r="H55" i="50"/>
  <c r="H55" i="51"/>
  <c r="H55" i="52"/>
  <c r="H55" i="53"/>
  <c r="H55" i="54"/>
  <c r="H55" i="24"/>
  <c r="G55" i="25"/>
  <c r="G55" i="26"/>
  <c r="G55" i="27"/>
  <c r="G55" i="28"/>
  <c r="J25" i="23" s="1"/>
  <c r="G55" i="29"/>
  <c r="G55" i="30"/>
  <c r="G55" i="31"/>
  <c r="G55" i="32"/>
  <c r="G55" i="33"/>
  <c r="G55" i="34"/>
  <c r="G55" i="35"/>
  <c r="G55" i="36"/>
  <c r="J57" i="23" s="1"/>
  <c r="G55" i="37"/>
  <c r="G55" i="38"/>
  <c r="J65" i="23"/>
  <c r="G55" i="39"/>
  <c r="G55" i="40"/>
  <c r="G55" i="41"/>
  <c r="G55" i="42"/>
  <c r="G55" i="43"/>
  <c r="G55" i="44"/>
  <c r="G55" i="45"/>
  <c r="G55" i="46"/>
  <c r="G55" i="47"/>
  <c r="G55" i="48"/>
  <c r="G55" i="49"/>
  <c r="G55" i="50"/>
  <c r="G55" i="51"/>
  <c r="G55" i="52"/>
  <c r="G55" i="53"/>
  <c r="G55" i="54"/>
  <c r="G55" i="24"/>
  <c r="F55" i="25"/>
  <c r="F55" i="26"/>
  <c r="F55" i="27"/>
  <c r="F55" i="28"/>
  <c r="F55" i="29"/>
  <c r="F55" i="30"/>
  <c r="F55" i="31"/>
  <c r="F55" i="32"/>
  <c r="F55" i="33"/>
  <c r="F55" i="34"/>
  <c r="F55" i="35"/>
  <c r="F55" i="36"/>
  <c r="F55" i="37"/>
  <c r="F55" i="38"/>
  <c r="F55" i="39"/>
  <c r="F55" i="40"/>
  <c r="F55" i="41"/>
  <c r="F55" i="42"/>
  <c r="F55" i="43"/>
  <c r="F55" i="44"/>
  <c r="F55" i="45"/>
  <c r="F55" i="46"/>
  <c r="F55" i="47"/>
  <c r="F55" i="48"/>
  <c r="F55" i="49"/>
  <c r="F55" i="50"/>
  <c r="F55" i="51"/>
  <c r="F55" i="52"/>
  <c r="F55" i="53"/>
  <c r="F55" i="54"/>
  <c r="F55" i="24"/>
  <c r="E55" i="25"/>
  <c r="E55" i="26"/>
  <c r="E55" i="27"/>
  <c r="E55" i="28"/>
  <c r="E55" i="29"/>
  <c r="E55" i="30"/>
  <c r="E55" i="31"/>
  <c r="E55" i="32"/>
  <c r="E55" i="33"/>
  <c r="E55" i="34"/>
  <c r="E55" i="35"/>
  <c r="E55" i="36"/>
  <c r="E55" i="37"/>
  <c r="E55" i="38"/>
  <c r="E55" i="39"/>
  <c r="E55" i="40"/>
  <c r="E55" i="41"/>
  <c r="E55" i="42"/>
  <c r="E55" i="43"/>
  <c r="E55" i="44"/>
  <c r="E55" i="45"/>
  <c r="E55" i="46"/>
  <c r="E55" i="47"/>
  <c r="E55" i="48"/>
  <c r="E55" i="49"/>
  <c r="E55" i="50"/>
  <c r="E55" i="51"/>
  <c r="E55" i="52"/>
  <c r="E55" i="53"/>
  <c r="E55" i="54"/>
  <c r="E55" i="24"/>
  <c r="D55" i="25"/>
  <c r="D55" i="26"/>
  <c r="D55" i="27"/>
  <c r="D55" i="28"/>
  <c r="D55" i="29"/>
  <c r="D55" i="30"/>
  <c r="D55" i="31"/>
  <c r="D55" i="32"/>
  <c r="D55" i="33"/>
  <c r="D55" i="34"/>
  <c r="D55" i="35"/>
  <c r="D55" i="36"/>
  <c r="D55" i="37"/>
  <c r="D55" i="38"/>
  <c r="D55" i="39"/>
  <c r="D55" i="40"/>
  <c r="D55" i="41"/>
  <c r="D55" i="42"/>
  <c r="D55" i="43"/>
  <c r="D55" i="44"/>
  <c r="D55" i="45"/>
  <c r="D55" i="46"/>
  <c r="D55" i="47"/>
  <c r="D55" i="48"/>
  <c r="D55" i="49"/>
  <c r="D55" i="50"/>
  <c r="D55" i="51"/>
  <c r="D55" i="52"/>
  <c r="D55" i="53"/>
  <c r="D55" i="54"/>
  <c r="D55" i="24"/>
  <c r="C55" i="25"/>
  <c r="C55" i="26"/>
  <c r="C55" i="27"/>
  <c r="C55" i="28"/>
  <c r="C55" i="29"/>
  <c r="C55" i="30"/>
  <c r="C55" i="31"/>
  <c r="C55" i="32"/>
  <c r="C55" i="33"/>
  <c r="C55" i="34"/>
  <c r="C55" i="35"/>
  <c r="C55" i="36"/>
  <c r="J55" i="23" s="1"/>
  <c r="C55" i="37"/>
  <c r="C55" i="38"/>
  <c r="J63" i="23"/>
  <c r="C55" i="39"/>
  <c r="C55" i="40"/>
  <c r="C55" i="41"/>
  <c r="C55" i="42"/>
  <c r="C55" i="43"/>
  <c r="C55" i="44"/>
  <c r="C55" i="45"/>
  <c r="C55" i="46"/>
  <c r="C55" i="47"/>
  <c r="C55" i="48"/>
  <c r="C55" i="49"/>
  <c r="C55" i="50"/>
  <c r="C55" i="51"/>
  <c r="C55" i="52"/>
  <c r="C55" i="53"/>
  <c r="C55" i="54"/>
  <c r="C55" i="24"/>
  <c r="L4" i="25"/>
  <c r="C6" i="15" s="1"/>
  <c r="C4" i="2" s="1"/>
  <c r="L4" i="26"/>
  <c r="D6" i="15" s="1"/>
  <c r="D4" i="2" s="1"/>
  <c r="L4" i="27"/>
  <c r="E6" i="15" s="1"/>
  <c r="E4" i="2" s="1"/>
  <c r="L4" i="28"/>
  <c r="F6" i="15" s="1"/>
  <c r="F4" i="2" s="1"/>
  <c r="L4" i="29"/>
  <c r="G6" i="15" s="1"/>
  <c r="G4" i="2" s="1"/>
  <c r="L4" i="30"/>
  <c r="H6" i="15" s="1"/>
  <c r="H4" i="2" s="1"/>
  <c r="L4" i="31"/>
  <c r="I6" i="15" s="1"/>
  <c r="I4" i="2" s="1"/>
  <c r="L4" i="32"/>
  <c r="J6" i="15"/>
  <c r="L4" i="33"/>
  <c r="K6" i="15"/>
  <c r="L4" i="34"/>
  <c r="L6" i="15" s="1"/>
  <c r="B4" i="6" s="1"/>
  <c r="L4" i="35"/>
  <c r="M6" i="15" s="1"/>
  <c r="C4" i="6" s="1"/>
  <c r="L4" i="36"/>
  <c r="N6" i="15" s="1"/>
  <c r="D4" i="6" s="1"/>
  <c r="L4" i="37"/>
  <c r="O6" i="15" s="1"/>
  <c r="E4" i="6" s="1"/>
  <c r="L4" i="38"/>
  <c r="P6" i="15" s="1"/>
  <c r="F4" i="6" s="1"/>
  <c r="L4" i="39"/>
  <c r="Q6" i="15" s="1"/>
  <c r="G4" i="6" s="1"/>
  <c r="L4" i="40"/>
  <c r="R6" i="15" s="1"/>
  <c r="H4" i="6" s="1"/>
  <c r="L4" i="41"/>
  <c r="S6" i="15"/>
  <c r="L4" i="42"/>
  <c r="T6" i="15" s="1"/>
  <c r="L4" i="43"/>
  <c r="U6" i="15"/>
  <c r="K4" i="6" s="1"/>
  <c r="L4" i="44"/>
  <c r="V6" i="15" s="1"/>
  <c r="B4" i="11" s="1"/>
  <c r="L4" i="47"/>
  <c r="Y6" i="15" s="1"/>
  <c r="E4" i="11" s="1"/>
  <c r="L4" i="48"/>
  <c r="Z6" i="15" s="1"/>
  <c r="F4" i="11" s="1"/>
  <c r="L4" i="49"/>
  <c r="AA6" i="15" s="1"/>
  <c r="G4" i="11" s="1"/>
  <c r="L4" i="50"/>
  <c r="AB6" i="15" s="1"/>
  <c r="H4" i="11" s="1"/>
  <c r="L4" i="51"/>
  <c r="AC6" i="15" s="1"/>
  <c r="I4" i="11" s="1"/>
  <c r="L4" i="52"/>
  <c r="AD6" i="15" s="1"/>
  <c r="J4" i="11" s="1"/>
  <c r="L4" i="53"/>
  <c r="AE6" i="15" s="1"/>
  <c r="K4" i="11" s="1"/>
  <c r="L4" i="54"/>
  <c r="AF6" i="15" s="1"/>
  <c r="AR4" i="25"/>
  <c r="AS4" i="25"/>
  <c r="AT4" i="25"/>
  <c r="AU4" i="25"/>
  <c r="AR4" i="26"/>
  <c r="AS4" i="26"/>
  <c r="K4" i="26" s="1"/>
  <c r="D6" i="13" s="1"/>
  <c r="D4" i="1" s="1"/>
  <c r="AT4" i="26"/>
  <c r="AU4" i="26"/>
  <c r="AR4" i="27"/>
  <c r="AS4" i="27"/>
  <c r="AT4" i="27"/>
  <c r="AU4" i="27"/>
  <c r="AR4" i="28"/>
  <c r="AS4" i="28"/>
  <c r="AT4" i="28"/>
  <c r="AU4" i="28"/>
  <c r="AR4" i="29"/>
  <c r="AS4" i="29"/>
  <c r="AT4" i="29"/>
  <c r="AU4" i="29"/>
  <c r="AR4" i="30"/>
  <c r="AS4" i="30"/>
  <c r="AT4" i="30"/>
  <c r="AU4" i="30"/>
  <c r="AR4" i="31"/>
  <c r="AS4" i="31"/>
  <c r="AT4" i="31"/>
  <c r="AU4" i="31"/>
  <c r="AR4" i="32"/>
  <c r="AS4" i="32"/>
  <c r="AT4" i="32"/>
  <c r="AU4" i="32"/>
  <c r="AR4" i="33"/>
  <c r="AS4" i="33"/>
  <c r="AT4" i="33"/>
  <c r="AU4" i="33"/>
  <c r="AR4" i="34"/>
  <c r="AS4" i="34"/>
  <c r="AT4" i="34"/>
  <c r="AU4" i="34"/>
  <c r="AR4" i="35"/>
  <c r="AS4" i="35"/>
  <c r="AT4" i="35"/>
  <c r="AU4" i="35"/>
  <c r="AR4" i="36"/>
  <c r="AS4" i="36"/>
  <c r="AT4" i="36"/>
  <c r="AU4" i="36"/>
  <c r="AR4" i="37"/>
  <c r="AS4" i="37"/>
  <c r="AT4" i="37"/>
  <c r="AU4" i="37"/>
  <c r="AR4" i="38"/>
  <c r="AS4" i="38"/>
  <c r="AT4" i="38"/>
  <c r="AU4" i="38"/>
  <c r="AR4" i="39"/>
  <c r="AS4" i="39"/>
  <c r="AT4" i="39"/>
  <c r="AU4" i="39"/>
  <c r="AR4" i="40"/>
  <c r="AS4" i="40"/>
  <c r="AT4" i="40"/>
  <c r="AU4" i="40"/>
  <c r="AR4" i="41"/>
  <c r="AS4" i="41"/>
  <c r="AT4" i="41"/>
  <c r="AU4" i="41"/>
  <c r="AR4" i="42"/>
  <c r="K4" i="42" s="1"/>
  <c r="AS4" i="42"/>
  <c r="AT4" i="42"/>
  <c r="AU4" i="42"/>
  <c r="AR4" i="43"/>
  <c r="AS4" i="43"/>
  <c r="K4" i="43" s="1"/>
  <c r="U6" i="13" s="1"/>
  <c r="K4" i="5" s="1"/>
  <c r="AT4" i="43"/>
  <c r="AU4" i="43"/>
  <c r="AR4" i="44"/>
  <c r="AS4" i="44"/>
  <c r="AT4" i="44"/>
  <c r="AU4" i="44"/>
  <c r="AR4" i="45"/>
  <c r="AS4" i="45"/>
  <c r="AT4" i="45"/>
  <c r="AU4" i="45"/>
  <c r="AR4" i="46"/>
  <c r="AS4" i="46"/>
  <c r="AT4" i="46"/>
  <c r="AU4" i="46"/>
  <c r="AR4" i="47"/>
  <c r="AS4" i="47"/>
  <c r="AT4" i="47"/>
  <c r="AU4" i="47"/>
  <c r="AR4" i="48"/>
  <c r="AS4" i="48"/>
  <c r="AT4" i="48"/>
  <c r="AU4" i="48"/>
  <c r="AR4" i="49"/>
  <c r="AS4" i="49"/>
  <c r="AT4" i="49"/>
  <c r="AU4" i="49"/>
  <c r="AR4" i="50"/>
  <c r="AS4" i="50"/>
  <c r="AT4" i="50"/>
  <c r="AU4" i="50"/>
  <c r="AR4" i="51"/>
  <c r="AS4" i="51"/>
  <c r="AT4" i="51"/>
  <c r="K4" i="51" s="1"/>
  <c r="AC6" i="13" s="1"/>
  <c r="I4" i="9" s="1"/>
  <c r="AU4" i="51"/>
  <c r="AR4" i="52"/>
  <c r="K4" i="52" s="1"/>
  <c r="AS4" i="52"/>
  <c r="AT4" i="52"/>
  <c r="AU4" i="52"/>
  <c r="AR4" i="53"/>
  <c r="AS4" i="53"/>
  <c r="AT4" i="53"/>
  <c r="AU4" i="53"/>
  <c r="AR4" i="54"/>
  <c r="AS4" i="54"/>
  <c r="AT4" i="54"/>
  <c r="AU4" i="54"/>
  <c r="AR4" i="24"/>
  <c r="AS4" i="24"/>
  <c r="AT4" i="24"/>
  <c r="AU4" i="24"/>
  <c r="G56" i="25"/>
  <c r="G56" i="26"/>
  <c r="G56" i="27"/>
  <c r="G56" i="28"/>
  <c r="G56" i="29"/>
  <c r="G56" i="30"/>
  <c r="G56" i="31"/>
  <c r="G56" i="32"/>
  <c r="G56" i="33"/>
  <c r="G56" i="34"/>
  <c r="G56" i="35"/>
  <c r="G56" i="36"/>
  <c r="G56" i="37"/>
  <c r="G56" i="38"/>
  <c r="G56" i="39"/>
  <c r="G56" i="40"/>
  <c r="G56" i="41"/>
  <c r="G56" i="42"/>
  <c r="G56" i="43"/>
  <c r="G56" i="44"/>
  <c r="G56" i="45"/>
  <c r="G56" i="46"/>
  <c r="G56" i="47"/>
  <c r="G56" i="48"/>
  <c r="G56" i="49"/>
  <c r="G56" i="50"/>
  <c r="G56" i="51"/>
  <c r="G56" i="52"/>
  <c r="G56" i="53"/>
  <c r="G56" i="54"/>
  <c r="G56" i="24"/>
  <c r="C61" i="25"/>
  <c r="C61" i="26"/>
  <c r="C61" i="27"/>
  <c r="C61" i="28"/>
  <c r="C61" i="29"/>
  <c r="C61" i="30"/>
  <c r="C61" i="31"/>
  <c r="C61" i="32"/>
  <c r="C61" i="33"/>
  <c r="C61" i="34"/>
  <c r="C61" i="35"/>
  <c r="C61" i="36"/>
  <c r="C61" i="37"/>
  <c r="C61" i="38"/>
  <c r="C61" i="39"/>
  <c r="C61" i="40"/>
  <c r="C61" i="41"/>
  <c r="C61" i="42"/>
  <c r="C61" i="43"/>
  <c r="C61" i="44"/>
  <c r="C61" i="45"/>
  <c r="C60" i="46"/>
  <c r="C61" i="47"/>
  <c r="C61" i="48"/>
  <c r="C61" i="49"/>
  <c r="C61" i="50"/>
  <c r="C61" i="51"/>
  <c r="C61" i="52"/>
  <c r="C61" i="53"/>
  <c r="C61" i="54"/>
  <c r="C61" i="24"/>
  <c r="C60" i="25"/>
  <c r="C60" i="26"/>
  <c r="C60" i="27"/>
  <c r="C60" i="28"/>
  <c r="C60" i="29"/>
  <c r="C60" i="30"/>
  <c r="C60" i="31"/>
  <c r="C60" i="32"/>
  <c r="C60" i="33"/>
  <c r="C60" i="34"/>
  <c r="C60" i="35"/>
  <c r="C60" i="36"/>
  <c r="C60" i="37"/>
  <c r="C60" i="38"/>
  <c r="C60" i="39"/>
  <c r="C60" i="40"/>
  <c r="C60" i="41"/>
  <c r="C60" i="42"/>
  <c r="C60" i="43"/>
  <c r="C60" i="44"/>
  <c r="C60" i="45"/>
  <c r="C59" i="46"/>
  <c r="C60" i="47"/>
  <c r="C60" i="48"/>
  <c r="C60" i="49"/>
  <c r="C60" i="50"/>
  <c r="C60" i="51"/>
  <c r="C60" i="52"/>
  <c r="C60" i="53"/>
  <c r="C60" i="54"/>
  <c r="C60" i="24"/>
  <c r="C59" i="25"/>
  <c r="C11" i="23"/>
  <c r="C59" i="26"/>
  <c r="C15" i="23" s="1"/>
  <c r="C59" i="27"/>
  <c r="C19" i="23"/>
  <c r="C59" i="28"/>
  <c r="C23" i="23"/>
  <c r="C59" i="29"/>
  <c r="C27" i="23" s="1"/>
  <c r="C59" i="30"/>
  <c r="C31" i="23"/>
  <c r="C59" i="31"/>
  <c r="C35" i="23"/>
  <c r="C59" i="32"/>
  <c r="C39" i="23" s="1"/>
  <c r="C59" i="33"/>
  <c r="C43" i="23"/>
  <c r="C59" i="34"/>
  <c r="C47" i="23"/>
  <c r="C59" i="35"/>
  <c r="C51" i="23" s="1"/>
  <c r="C59" i="36"/>
  <c r="C55" i="23"/>
  <c r="C59" i="37"/>
  <c r="C59" i="23"/>
  <c r="C59" i="38"/>
  <c r="C63" i="23" s="1"/>
  <c r="C59" i="39"/>
  <c r="C67" i="23"/>
  <c r="C59" i="40"/>
  <c r="C71" i="23"/>
  <c r="C59" i="41"/>
  <c r="C75" i="23" s="1"/>
  <c r="C59" i="42"/>
  <c r="C79" i="23"/>
  <c r="C59" i="43"/>
  <c r="C83" i="23"/>
  <c r="C59" i="44"/>
  <c r="C87" i="23" s="1"/>
  <c r="C59" i="48"/>
  <c r="C103" i="23"/>
  <c r="C59" i="49"/>
  <c r="C107" i="23"/>
  <c r="C59" i="50"/>
  <c r="C111" i="23" s="1"/>
  <c r="C59" i="51"/>
  <c r="C115" i="23"/>
  <c r="C59" i="52"/>
  <c r="C119" i="23"/>
  <c r="C59" i="53"/>
  <c r="C123" i="23" s="1"/>
  <c r="C59" i="54"/>
  <c r="C127" i="23"/>
  <c r="C59" i="24"/>
  <c r="C7" i="23" s="1"/>
  <c r="C58" i="25"/>
  <c r="C58" i="26"/>
  <c r="C58" i="27"/>
  <c r="C58" i="28"/>
  <c r="C58" i="29"/>
  <c r="C58" i="30"/>
  <c r="C58" i="31"/>
  <c r="C58" i="32"/>
  <c r="C58" i="33"/>
  <c r="C58" i="34"/>
  <c r="C58" i="35"/>
  <c r="C58" i="36"/>
  <c r="C58" i="37"/>
  <c r="C58" i="38"/>
  <c r="C58" i="39"/>
  <c r="C58" i="40"/>
  <c r="C58" i="41"/>
  <c r="C58" i="42"/>
  <c r="C58" i="43"/>
  <c r="C58" i="44"/>
  <c r="C58" i="45"/>
  <c r="C57" i="46"/>
  <c r="C58" i="47"/>
  <c r="C58" i="48"/>
  <c r="C58" i="49"/>
  <c r="C58" i="50"/>
  <c r="C58" i="51"/>
  <c r="C58" i="52"/>
  <c r="C58" i="53"/>
  <c r="C58" i="54"/>
  <c r="C58" i="24"/>
  <c r="C57" i="25"/>
  <c r="C57" i="26"/>
  <c r="C57" i="27"/>
  <c r="C57" i="28"/>
  <c r="C57" i="29"/>
  <c r="C57" i="30"/>
  <c r="C57" i="31"/>
  <c r="C57" i="32"/>
  <c r="C57" i="33"/>
  <c r="C57" i="34"/>
  <c r="C57" i="35"/>
  <c r="C57" i="36"/>
  <c r="C57" i="37"/>
  <c r="C57" i="38"/>
  <c r="C57" i="39"/>
  <c r="C57" i="40"/>
  <c r="C57" i="41"/>
  <c r="C57" i="42"/>
  <c r="C57" i="43"/>
  <c r="C57" i="44"/>
  <c r="C57" i="45"/>
  <c r="C57" i="47"/>
  <c r="C57" i="48"/>
  <c r="C57" i="49"/>
  <c r="C57" i="50"/>
  <c r="C57" i="51"/>
  <c r="C57" i="52"/>
  <c r="C57" i="53"/>
  <c r="C57" i="54"/>
  <c r="C57" i="24"/>
  <c r="C56" i="25"/>
  <c r="C56" i="26"/>
  <c r="C56" i="27"/>
  <c r="C56" i="28"/>
  <c r="C56" i="29"/>
  <c r="C56" i="30"/>
  <c r="C56" i="31"/>
  <c r="C56" i="32"/>
  <c r="C56" i="33"/>
  <c r="C56" i="34"/>
  <c r="C56" i="35"/>
  <c r="C56" i="36"/>
  <c r="C56" i="37"/>
  <c r="C56" i="38"/>
  <c r="C56" i="39"/>
  <c r="C56" i="40"/>
  <c r="C56" i="41"/>
  <c r="C56" i="42"/>
  <c r="C56" i="43"/>
  <c r="C56" i="44"/>
  <c r="C56" i="45"/>
  <c r="C56" i="46"/>
  <c r="C56" i="47"/>
  <c r="C56" i="48"/>
  <c r="C56" i="49"/>
  <c r="C56" i="50"/>
  <c r="C56" i="51"/>
  <c r="C56" i="52"/>
  <c r="C56" i="53"/>
  <c r="C56" i="54"/>
  <c r="C56" i="24"/>
  <c r="K31" i="26"/>
  <c r="D31" i="62"/>
  <c r="K31" i="28"/>
  <c r="F31" i="62" s="1"/>
  <c r="K31" i="30"/>
  <c r="H31" i="62"/>
  <c r="K31" i="34"/>
  <c r="L31" i="62"/>
  <c r="K31" i="35"/>
  <c r="M31" i="62" s="1"/>
  <c r="K31" i="38"/>
  <c r="P31" i="62"/>
  <c r="K31" i="39"/>
  <c r="Q31" i="62"/>
  <c r="K31" i="40"/>
  <c r="R31" i="62" s="1"/>
  <c r="K31" i="42"/>
  <c r="T31" i="62"/>
  <c r="K31" i="44"/>
  <c r="V31" i="62"/>
  <c r="K31" i="49"/>
  <c r="AA31" i="62" s="1"/>
  <c r="K31" i="53"/>
  <c r="AE31" i="62"/>
  <c r="K31" i="54"/>
  <c r="AF31" i="62"/>
  <c r="C7" i="62"/>
  <c r="C5" i="63" s="1"/>
  <c r="D7" i="62"/>
  <c r="D5" i="63"/>
  <c r="F7" i="62"/>
  <c r="F5" i="63"/>
  <c r="K7" i="62"/>
  <c r="K5" i="63" s="1"/>
  <c r="L7" i="62"/>
  <c r="B5" i="64"/>
  <c r="N7" i="62"/>
  <c r="D5" i="64"/>
  <c r="O7" i="62"/>
  <c r="E5" i="64" s="1"/>
  <c r="P7" i="62"/>
  <c r="F5" i="64"/>
  <c r="AF7" i="62"/>
  <c r="A2" i="5"/>
  <c r="A2" i="9"/>
  <c r="A2" i="2"/>
  <c r="A2" i="6"/>
  <c r="A2" i="11"/>
  <c r="A2" i="3"/>
  <c r="A2" i="7"/>
  <c r="A2" i="10"/>
  <c r="A2" i="4"/>
  <c r="A2" i="8"/>
  <c r="A2" i="12"/>
  <c r="A2" i="63"/>
  <c r="A2" i="64"/>
  <c r="A2" i="65"/>
  <c r="A2" i="55"/>
  <c r="A2" i="1"/>
  <c r="L5" i="44"/>
  <c r="V7" i="15" s="1"/>
  <c r="B5" i="11" s="1"/>
  <c r="L5" i="47"/>
  <c r="Y7" i="15" s="1"/>
  <c r="E5" i="11" s="1"/>
  <c r="L5" i="48"/>
  <c r="Z7" i="15" s="1"/>
  <c r="F5" i="11" s="1"/>
  <c r="L5" i="49"/>
  <c r="AA7" i="15" s="1"/>
  <c r="G5" i="11" s="1"/>
  <c r="L5" i="50"/>
  <c r="AB7" i="15" s="1"/>
  <c r="H5" i="11" s="1"/>
  <c r="L5" i="51"/>
  <c r="AC7" i="15" s="1"/>
  <c r="I5" i="11" s="1"/>
  <c r="L5" i="52"/>
  <c r="AD7" i="15" s="1"/>
  <c r="J5" i="11" s="1"/>
  <c r="L5" i="53"/>
  <c r="AE7" i="15"/>
  <c r="K5" i="11" s="1"/>
  <c r="L5" i="54"/>
  <c r="AF7" i="15" s="1"/>
  <c r="L5" i="24"/>
  <c r="B7" i="15" s="1"/>
  <c r="L5" i="25"/>
  <c r="C7" i="15" s="1"/>
  <c r="C5" i="2" s="1"/>
  <c r="L5" i="26"/>
  <c r="D7" i="15"/>
  <c r="D5" i="2" s="1"/>
  <c r="L5" i="27"/>
  <c r="E7" i="15" s="1"/>
  <c r="E5" i="2" s="1"/>
  <c r="L5" i="28"/>
  <c r="F7" i="15"/>
  <c r="F5" i="2" s="1"/>
  <c r="L5" i="29"/>
  <c r="G7" i="15" s="1"/>
  <c r="G5" i="2" s="1"/>
  <c r="L5" i="30"/>
  <c r="H7" i="15"/>
  <c r="H5" i="2" s="1"/>
  <c r="L5" i="31"/>
  <c r="I7" i="15" s="1"/>
  <c r="I5" i="2" s="1"/>
  <c r="L5" i="32"/>
  <c r="J7" i="15"/>
  <c r="J5" i="2" s="1"/>
  <c r="L5" i="33"/>
  <c r="K7" i="15" s="1"/>
  <c r="K5" i="2" s="1"/>
  <c r="L5" i="34"/>
  <c r="L7" i="15"/>
  <c r="B5" i="6" s="1"/>
  <c r="L5" i="35"/>
  <c r="M7" i="15" s="1"/>
  <c r="C5" i="6" s="1"/>
  <c r="L5" i="36"/>
  <c r="N7" i="15"/>
  <c r="D5" i="6" s="1"/>
  <c r="L5" i="37"/>
  <c r="O7" i="15" s="1"/>
  <c r="E5" i="6" s="1"/>
  <c r="L5" i="38"/>
  <c r="P7" i="15"/>
  <c r="F5" i="6" s="1"/>
  <c r="L5" i="39"/>
  <c r="Q7" i="15" s="1"/>
  <c r="G5" i="6" s="1"/>
  <c r="L5" i="40"/>
  <c r="R7" i="15"/>
  <c r="H5" i="6" s="1"/>
  <c r="L5" i="41"/>
  <c r="S7" i="15" s="1"/>
  <c r="I5" i="6" s="1"/>
  <c r="L5" i="42"/>
  <c r="T7" i="15"/>
  <c r="J5" i="6" s="1"/>
  <c r="L5" i="43"/>
  <c r="U7" i="15" s="1"/>
  <c r="K5" i="6" s="1"/>
  <c r="N130" i="23"/>
  <c r="N129" i="23"/>
  <c r="N128" i="23"/>
  <c r="N127" i="23"/>
  <c r="N126" i="23"/>
  <c r="N125" i="23"/>
  <c r="N124" i="23"/>
  <c r="N123" i="23"/>
  <c r="N122" i="23"/>
  <c r="N121" i="23"/>
  <c r="N120" i="23"/>
  <c r="N119" i="23"/>
  <c r="N118" i="23"/>
  <c r="N117" i="23"/>
  <c r="N116" i="23"/>
  <c r="N115" i="23"/>
  <c r="N114" i="23"/>
  <c r="N113" i="23"/>
  <c r="N112" i="23"/>
  <c r="N111" i="23"/>
  <c r="N110" i="23"/>
  <c r="N109" i="23"/>
  <c r="N108" i="23"/>
  <c r="N107" i="23"/>
  <c r="N106" i="23"/>
  <c r="N105" i="23"/>
  <c r="N104" i="23"/>
  <c r="N103" i="23"/>
  <c r="N102" i="23"/>
  <c r="N101" i="23"/>
  <c r="N100" i="23"/>
  <c r="N99" i="23"/>
  <c r="N98" i="23"/>
  <c r="N97" i="23"/>
  <c r="N96" i="23"/>
  <c r="O100" i="23" s="1"/>
  <c r="N95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O63" i="23"/>
  <c r="N62" i="23"/>
  <c r="N61" i="23"/>
  <c r="N60" i="23"/>
  <c r="N59" i="23"/>
  <c r="N58" i="23"/>
  <c r="O62" i="23" s="1"/>
  <c r="N57" i="23"/>
  <c r="N56" i="23"/>
  <c r="O60" i="23" s="1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O42" i="23" s="1"/>
  <c r="N37" i="23"/>
  <c r="N36" i="23"/>
  <c r="N35" i="23"/>
  <c r="N34" i="23"/>
  <c r="N33" i="23"/>
  <c r="N32" i="23"/>
  <c r="N31" i="23"/>
  <c r="O31" i="23" s="1"/>
  <c r="N30" i="23"/>
  <c r="N29" i="23"/>
  <c r="N28" i="23"/>
  <c r="N27" i="23"/>
  <c r="N26" i="23"/>
  <c r="N25" i="23"/>
  <c r="N24" i="23"/>
  <c r="N23" i="23"/>
  <c r="N22" i="23"/>
  <c r="O26" i="23" s="1"/>
  <c r="N21" i="23"/>
  <c r="N20" i="23"/>
  <c r="N19" i="23"/>
  <c r="N18" i="23"/>
  <c r="N17" i="23"/>
  <c r="N16" i="23"/>
  <c r="N15" i="23"/>
  <c r="N14" i="23"/>
  <c r="N13" i="23"/>
  <c r="N12" i="23"/>
  <c r="N11" i="23"/>
  <c r="N10" i="23"/>
  <c r="N9" i="23"/>
  <c r="O13" i="23" s="1"/>
  <c r="N8" i="23"/>
  <c r="N7" i="23"/>
  <c r="O7" i="23" s="1"/>
  <c r="P7" i="23" s="1"/>
  <c r="K5" i="40"/>
  <c r="R7" i="13" s="1"/>
  <c r="H5" i="5" s="1"/>
  <c r="K5" i="39"/>
  <c r="Q7" i="13"/>
  <c r="K5" i="29"/>
  <c r="G7" i="13" s="1"/>
  <c r="G5" i="1" s="1"/>
  <c r="K5" i="30"/>
  <c r="H7" i="13" s="1"/>
  <c r="H5" i="1" s="1"/>
  <c r="K5" i="31"/>
  <c r="I7" i="13" s="1"/>
  <c r="I5" i="1" s="1"/>
  <c r="K5" i="32"/>
  <c r="J7" i="13"/>
  <c r="K5" i="33"/>
  <c r="K7" i="13" s="1"/>
  <c r="K5" i="1" s="1"/>
  <c r="K5" i="41"/>
  <c r="S7" i="13" s="1"/>
  <c r="I5" i="5" s="1"/>
  <c r="K5" i="42"/>
  <c r="T7" i="13" s="1"/>
  <c r="J5" i="5" s="1"/>
  <c r="K5" i="43"/>
  <c r="U7" i="13" s="1"/>
  <c r="K5" i="5" s="1"/>
  <c r="K5" i="44"/>
  <c r="V7" i="13" s="1"/>
  <c r="B5" i="9" s="1"/>
  <c r="K5" i="45"/>
  <c r="W7" i="13" s="1"/>
  <c r="C5" i="9" s="1"/>
  <c r="K5" i="46"/>
  <c r="X7" i="13" s="1"/>
  <c r="D5" i="9" s="1"/>
  <c r="K5" i="47"/>
  <c r="Y7" i="13"/>
  <c r="E5" i="9" s="1"/>
  <c r="K5" i="48"/>
  <c r="Z7" i="13" s="1"/>
  <c r="F5" i="9" s="1"/>
  <c r="K5" i="49"/>
  <c r="AA7" i="13" s="1"/>
  <c r="G5" i="9" s="1"/>
  <c r="K5" i="50"/>
  <c r="AB7" i="13"/>
  <c r="H5" i="9" s="1"/>
  <c r="K5" i="51"/>
  <c r="AC7" i="13" s="1"/>
  <c r="I5" i="9" s="1"/>
  <c r="K5" i="52"/>
  <c r="AD7" i="13" s="1"/>
  <c r="J5" i="9" s="1"/>
  <c r="K5" i="53"/>
  <c r="AE7" i="13" s="1"/>
  <c r="K5" i="9" s="1"/>
  <c r="M5" i="39"/>
  <c r="Q7" i="14"/>
  <c r="M5" i="25"/>
  <c r="C7" i="14" s="1"/>
  <c r="M5" i="26"/>
  <c r="D7" i="14" s="1"/>
  <c r="D5" i="3" s="1"/>
  <c r="M5" i="27"/>
  <c r="E7" i="14" s="1"/>
  <c r="E5" i="3" s="1"/>
  <c r="M5" i="28"/>
  <c r="F7" i="14" s="1"/>
  <c r="F5" i="3" s="1"/>
  <c r="M5" i="29"/>
  <c r="G7" i="14" s="1"/>
  <c r="G5" i="3" s="1"/>
  <c r="M5" i="3" s="1"/>
  <c r="M5" i="30"/>
  <c r="H7" i="14" s="1"/>
  <c r="H5" i="3" s="1"/>
  <c r="M5" i="31"/>
  <c r="I7" i="14" s="1"/>
  <c r="I5" i="3" s="1"/>
  <c r="M5" i="32"/>
  <c r="J7" i="14"/>
  <c r="J5" i="3" s="1"/>
  <c r="M5" i="33"/>
  <c r="K7" i="14" s="1"/>
  <c r="K5" i="3" s="1"/>
  <c r="M5" i="34"/>
  <c r="L7" i="14"/>
  <c r="B5" i="7" s="1"/>
  <c r="M5" i="35"/>
  <c r="M7" i="14" s="1"/>
  <c r="C5" i="7" s="1"/>
  <c r="M5" i="36"/>
  <c r="N7" i="14"/>
  <c r="D5" i="7" s="1"/>
  <c r="M5" i="37"/>
  <c r="O7" i="14" s="1"/>
  <c r="E5" i="7" s="1"/>
  <c r="M5" i="38"/>
  <c r="P7" i="14"/>
  <c r="F5" i="7" s="1"/>
  <c r="M5" i="40"/>
  <c r="R7" i="14" s="1"/>
  <c r="H5" i="7" s="1"/>
  <c r="M5" i="41"/>
  <c r="S7" i="14" s="1"/>
  <c r="I5" i="7" s="1"/>
  <c r="M5" i="42"/>
  <c r="T7" i="14" s="1"/>
  <c r="J5" i="7" s="1"/>
  <c r="M5" i="43"/>
  <c r="U7" i="14"/>
  <c r="K5" i="7" s="1"/>
  <c r="M5" i="44"/>
  <c r="V7" i="14" s="1"/>
  <c r="B5" i="10" s="1"/>
  <c r="M5" i="47"/>
  <c r="Y7" i="14"/>
  <c r="E5" i="10" s="1"/>
  <c r="M5" i="48"/>
  <c r="Z7" i="14" s="1"/>
  <c r="F5" i="10" s="1"/>
  <c r="M5" i="49"/>
  <c r="AA7" i="14" s="1"/>
  <c r="G5" i="10" s="1"/>
  <c r="M5" i="50"/>
  <c r="AB7" i="14"/>
  <c r="H5" i="10" s="1"/>
  <c r="M5" i="51"/>
  <c r="AC7" i="14" s="1"/>
  <c r="I5" i="10" s="1"/>
  <c r="M5" i="52"/>
  <c r="AD7" i="14" s="1"/>
  <c r="J5" i="10" s="1"/>
  <c r="M5" i="53"/>
  <c r="AE7" i="14"/>
  <c r="K5" i="10" s="1"/>
  <c r="M5" i="54"/>
  <c r="AF7" i="14" s="1"/>
  <c r="R7" i="62"/>
  <c r="H5" i="64" s="1"/>
  <c r="M5" i="64" s="1"/>
  <c r="Q7" i="62"/>
  <c r="G5" i="64" s="1"/>
  <c r="H7" i="62"/>
  <c r="I7" i="62"/>
  <c r="I5" i="63" s="1"/>
  <c r="J7" i="62"/>
  <c r="J5" i="63"/>
  <c r="T7" i="62"/>
  <c r="U7" i="62"/>
  <c r="K5" i="64" s="1"/>
  <c r="V7" i="62"/>
  <c r="B5" i="65" s="1"/>
  <c r="X7" i="62"/>
  <c r="D5" i="65" s="1"/>
  <c r="Y7" i="62"/>
  <c r="E5" i="65" s="1"/>
  <c r="Z7" i="62"/>
  <c r="F5" i="65" s="1"/>
  <c r="M5" i="65" s="1"/>
  <c r="AA7" i="62"/>
  <c r="G5" i="65"/>
  <c r="AB7" i="62"/>
  <c r="H5" i="65" s="1"/>
  <c r="AC7" i="62"/>
  <c r="I5" i="65" s="1"/>
  <c r="AD7" i="62"/>
  <c r="J5" i="65" s="1"/>
  <c r="AE7" i="62"/>
  <c r="K5" i="65"/>
  <c r="L32" i="62"/>
  <c r="T6" i="13"/>
  <c r="J4" i="5" s="1"/>
  <c r="AD6" i="13"/>
  <c r="J4" i="9" s="1"/>
  <c r="J5" i="64"/>
  <c r="H5" i="63"/>
  <c r="B4" i="12"/>
  <c r="C4" i="12"/>
  <c r="D4" i="12"/>
  <c r="F4" i="12"/>
  <c r="B5" i="12"/>
  <c r="E5" i="12"/>
  <c r="F5" i="12"/>
  <c r="G5" i="12"/>
  <c r="H5" i="12"/>
  <c r="J5" i="12"/>
  <c r="K5" i="12"/>
  <c r="G5" i="8"/>
  <c r="H5" i="8"/>
  <c r="J5" i="8"/>
  <c r="K5" i="8"/>
  <c r="H5" i="4"/>
  <c r="I5" i="4"/>
  <c r="K5" i="4"/>
  <c r="C5" i="10"/>
  <c r="D5" i="10"/>
  <c r="G5" i="7"/>
  <c r="G5" i="5"/>
  <c r="M5" i="5" s="1"/>
  <c r="V6" i="62"/>
  <c r="B4" i="65" s="1"/>
  <c r="W6" i="62"/>
  <c r="C4" i="65" s="1"/>
  <c r="X6" i="62"/>
  <c r="D4" i="65" s="1"/>
  <c r="Y6" i="62"/>
  <c r="E4" i="65" s="1"/>
  <c r="Z6" i="62"/>
  <c r="F4" i="65" s="1"/>
  <c r="AA6" i="62"/>
  <c r="G4" i="65" s="1"/>
  <c r="AB6" i="62"/>
  <c r="H4" i="65" s="1"/>
  <c r="AC6" i="62"/>
  <c r="I4" i="65" s="1"/>
  <c r="AD6" i="62"/>
  <c r="J4" i="65" s="1"/>
  <c r="AE6" i="62"/>
  <c r="K4" i="65" s="1"/>
  <c r="Q6" i="62"/>
  <c r="G4" i="64" s="1"/>
  <c r="R6" i="62"/>
  <c r="H4" i="64" s="1"/>
  <c r="S6" i="62"/>
  <c r="I4" i="64" s="1"/>
  <c r="T6" i="62"/>
  <c r="J4" i="64" s="1"/>
  <c r="U6" i="62"/>
  <c r="K4" i="64" s="1"/>
  <c r="G6" i="62"/>
  <c r="G4" i="63" s="1"/>
  <c r="H6" i="62"/>
  <c r="H4" i="63" s="1"/>
  <c r="I6" i="62"/>
  <c r="I4" i="63" s="1"/>
  <c r="J6" i="62"/>
  <c r="J4" i="63" s="1"/>
  <c r="K6" i="62"/>
  <c r="K4" i="63" s="1"/>
  <c r="G4" i="12"/>
  <c r="I4" i="12"/>
  <c r="J4" i="12"/>
  <c r="K4" i="12"/>
  <c r="G4" i="8"/>
  <c r="I4" i="8"/>
  <c r="J4" i="8"/>
  <c r="G4" i="4"/>
  <c r="H4" i="4"/>
  <c r="J4" i="4"/>
  <c r="K4" i="4"/>
  <c r="M4" i="44"/>
  <c r="V6" i="14"/>
  <c r="B4" i="10" s="1"/>
  <c r="C4" i="10"/>
  <c r="D4" i="10"/>
  <c r="M4" i="47"/>
  <c r="Y6" i="14" s="1"/>
  <c r="E4" i="10" s="1"/>
  <c r="M4" i="48"/>
  <c r="Z6" i="14" s="1"/>
  <c r="F4" i="10" s="1"/>
  <c r="M4" i="49"/>
  <c r="AA6" i="14" s="1"/>
  <c r="G4" i="10" s="1"/>
  <c r="M4" i="50"/>
  <c r="AB6" i="14" s="1"/>
  <c r="H4" i="10" s="1"/>
  <c r="N4" i="10" s="1"/>
  <c r="M4" i="51"/>
  <c r="AC6" i="14" s="1"/>
  <c r="I4" i="10" s="1"/>
  <c r="M4" i="52"/>
  <c r="AD6" i="14" s="1"/>
  <c r="J4" i="10" s="1"/>
  <c r="M4" i="53"/>
  <c r="AE6" i="14" s="1"/>
  <c r="K4" i="10" s="1"/>
  <c r="M4" i="54"/>
  <c r="AF6" i="14" s="1"/>
  <c r="M4" i="39"/>
  <c r="Q6" i="14" s="1"/>
  <c r="G4" i="7" s="1"/>
  <c r="M4" i="34"/>
  <c r="L6" i="14" s="1"/>
  <c r="B4" i="7" s="1"/>
  <c r="M4" i="35"/>
  <c r="M6" i="14" s="1"/>
  <c r="C4" i="7" s="1"/>
  <c r="M4" i="36"/>
  <c r="N6" i="14" s="1"/>
  <c r="D4" i="7" s="1"/>
  <c r="M4" i="37"/>
  <c r="O6" i="14" s="1"/>
  <c r="E4" i="7" s="1"/>
  <c r="M4" i="38"/>
  <c r="P6" i="14" s="1"/>
  <c r="F4" i="7" s="1"/>
  <c r="M4" i="40"/>
  <c r="R6" i="14" s="1"/>
  <c r="H4" i="7" s="1"/>
  <c r="M4" i="41"/>
  <c r="S6" i="14" s="1"/>
  <c r="I4" i="7" s="1"/>
  <c r="M4" i="42"/>
  <c r="T6" i="14" s="1"/>
  <c r="J4" i="7" s="1"/>
  <c r="M4" i="43"/>
  <c r="U6" i="14" s="1"/>
  <c r="K4" i="7" s="1"/>
  <c r="M4" i="25"/>
  <c r="C6" i="14" s="1"/>
  <c r="M4" i="26"/>
  <c r="D6" i="14" s="1"/>
  <c r="D4" i="3" s="1"/>
  <c r="M4" i="27"/>
  <c r="E6" i="14" s="1"/>
  <c r="E4" i="3" s="1"/>
  <c r="M4" i="28"/>
  <c r="F6" i="14" s="1"/>
  <c r="F4" i="3" s="1"/>
  <c r="M4" i="29"/>
  <c r="G6" i="14" s="1"/>
  <c r="G4" i="3" s="1"/>
  <c r="M4" i="3" s="1"/>
  <c r="M4" i="30"/>
  <c r="H6" i="14" s="1"/>
  <c r="H4" i="3" s="1"/>
  <c r="M4" i="31"/>
  <c r="I6" i="14" s="1"/>
  <c r="I4" i="3" s="1"/>
  <c r="M4" i="32"/>
  <c r="J6" i="14" s="1"/>
  <c r="J4" i="3" s="1"/>
  <c r="M4" i="33"/>
  <c r="K6" i="14" s="1"/>
  <c r="K4" i="3" s="1"/>
  <c r="I4" i="6"/>
  <c r="J4" i="6"/>
  <c r="J4" i="2"/>
  <c r="K4" i="2"/>
  <c r="J5" i="1"/>
  <c r="D56" i="25"/>
  <c r="E56" i="25"/>
  <c r="F56" i="25"/>
  <c r="H56" i="25"/>
  <c r="I56" i="25"/>
  <c r="D57" i="25"/>
  <c r="E57" i="25"/>
  <c r="F57" i="25"/>
  <c r="G57" i="25"/>
  <c r="H57" i="25"/>
  <c r="I57" i="25"/>
  <c r="D58" i="25"/>
  <c r="E58" i="25"/>
  <c r="Q12" i="23" s="1"/>
  <c r="F58" i="25"/>
  <c r="G58" i="25"/>
  <c r="H58" i="25"/>
  <c r="I58" i="25"/>
  <c r="D59" i="25"/>
  <c r="E59" i="25"/>
  <c r="C12" i="23" s="1"/>
  <c r="F59" i="25"/>
  <c r="G59" i="25"/>
  <c r="C13" i="23" s="1"/>
  <c r="H59" i="25"/>
  <c r="I59" i="25"/>
  <c r="C14" i="23" s="1"/>
  <c r="D60" i="25"/>
  <c r="E60" i="25"/>
  <c r="F60" i="25"/>
  <c r="G60" i="25"/>
  <c r="H60" i="25"/>
  <c r="I60" i="25"/>
  <c r="D61" i="25"/>
  <c r="E61" i="25"/>
  <c r="F61" i="25"/>
  <c r="G61" i="25"/>
  <c r="H61" i="25"/>
  <c r="I61" i="25"/>
  <c r="D56" i="26"/>
  <c r="E56" i="26"/>
  <c r="F56" i="26"/>
  <c r="H56" i="26"/>
  <c r="I56" i="26"/>
  <c r="D57" i="26"/>
  <c r="E57" i="26"/>
  <c r="F57" i="26"/>
  <c r="G57" i="26"/>
  <c r="H57" i="26"/>
  <c r="I57" i="26"/>
  <c r="D58" i="26"/>
  <c r="E58" i="26"/>
  <c r="Q16" i="23"/>
  <c r="F58" i="26"/>
  <c r="G58" i="26"/>
  <c r="H58" i="26"/>
  <c r="I58" i="26"/>
  <c r="D59" i="26"/>
  <c r="E59" i="26"/>
  <c r="C16" i="23" s="1"/>
  <c r="F59" i="26"/>
  <c r="G59" i="26"/>
  <c r="C17" i="23"/>
  <c r="H59" i="26"/>
  <c r="I59" i="26"/>
  <c r="C18" i="23" s="1"/>
  <c r="D60" i="26"/>
  <c r="E60" i="26"/>
  <c r="F60" i="26"/>
  <c r="G60" i="26"/>
  <c r="H60" i="26"/>
  <c r="I60" i="26"/>
  <c r="D61" i="26"/>
  <c r="E61" i="26"/>
  <c r="F61" i="26"/>
  <c r="G61" i="26"/>
  <c r="H61" i="26"/>
  <c r="I61" i="26"/>
  <c r="D56" i="27"/>
  <c r="E56" i="27"/>
  <c r="F56" i="27"/>
  <c r="H56" i="27"/>
  <c r="I56" i="27"/>
  <c r="D57" i="27"/>
  <c r="E57" i="27"/>
  <c r="F57" i="27"/>
  <c r="G57" i="27"/>
  <c r="H57" i="27"/>
  <c r="I57" i="27"/>
  <c r="D58" i="27"/>
  <c r="E58" i="27"/>
  <c r="F58" i="27"/>
  <c r="G58" i="27"/>
  <c r="H58" i="27"/>
  <c r="I58" i="27"/>
  <c r="D59" i="27"/>
  <c r="E59" i="27"/>
  <c r="C20" i="23" s="1"/>
  <c r="F59" i="27"/>
  <c r="G59" i="27"/>
  <c r="C21" i="23"/>
  <c r="H59" i="27"/>
  <c r="I59" i="27"/>
  <c r="C22" i="23" s="1"/>
  <c r="D60" i="27"/>
  <c r="E60" i="27"/>
  <c r="F60" i="27"/>
  <c r="G60" i="27"/>
  <c r="H60" i="27"/>
  <c r="I60" i="27"/>
  <c r="D61" i="27"/>
  <c r="E61" i="27"/>
  <c r="F61" i="27"/>
  <c r="G61" i="27"/>
  <c r="H61" i="27"/>
  <c r="I61" i="27"/>
  <c r="D56" i="28"/>
  <c r="E56" i="28"/>
  <c r="F56" i="28"/>
  <c r="H56" i="28"/>
  <c r="I56" i="28"/>
  <c r="D57" i="28"/>
  <c r="E57" i="28"/>
  <c r="F57" i="28"/>
  <c r="G57" i="28"/>
  <c r="H57" i="28"/>
  <c r="I57" i="28"/>
  <c r="D58" i="28"/>
  <c r="E58" i="28"/>
  <c r="F58" i="28"/>
  <c r="G58" i="28"/>
  <c r="H58" i="28"/>
  <c r="I58" i="28"/>
  <c r="D59" i="28"/>
  <c r="E59" i="28"/>
  <c r="C24" i="23" s="1"/>
  <c r="F59" i="28"/>
  <c r="G59" i="28"/>
  <c r="C25" i="23"/>
  <c r="H59" i="28"/>
  <c r="I59" i="28"/>
  <c r="C26" i="23" s="1"/>
  <c r="D60" i="28"/>
  <c r="E60" i="28"/>
  <c r="F60" i="28"/>
  <c r="G60" i="28"/>
  <c r="H60" i="28"/>
  <c r="I60" i="28"/>
  <c r="D61" i="28"/>
  <c r="E61" i="28"/>
  <c r="F61" i="28"/>
  <c r="G61" i="28"/>
  <c r="H61" i="28"/>
  <c r="I61" i="28"/>
  <c r="D56" i="29"/>
  <c r="E56" i="29"/>
  <c r="F56" i="29"/>
  <c r="H56" i="29"/>
  <c r="I56" i="29"/>
  <c r="D57" i="29"/>
  <c r="E57" i="29"/>
  <c r="F57" i="29"/>
  <c r="G57" i="29"/>
  <c r="H57" i="29"/>
  <c r="I57" i="29"/>
  <c r="D58" i="29"/>
  <c r="E58" i="29"/>
  <c r="Q28" i="23" s="1"/>
  <c r="F58" i="29"/>
  <c r="G58" i="29"/>
  <c r="H58" i="29"/>
  <c r="I58" i="29"/>
  <c r="D59" i="29"/>
  <c r="E59" i="29"/>
  <c r="C28" i="23" s="1"/>
  <c r="F59" i="29"/>
  <c r="G59" i="29"/>
  <c r="C29" i="23" s="1"/>
  <c r="H59" i="29"/>
  <c r="I59" i="29"/>
  <c r="C30" i="23"/>
  <c r="D60" i="29"/>
  <c r="E60" i="29"/>
  <c r="F60" i="29"/>
  <c r="G60" i="29"/>
  <c r="H60" i="29"/>
  <c r="I60" i="29"/>
  <c r="D61" i="29"/>
  <c r="E61" i="29"/>
  <c r="F61" i="29"/>
  <c r="G61" i="29"/>
  <c r="H61" i="29"/>
  <c r="I61" i="29"/>
  <c r="D56" i="30"/>
  <c r="E56" i="30"/>
  <c r="F56" i="30"/>
  <c r="H56" i="30"/>
  <c r="I56" i="30"/>
  <c r="D57" i="30"/>
  <c r="E57" i="30"/>
  <c r="F57" i="30"/>
  <c r="G57" i="30"/>
  <c r="H57" i="30"/>
  <c r="I57" i="30"/>
  <c r="D58" i="30"/>
  <c r="E58" i="30"/>
  <c r="Q32" i="23"/>
  <c r="F58" i="30"/>
  <c r="G58" i="30"/>
  <c r="H58" i="30"/>
  <c r="I58" i="30"/>
  <c r="D59" i="30"/>
  <c r="E59" i="30"/>
  <c r="C32" i="23" s="1"/>
  <c r="F59" i="30"/>
  <c r="G59" i="30"/>
  <c r="C33" i="23" s="1"/>
  <c r="H59" i="30"/>
  <c r="I59" i="30"/>
  <c r="C34" i="23" s="1"/>
  <c r="D60" i="30"/>
  <c r="E60" i="30"/>
  <c r="F60" i="30"/>
  <c r="G60" i="30"/>
  <c r="H60" i="30"/>
  <c r="I60" i="30"/>
  <c r="D61" i="30"/>
  <c r="E61" i="30"/>
  <c r="F61" i="30"/>
  <c r="G61" i="30"/>
  <c r="H61" i="30"/>
  <c r="I61" i="30"/>
  <c r="D56" i="31"/>
  <c r="E56" i="31"/>
  <c r="F56" i="31"/>
  <c r="H56" i="31"/>
  <c r="I56" i="31"/>
  <c r="D57" i="31"/>
  <c r="E57" i="31"/>
  <c r="F57" i="31"/>
  <c r="G57" i="31"/>
  <c r="H57" i="31"/>
  <c r="I57" i="31"/>
  <c r="D58" i="31"/>
  <c r="E58" i="31"/>
  <c r="F58" i="31"/>
  <c r="G58" i="31"/>
  <c r="H58" i="31"/>
  <c r="I58" i="31"/>
  <c r="D59" i="31"/>
  <c r="E59" i="31"/>
  <c r="C36" i="23" s="1"/>
  <c r="F59" i="31"/>
  <c r="G59" i="31"/>
  <c r="C37" i="23" s="1"/>
  <c r="D41" i="23" s="1"/>
  <c r="H59" i="31"/>
  <c r="I59" i="31"/>
  <c r="C38" i="23" s="1"/>
  <c r="D60" i="31"/>
  <c r="E60" i="31"/>
  <c r="F60" i="31"/>
  <c r="G60" i="31"/>
  <c r="H60" i="31"/>
  <c r="I60" i="31"/>
  <c r="D61" i="31"/>
  <c r="E61" i="31"/>
  <c r="F61" i="31"/>
  <c r="G61" i="31"/>
  <c r="H61" i="31"/>
  <c r="I61" i="31"/>
  <c r="D56" i="32"/>
  <c r="E56" i="32"/>
  <c r="F56" i="32"/>
  <c r="H56" i="32"/>
  <c r="I56" i="32"/>
  <c r="D57" i="32"/>
  <c r="E57" i="32"/>
  <c r="F57" i="32"/>
  <c r="G57" i="32"/>
  <c r="H57" i="32"/>
  <c r="I57" i="32"/>
  <c r="D58" i="32"/>
  <c r="E58" i="32"/>
  <c r="F58" i="32"/>
  <c r="G58" i="32"/>
  <c r="Q41" i="23" s="1"/>
  <c r="H58" i="32"/>
  <c r="I58" i="32"/>
  <c r="D59" i="32"/>
  <c r="E59" i="32"/>
  <c r="C40" i="23"/>
  <c r="F59" i="32"/>
  <c r="G59" i="32"/>
  <c r="C41" i="23" s="1"/>
  <c r="H59" i="32"/>
  <c r="I59" i="32"/>
  <c r="C42" i="23"/>
  <c r="D60" i="32"/>
  <c r="E60" i="32"/>
  <c r="F60" i="32"/>
  <c r="G60" i="32"/>
  <c r="H60" i="32"/>
  <c r="I60" i="32"/>
  <c r="D61" i="32"/>
  <c r="E61" i="32"/>
  <c r="F61" i="32"/>
  <c r="G61" i="32"/>
  <c r="H61" i="32"/>
  <c r="I61" i="32"/>
  <c r="D56" i="33"/>
  <c r="E56" i="33"/>
  <c r="F56" i="33"/>
  <c r="H56" i="33"/>
  <c r="I56" i="33"/>
  <c r="D57" i="33"/>
  <c r="E57" i="33"/>
  <c r="F57" i="33"/>
  <c r="G57" i="33"/>
  <c r="H57" i="33"/>
  <c r="I57" i="33"/>
  <c r="D58" i="33"/>
  <c r="E58" i="33"/>
  <c r="Q44" i="23" s="1"/>
  <c r="F58" i="33"/>
  <c r="G58" i="33"/>
  <c r="H58" i="33"/>
  <c r="I58" i="33"/>
  <c r="D59" i="33"/>
  <c r="E59" i="33"/>
  <c r="C44" i="23" s="1"/>
  <c r="F59" i="33"/>
  <c r="G59" i="33"/>
  <c r="C45" i="23" s="1"/>
  <c r="H59" i="33"/>
  <c r="I59" i="33"/>
  <c r="C46" i="23" s="1"/>
  <c r="D60" i="33"/>
  <c r="E60" i="33"/>
  <c r="F60" i="33"/>
  <c r="G60" i="33"/>
  <c r="H60" i="33"/>
  <c r="I60" i="33"/>
  <c r="D61" i="33"/>
  <c r="E61" i="33"/>
  <c r="F61" i="33"/>
  <c r="G61" i="33"/>
  <c r="H61" i="33"/>
  <c r="I61" i="33"/>
  <c r="D56" i="34"/>
  <c r="E56" i="34"/>
  <c r="F56" i="34"/>
  <c r="H56" i="34"/>
  <c r="I56" i="34"/>
  <c r="D57" i="34"/>
  <c r="E57" i="34"/>
  <c r="F57" i="34"/>
  <c r="G57" i="34"/>
  <c r="H57" i="34"/>
  <c r="I57" i="34"/>
  <c r="D58" i="34"/>
  <c r="E58" i="34"/>
  <c r="Q48" i="23" s="1"/>
  <c r="F58" i="34"/>
  <c r="G58" i="34"/>
  <c r="H58" i="34"/>
  <c r="I58" i="34"/>
  <c r="D59" i="34"/>
  <c r="E59" i="34"/>
  <c r="C48" i="23" s="1"/>
  <c r="F59" i="34"/>
  <c r="G59" i="34"/>
  <c r="C49" i="23" s="1"/>
  <c r="H59" i="34"/>
  <c r="I59" i="34"/>
  <c r="C50" i="23" s="1"/>
  <c r="D60" i="34"/>
  <c r="E60" i="34"/>
  <c r="F60" i="34"/>
  <c r="G60" i="34"/>
  <c r="H60" i="34"/>
  <c r="I60" i="34"/>
  <c r="D61" i="34"/>
  <c r="E61" i="34"/>
  <c r="F61" i="34"/>
  <c r="G61" i="34"/>
  <c r="H61" i="34"/>
  <c r="I61" i="34"/>
  <c r="D56" i="35"/>
  <c r="E56" i="35"/>
  <c r="F56" i="35"/>
  <c r="H56" i="35"/>
  <c r="I56" i="35"/>
  <c r="D57" i="35"/>
  <c r="E57" i="35"/>
  <c r="F57" i="35"/>
  <c r="G57" i="35"/>
  <c r="H57" i="35"/>
  <c r="I57" i="35"/>
  <c r="D58" i="35"/>
  <c r="E58" i="35"/>
  <c r="F58" i="35"/>
  <c r="G58" i="35"/>
  <c r="H58" i="35"/>
  <c r="I58" i="35"/>
  <c r="D59" i="35"/>
  <c r="E59" i="35"/>
  <c r="C52" i="23"/>
  <c r="F59" i="35"/>
  <c r="G59" i="35"/>
  <c r="C53" i="23" s="1"/>
  <c r="H59" i="35"/>
  <c r="I59" i="35"/>
  <c r="C54" i="23" s="1"/>
  <c r="D58" i="23" s="1"/>
  <c r="D60" i="35"/>
  <c r="E60" i="35"/>
  <c r="F60" i="35"/>
  <c r="G60" i="35"/>
  <c r="H60" i="35"/>
  <c r="I60" i="35"/>
  <c r="D61" i="35"/>
  <c r="E61" i="35"/>
  <c r="F61" i="35"/>
  <c r="G61" i="35"/>
  <c r="H61" i="35"/>
  <c r="I61" i="35"/>
  <c r="D56" i="36"/>
  <c r="E56" i="36"/>
  <c r="F56" i="36"/>
  <c r="H56" i="36"/>
  <c r="I56" i="36"/>
  <c r="D57" i="36"/>
  <c r="E57" i="36"/>
  <c r="F57" i="36"/>
  <c r="G57" i="36"/>
  <c r="H57" i="36"/>
  <c r="I57" i="36"/>
  <c r="D58" i="36"/>
  <c r="E58" i="36"/>
  <c r="F58" i="36"/>
  <c r="G58" i="36"/>
  <c r="H58" i="36"/>
  <c r="I58" i="36"/>
  <c r="D59" i="36"/>
  <c r="E59" i="36"/>
  <c r="C56" i="23" s="1"/>
  <c r="F59" i="36"/>
  <c r="G59" i="36"/>
  <c r="C57" i="23" s="1"/>
  <c r="H59" i="36"/>
  <c r="I59" i="36"/>
  <c r="C58" i="23"/>
  <c r="D60" i="36"/>
  <c r="E60" i="36"/>
  <c r="F60" i="36"/>
  <c r="G60" i="36"/>
  <c r="H60" i="36"/>
  <c r="I60" i="36"/>
  <c r="D61" i="36"/>
  <c r="E61" i="36"/>
  <c r="F61" i="36"/>
  <c r="G61" i="36"/>
  <c r="H61" i="36"/>
  <c r="I61" i="36"/>
  <c r="D56" i="37"/>
  <c r="E56" i="37"/>
  <c r="F56" i="37"/>
  <c r="H56" i="37"/>
  <c r="I56" i="37"/>
  <c r="D57" i="37"/>
  <c r="E57" i="37"/>
  <c r="F57" i="37"/>
  <c r="G57" i="37"/>
  <c r="H57" i="37"/>
  <c r="I57" i="37"/>
  <c r="D58" i="37"/>
  <c r="E58" i="37"/>
  <c r="Q60" i="23" s="1"/>
  <c r="F58" i="37"/>
  <c r="G58" i="37"/>
  <c r="H58" i="37"/>
  <c r="I58" i="37"/>
  <c r="D59" i="37"/>
  <c r="E59" i="37"/>
  <c r="C60" i="23" s="1"/>
  <c r="F59" i="37"/>
  <c r="G59" i="37"/>
  <c r="C61" i="23" s="1"/>
  <c r="H59" i="37"/>
  <c r="I59" i="37"/>
  <c r="C62" i="23" s="1"/>
  <c r="D60" i="37"/>
  <c r="E60" i="37"/>
  <c r="F60" i="37"/>
  <c r="G60" i="37"/>
  <c r="H60" i="37"/>
  <c r="I60" i="37"/>
  <c r="D61" i="37"/>
  <c r="E61" i="37"/>
  <c r="F61" i="37"/>
  <c r="G61" i="37"/>
  <c r="H61" i="37"/>
  <c r="I61" i="37"/>
  <c r="D56" i="38"/>
  <c r="E56" i="38"/>
  <c r="F56" i="38"/>
  <c r="H56" i="38"/>
  <c r="I56" i="38"/>
  <c r="D57" i="38"/>
  <c r="E57" i="38"/>
  <c r="F57" i="38"/>
  <c r="G57" i="38"/>
  <c r="H57" i="38"/>
  <c r="I57" i="38"/>
  <c r="D58" i="38"/>
  <c r="E58" i="38"/>
  <c r="Q64" i="23" s="1"/>
  <c r="F58" i="38"/>
  <c r="G58" i="38"/>
  <c r="H58" i="38"/>
  <c r="I58" i="38"/>
  <c r="D59" i="38"/>
  <c r="E59" i="38"/>
  <c r="C64" i="23"/>
  <c r="F59" i="38"/>
  <c r="G59" i="38"/>
  <c r="C65" i="23" s="1"/>
  <c r="H59" i="38"/>
  <c r="I59" i="38"/>
  <c r="C66" i="23"/>
  <c r="D60" i="38"/>
  <c r="E60" i="38"/>
  <c r="F60" i="38"/>
  <c r="G60" i="38"/>
  <c r="H60" i="38"/>
  <c r="I60" i="38"/>
  <c r="D61" i="38"/>
  <c r="E61" i="38"/>
  <c r="F61" i="38"/>
  <c r="G61" i="38"/>
  <c r="H61" i="38"/>
  <c r="I61" i="38"/>
  <c r="D56" i="39"/>
  <c r="E56" i="39"/>
  <c r="F56" i="39"/>
  <c r="H56" i="39"/>
  <c r="I56" i="39"/>
  <c r="D57" i="39"/>
  <c r="E57" i="39"/>
  <c r="F57" i="39"/>
  <c r="G57" i="39"/>
  <c r="H57" i="39"/>
  <c r="I57" i="39"/>
  <c r="D58" i="39"/>
  <c r="E58" i="39"/>
  <c r="F58" i="39"/>
  <c r="G58" i="39"/>
  <c r="Q69" i="23"/>
  <c r="H58" i="39"/>
  <c r="I58" i="39"/>
  <c r="Q70" i="23" s="1"/>
  <c r="D59" i="39"/>
  <c r="E59" i="39"/>
  <c r="C68" i="23" s="1"/>
  <c r="F59" i="39"/>
  <c r="G59" i="39"/>
  <c r="C69" i="23" s="1"/>
  <c r="H59" i="39"/>
  <c r="I59" i="39"/>
  <c r="C70" i="23" s="1"/>
  <c r="D60" i="39"/>
  <c r="E60" i="39"/>
  <c r="F60" i="39"/>
  <c r="G60" i="39"/>
  <c r="H60" i="39"/>
  <c r="I60" i="39"/>
  <c r="D61" i="39"/>
  <c r="E61" i="39"/>
  <c r="F61" i="39"/>
  <c r="G61" i="39"/>
  <c r="H61" i="39"/>
  <c r="I61" i="39"/>
  <c r="D56" i="40"/>
  <c r="E56" i="40"/>
  <c r="F56" i="40"/>
  <c r="H56" i="40"/>
  <c r="I56" i="40"/>
  <c r="D57" i="40"/>
  <c r="E57" i="40"/>
  <c r="F57" i="40"/>
  <c r="G57" i="40"/>
  <c r="H57" i="40"/>
  <c r="I57" i="40"/>
  <c r="D58" i="40"/>
  <c r="E58" i="40"/>
  <c r="F58" i="40"/>
  <c r="G58" i="40"/>
  <c r="H58" i="40"/>
  <c r="I58" i="40"/>
  <c r="D59" i="40"/>
  <c r="E59" i="40"/>
  <c r="C72" i="23"/>
  <c r="F59" i="40"/>
  <c r="G59" i="40"/>
  <c r="C73" i="23" s="1"/>
  <c r="H59" i="40"/>
  <c r="I59" i="40"/>
  <c r="C74" i="23" s="1"/>
  <c r="D60" i="40"/>
  <c r="E60" i="40"/>
  <c r="F60" i="40"/>
  <c r="G60" i="40"/>
  <c r="H60" i="40"/>
  <c r="I60" i="40"/>
  <c r="D61" i="40"/>
  <c r="E61" i="40"/>
  <c r="F61" i="40"/>
  <c r="G61" i="40"/>
  <c r="H61" i="40"/>
  <c r="I61" i="40"/>
  <c r="D56" i="41"/>
  <c r="E56" i="41"/>
  <c r="F56" i="41"/>
  <c r="H56" i="41"/>
  <c r="I56" i="41"/>
  <c r="D57" i="41"/>
  <c r="E57" i="41"/>
  <c r="F57" i="41"/>
  <c r="G57" i="41"/>
  <c r="H57" i="41"/>
  <c r="I57" i="41"/>
  <c r="D58" i="41"/>
  <c r="E58" i="41"/>
  <c r="Q76" i="23" s="1"/>
  <c r="F58" i="41"/>
  <c r="G58" i="41"/>
  <c r="H58" i="41"/>
  <c r="I58" i="41"/>
  <c r="D59" i="41"/>
  <c r="E59" i="41"/>
  <c r="C76" i="23" s="1"/>
  <c r="F59" i="41"/>
  <c r="G59" i="41"/>
  <c r="C77" i="23" s="1"/>
  <c r="H59" i="41"/>
  <c r="I59" i="41"/>
  <c r="C78" i="23" s="1"/>
  <c r="D60" i="41"/>
  <c r="E60" i="41"/>
  <c r="F60" i="41"/>
  <c r="G60" i="41"/>
  <c r="H60" i="41"/>
  <c r="I60" i="41"/>
  <c r="D61" i="41"/>
  <c r="E61" i="41"/>
  <c r="F61" i="41"/>
  <c r="G61" i="41"/>
  <c r="H61" i="41"/>
  <c r="I61" i="41"/>
  <c r="D56" i="42"/>
  <c r="E56" i="42"/>
  <c r="F56" i="42"/>
  <c r="H56" i="42"/>
  <c r="I56" i="42"/>
  <c r="D57" i="42"/>
  <c r="E57" i="42"/>
  <c r="F57" i="42"/>
  <c r="G57" i="42"/>
  <c r="H57" i="42"/>
  <c r="I57" i="42"/>
  <c r="D58" i="42"/>
  <c r="E58" i="42"/>
  <c r="Q80" i="23" s="1"/>
  <c r="F58" i="42"/>
  <c r="G58" i="42"/>
  <c r="H58" i="42"/>
  <c r="I58" i="42"/>
  <c r="Q82" i="23"/>
  <c r="D59" i="42"/>
  <c r="E59" i="42"/>
  <c r="C80" i="23" s="1"/>
  <c r="F59" i="42"/>
  <c r="G59" i="42"/>
  <c r="C81" i="23" s="1"/>
  <c r="D85" i="23" s="1"/>
  <c r="H59" i="42"/>
  <c r="I59" i="42"/>
  <c r="C82" i="23" s="1"/>
  <c r="D60" i="42"/>
  <c r="E60" i="42"/>
  <c r="F60" i="42"/>
  <c r="G60" i="42"/>
  <c r="H60" i="42"/>
  <c r="I60" i="42"/>
  <c r="D61" i="42"/>
  <c r="E61" i="42"/>
  <c r="F61" i="42"/>
  <c r="G61" i="42"/>
  <c r="H61" i="42"/>
  <c r="I61" i="42"/>
  <c r="D56" i="43"/>
  <c r="E56" i="43"/>
  <c r="F56" i="43"/>
  <c r="H56" i="43"/>
  <c r="I56" i="43"/>
  <c r="D57" i="43"/>
  <c r="E57" i="43"/>
  <c r="F57" i="43"/>
  <c r="G57" i="43"/>
  <c r="H57" i="43"/>
  <c r="I57" i="43"/>
  <c r="D58" i="43"/>
  <c r="E58" i="43"/>
  <c r="F58" i="43"/>
  <c r="G58" i="43"/>
  <c r="H58" i="43"/>
  <c r="I58" i="43"/>
  <c r="D59" i="43"/>
  <c r="E59" i="43"/>
  <c r="C84" i="23" s="1"/>
  <c r="F59" i="43"/>
  <c r="G59" i="43"/>
  <c r="C85" i="23" s="1"/>
  <c r="D89" i="23" s="1"/>
  <c r="H59" i="43"/>
  <c r="I59" i="43"/>
  <c r="C86" i="23" s="1"/>
  <c r="D60" i="43"/>
  <c r="E60" i="43"/>
  <c r="F60" i="43"/>
  <c r="G60" i="43"/>
  <c r="H60" i="43"/>
  <c r="I60" i="43"/>
  <c r="D61" i="43"/>
  <c r="E61" i="43"/>
  <c r="F61" i="43"/>
  <c r="G61" i="43"/>
  <c r="H61" i="43"/>
  <c r="I61" i="43"/>
  <c r="D56" i="44"/>
  <c r="E56" i="44"/>
  <c r="F56" i="44"/>
  <c r="H56" i="44"/>
  <c r="I56" i="44"/>
  <c r="D57" i="44"/>
  <c r="E57" i="44"/>
  <c r="F57" i="44"/>
  <c r="G57" i="44"/>
  <c r="H57" i="44"/>
  <c r="I57" i="44"/>
  <c r="D58" i="44"/>
  <c r="E58" i="44"/>
  <c r="F58" i="44"/>
  <c r="G58" i="44"/>
  <c r="H58" i="44"/>
  <c r="I58" i="44"/>
  <c r="D59" i="44"/>
  <c r="E59" i="44"/>
  <c r="C88" i="23" s="1"/>
  <c r="D92" i="23" s="1"/>
  <c r="F59" i="44"/>
  <c r="G59" i="44"/>
  <c r="C89" i="23" s="1"/>
  <c r="D93" i="23" s="1"/>
  <c r="H59" i="44"/>
  <c r="I59" i="44"/>
  <c r="C90" i="23" s="1"/>
  <c r="D94" i="23" s="1"/>
  <c r="D60" i="44"/>
  <c r="E60" i="44"/>
  <c r="F60" i="44"/>
  <c r="G60" i="44"/>
  <c r="H60" i="44"/>
  <c r="I60" i="44"/>
  <c r="D61" i="44"/>
  <c r="E61" i="44"/>
  <c r="F61" i="44"/>
  <c r="G61" i="44"/>
  <c r="H61" i="44"/>
  <c r="I61" i="44"/>
  <c r="D56" i="45"/>
  <c r="E56" i="45"/>
  <c r="F56" i="45"/>
  <c r="H56" i="45"/>
  <c r="I56" i="45"/>
  <c r="D57" i="45"/>
  <c r="E57" i="45"/>
  <c r="F57" i="45"/>
  <c r="G57" i="45"/>
  <c r="H57" i="45"/>
  <c r="I57" i="45"/>
  <c r="D58" i="45"/>
  <c r="E58" i="45"/>
  <c r="Q92" i="23" s="1"/>
  <c r="F58" i="45"/>
  <c r="G58" i="45"/>
  <c r="H58" i="45"/>
  <c r="I58" i="45"/>
  <c r="D59" i="45"/>
  <c r="F59" i="45"/>
  <c r="H59" i="45"/>
  <c r="D60" i="45"/>
  <c r="E60" i="45"/>
  <c r="F60" i="45"/>
  <c r="G60" i="45"/>
  <c r="H60" i="45"/>
  <c r="I60" i="45"/>
  <c r="D61" i="45"/>
  <c r="E61" i="45"/>
  <c r="F61" i="45"/>
  <c r="G61" i="45"/>
  <c r="H61" i="45"/>
  <c r="I61" i="45"/>
  <c r="D56" i="46"/>
  <c r="E56" i="46"/>
  <c r="F56" i="46"/>
  <c r="H56" i="46"/>
  <c r="I56" i="46"/>
  <c r="D57" i="46"/>
  <c r="E57" i="46"/>
  <c r="F57" i="46"/>
  <c r="G57" i="46"/>
  <c r="H57" i="46"/>
  <c r="I57" i="46"/>
  <c r="D58" i="46"/>
  <c r="F58" i="46"/>
  <c r="H58" i="46"/>
  <c r="D59" i="46"/>
  <c r="E59" i="46"/>
  <c r="F59" i="46"/>
  <c r="G59" i="46"/>
  <c r="H59" i="46"/>
  <c r="I59" i="46"/>
  <c r="D60" i="46"/>
  <c r="E60" i="46"/>
  <c r="F60" i="46"/>
  <c r="G60" i="46"/>
  <c r="H60" i="46"/>
  <c r="I60" i="46"/>
  <c r="D56" i="47"/>
  <c r="E56" i="47"/>
  <c r="F56" i="47"/>
  <c r="H56" i="47"/>
  <c r="I56" i="47"/>
  <c r="D57" i="47"/>
  <c r="E57" i="47"/>
  <c r="F57" i="47"/>
  <c r="G57" i="47"/>
  <c r="H57" i="47"/>
  <c r="I57" i="47"/>
  <c r="D58" i="47"/>
  <c r="E58" i="47"/>
  <c r="F58" i="47"/>
  <c r="G58" i="47"/>
  <c r="H58" i="47"/>
  <c r="I58" i="47"/>
  <c r="D59" i="47"/>
  <c r="F59" i="47"/>
  <c r="H59" i="47"/>
  <c r="D60" i="47"/>
  <c r="E60" i="47"/>
  <c r="F60" i="47"/>
  <c r="G60" i="47"/>
  <c r="H60" i="47"/>
  <c r="I60" i="47"/>
  <c r="D61" i="47"/>
  <c r="E61" i="47"/>
  <c r="F61" i="47"/>
  <c r="G61" i="47"/>
  <c r="H61" i="47"/>
  <c r="I61" i="47"/>
  <c r="D56" i="48"/>
  <c r="E56" i="48"/>
  <c r="F56" i="48"/>
  <c r="H56" i="48"/>
  <c r="I56" i="48"/>
  <c r="D57" i="48"/>
  <c r="E57" i="48"/>
  <c r="F57" i="48"/>
  <c r="G57" i="48"/>
  <c r="H57" i="48"/>
  <c r="I57" i="48"/>
  <c r="D58" i="48"/>
  <c r="E58" i="48"/>
  <c r="F58" i="48"/>
  <c r="G58" i="48"/>
  <c r="H58" i="48"/>
  <c r="I58" i="48"/>
  <c r="D59" i="48"/>
  <c r="E59" i="48"/>
  <c r="C104" i="23"/>
  <c r="F59" i="48"/>
  <c r="G59" i="48"/>
  <c r="C105" i="23" s="1"/>
  <c r="H59" i="48"/>
  <c r="I59" i="48"/>
  <c r="C106" i="23"/>
  <c r="D60" i="48"/>
  <c r="E60" i="48"/>
  <c r="F60" i="48"/>
  <c r="G60" i="48"/>
  <c r="H60" i="48"/>
  <c r="I60" i="48"/>
  <c r="D61" i="48"/>
  <c r="E61" i="48"/>
  <c r="F61" i="48"/>
  <c r="G61" i="48"/>
  <c r="H61" i="48"/>
  <c r="I61" i="48"/>
  <c r="D56" i="49"/>
  <c r="E56" i="49"/>
  <c r="F56" i="49"/>
  <c r="H56" i="49"/>
  <c r="I56" i="49"/>
  <c r="D57" i="49"/>
  <c r="E57" i="49"/>
  <c r="F57" i="49"/>
  <c r="G57" i="49"/>
  <c r="H57" i="49"/>
  <c r="I57" i="49"/>
  <c r="D58" i="49"/>
  <c r="E58" i="49"/>
  <c r="F58" i="49"/>
  <c r="G58" i="49"/>
  <c r="H58" i="49"/>
  <c r="I58" i="49"/>
  <c r="D59" i="49"/>
  <c r="E59" i="49"/>
  <c r="C108" i="23" s="1"/>
  <c r="D108" i="23" s="1"/>
  <c r="F59" i="49"/>
  <c r="G59" i="49"/>
  <c r="C109" i="23" s="1"/>
  <c r="H59" i="49"/>
  <c r="I59" i="49"/>
  <c r="C110" i="23"/>
  <c r="D60" i="49"/>
  <c r="E60" i="49"/>
  <c r="F60" i="49"/>
  <c r="G60" i="49"/>
  <c r="H60" i="49"/>
  <c r="I60" i="49"/>
  <c r="D61" i="49"/>
  <c r="E61" i="49"/>
  <c r="F61" i="49"/>
  <c r="G61" i="49"/>
  <c r="H61" i="49"/>
  <c r="I61" i="49"/>
  <c r="D56" i="50"/>
  <c r="E56" i="50"/>
  <c r="F56" i="50"/>
  <c r="H56" i="50"/>
  <c r="I56" i="50"/>
  <c r="D57" i="50"/>
  <c r="E57" i="50"/>
  <c r="F57" i="50"/>
  <c r="G57" i="50"/>
  <c r="H57" i="50"/>
  <c r="I57" i="50"/>
  <c r="D58" i="50"/>
  <c r="E58" i="50"/>
  <c r="Q112" i="23" s="1"/>
  <c r="F58" i="50"/>
  <c r="G58" i="50"/>
  <c r="H58" i="50"/>
  <c r="I58" i="50"/>
  <c r="D59" i="50"/>
  <c r="E59" i="50"/>
  <c r="C112" i="23" s="1"/>
  <c r="F59" i="50"/>
  <c r="G59" i="50"/>
  <c r="C113" i="23"/>
  <c r="H59" i="50"/>
  <c r="I59" i="50"/>
  <c r="C114" i="23" s="1"/>
  <c r="D60" i="50"/>
  <c r="E60" i="50"/>
  <c r="F60" i="50"/>
  <c r="G60" i="50"/>
  <c r="H60" i="50"/>
  <c r="I60" i="50"/>
  <c r="D61" i="50"/>
  <c r="E61" i="50"/>
  <c r="F61" i="50"/>
  <c r="G61" i="50"/>
  <c r="H61" i="50"/>
  <c r="I61" i="50"/>
  <c r="D56" i="51"/>
  <c r="E56" i="51"/>
  <c r="F56" i="51"/>
  <c r="H56" i="51"/>
  <c r="I56" i="51"/>
  <c r="D57" i="51"/>
  <c r="E57" i="51"/>
  <c r="F57" i="51"/>
  <c r="G57" i="51"/>
  <c r="H57" i="51"/>
  <c r="I57" i="51"/>
  <c r="D58" i="51"/>
  <c r="E58" i="51"/>
  <c r="Q116" i="23" s="1"/>
  <c r="F58" i="51"/>
  <c r="G58" i="51"/>
  <c r="H58" i="51"/>
  <c r="I58" i="51"/>
  <c r="D59" i="51"/>
  <c r="E59" i="51"/>
  <c r="C116" i="23" s="1"/>
  <c r="F59" i="51"/>
  <c r="G59" i="51"/>
  <c r="C117" i="23" s="1"/>
  <c r="H59" i="51"/>
  <c r="I59" i="51"/>
  <c r="C118" i="23" s="1"/>
  <c r="D60" i="51"/>
  <c r="E60" i="51"/>
  <c r="F60" i="51"/>
  <c r="G60" i="51"/>
  <c r="H60" i="51"/>
  <c r="I60" i="51"/>
  <c r="D61" i="51"/>
  <c r="E61" i="51"/>
  <c r="F61" i="51"/>
  <c r="G61" i="51"/>
  <c r="H61" i="51"/>
  <c r="I61" i="51"/>
  <c r="D56" i="52"/>
  <c r="E56" i="52"/>
  <c r="F56" i="52"/>
  <c r="H56" i="52"/>
  <c r="I56" i="52"/>
  <c r="D57" i="52"/>
  <c r="E57" i="52"/>
  <c r="F57" i="52"/>
  <c r="G57" i="52"/>
  <c r="H57" i="52"/>
  <c r="I57" i="52"/>
  <c r="D58" i="52"/>
  <c r="E58" i="52"/>
  <c r="F58" i="52"/>
  <c r="G58" i="52"/>
  <c r="H58" i="52"/>
  <c r="I58" i="52"/>
  <c r="D59" i="52"/>
  <c r="E59" i="52"/>
  <c r="C120" i="23"/>
  <c r="F59" i="52"/>
  <c r="G59" i="52"/>
  <c r="C121" i="23" s="1"/>
  <c r="H59" i="52"/>
  <c r="I59" i="52"/>
  <c r="C122" i="23" s="1"/>
  <c r="D126" i="23" s="1"/>
  <c r="D60" i="52"/>
  <c r="E60" i="52"/>
  <c r="F60" i="52"/>
  <c r="G60" i="52"/>
  <c r="H60" i="52"/>
  <c r="I60" i="52"/>
  <c r="D61" i="52"/>
  <c r="E61" i="52"/>
  <c r="F61" i="52"/>
  <c r="G61" i="52"/>
  <c r="H61" i="52"/>
  <c r="I61" i="52"/>
  <c r="D56" i="53"/>
  <c r="E56" i="53"/>
  <c r="F56" i="53"/>
  <c r="H56" i="53"/>
  <c r="I56" i="53"/>
  <c r="D57" i="53"/>
  <c r="E57" i="53"/>
  <c r="F57" i="53"/>
  <c r="G57" i="53"/>
  <c r="H57" i="53"/>
  <c r="I57" i="53"/>
  <c r="D58" i="53"/>
  <c r="E58" i="53"/>
  <c r="F58" i="53"/>
  <c r="G58" i="53"/>
  <c r="H58" i="53"/>
  <c r="I58" i="53"/>
  <c r="D59" i="53"/>
  <c r="E59" i="53"/>
  <c r="C124" i="23"/>
  <c r="F59" i="53"/>
  <c r="G59" i="53"/>
  <c r="C125" i="23" s="1"/>
  <c r="H59" i="53"/>
  <c r="I59" i="53"/>
  <c r="C126" i="23"/>
  <c r="D60" i="53"/>
  <c r="E60" i="53"/>
  <c r="F60" i="53"/>
  <c r="G60" i="53"/>
  <c r="H60" i="53"/>
  <c r="I60" i="53"/>
  <c r="D61" i="53"/>
  <c r="E61" i="53"/>
  <c r="F61" i="53"/>
  <c r="G61" i="53"/>
  <c r="H61" i="53"/>
  <c r="I61" i="53"/>
  <c r="D56" i="54"/>
  <c r="E56" i="54"/>
  <c r="F56" i="54"/>
  <c r="H56" i="54"/>
  <c r="I56" i="54"/>
  <c r="D57" i="54"/>
  <c r="E57" i="54"/>
  <c r="F57" i="54"/>
  <c r="G57" i="54"/>
  <c r="H57" i="54"/>
  <c r="I57" i="54"/>
  <c r="D58" i="54"/>
  <c r="E58" i="54"/>
  <c r="Q128" i="23"/>
  <c r="F58" i="54"/>
  <c r="G58" i="54"/>
  <c r="H58" i="54"/>
  <c r="I58" i="54"/>
  <c r="D59" i="54"/>
  <c r="E59" i="54"/>
  <c r="C128" i="23" s="1"/>
  <c r="D128" i="23" s="1"/>
  <c r="F59" i="54"/>
  <c r="G59" i="54"/>
  <c r="C129" i="23" s="1"/>
  <c r="D129" i="23" s="1"/>
  <c r="H59" i="54"/>
  <c r="I59" i="54"/>
  <c r="C130" i="23" s="1"/>
  <c r="D60" i="54"/>
  <c r="E60" i="54"/>
  <c r="F60" i="54"/>
  <c r="G60" i="54"/>
  <c r="H60" i="54"/>
  <c r="I60" i="54"/>
  <c r="D61" i="54"/>
  <c r="E61" i="54"/>
  <c r="F61" i="54"/>
  <c r="G61" i="54"/>
  <c r="H61" i="54"/>
  <c r="I61" i="54"/>
  <c r="D56" i="24"/>
  <c r="E56" i="24"/>
  <c r="F56" i="24"/>
  <c r="H56" i="24"/>
  <c r="I56" i="24"/>
  <c r="D57" i="24"/>
  <c r="E57" i="24"/>
  <c r="F57" i="24"/>
  <c r="G57" i="24"/>
  <c r="H57" i="24"/>
  <c r="I57" i="24"/>
  <c r="D58" i="24"/>
  <c r="E58" i="24"/>
  <c r="F58" i="24"/>
  <c r="G58" i="24"/>
  <c r="H58" i="24"/>
  <c r="I58" i="24"/>
  <c r="D59" i="24"/>
  <c r="E59" i="24"/>
  <c r="C8" i="23" s="1"/>
  <c r="F59" i="24"/>
  <c r="G59" i="24"/>
  <c r="C9" i="23" s="1"/>
  <c r="H59" i="24"/>
  <c r="I59" i="24"/>
  <c r="C10" i="23" s="1"/>
  <c r="D10" i="23" s="1"/>
  <c r="D60" i="24"/>
  <c r="E60" i="24"/>
  <c r="F60" i="24"/>
  <c r="G60" i="24"/>
  <c r="H60" i="24"/>
  <c r="I60" i="24"/>
  <c r="D61" i="24"/>
  <c r="E61" i="24"/>
  <c r="F61" i="24"/>
  <c r="G61" i="24"/>
  <c r="H61" i="24"/>
  <c r="I61" i="24"/>
  <c r="H258" i="19"/>
  <c r="H257" i="19"/>
  <c r="H256" i="19"/>
  <c r="H255" i="19"/>
  <c r="H254" i="19"/>
  <c r="H253" i="19"/>
  <c r="H252" i="19"/>
  <c r="H251" i="19"/>
  <c r="H250" i="19"/>
  <c r="H249" i="19"/>
  <c r="H248" i="19"/>
  <c r="H247" i="19"/>
  <c r="H246" i="19"/>
  <c r="H245" i="19"/>
  <c r="H244" i="19"/>
  <c r="H243" i="19"/>
  <c r="H242" i="19"/>
  <c r="H241" i="19"/>
  <c r="H240" i="19"/>
  <c r="H239" i="19"/>
  <c r="H238" i="19"/>
  <c r="H237" i="19"/>
  <c r="H236" i="19"/>
  <c r="H235" i="19"/>
  <c r="H234" i="19"/>
  <c r="H233" i="19"/>
  <c r="H232" i="19"/>
  <c r="H231" i="19"/>
  <c r="H230" i="19"/>
  <c r="H229" i="19"/>
  <c r="H228" i="19"/>
  <c r="H227" i="19"/>
  <c r="H226" i="19"/>
  <c r="H225" i="19"/>
  <c r="H224" i="19"/>
  <c r="H223" i="19"/>
  <c r="H222" i="19"/>
  <c r="H221" i="19"/>
  <c r="H220" i="19"/>
  <c r="H219" i="19"/>
  <c r="H218" i="19"/>
  <c r="H217" i="19"/>
  <c r="H216" i="19"/>
  <c r="H215" i="19"/>
  <c r="H214" i="19"/>
  <c r="H213" i="19"/>
  <c r="H212" i="19"/>
  <c r="H211" i="19"/>
  <c r="H210" i="19"/>
  <c r="H209" i="19"/>
  <c r="H208" i="19"/>
  <c r="H207" i="19"/>
  <c r="H206" i="19"/>
  <c r="H205" i="19"/>
  <c r="H204" i="19"/>
  <c r="H203" i="19"/>
  <c r="H202" i="19"/>
  <c r="H201" i="19"/>
  <c r="H200" i="19"/>
  <c r="H199" i="19"/>
  <c r="H198" i="19"/>
  <c r="H197" i="19"/>
  <c r="H196" i="19"/>
  <c r="H195" i="19"/>
  <c r="H194" i="19"/>
  <c r="H193" i="19"/>
  <c r="H192" i="19"/>
  <c r="H191" i="19"/>
  <c r="H190" i="19"/>
  <c r="H189" i="19"/>
  <c r="H188" i="19"/>
  <c r="H187" i="19"/>
  <c r="H186" i="19"/>
  <c r="H185" i="19"/>
  <c r="H184" i="19"/>
  <c r="H183" i="19"/>
  <c r="H182" i="19"/>
  <c r="H181" i="19"/>
  <c r="H180" i="19"/>
  <c r="H179" i="19"/>
  <c r="H178" i="19"/>
  <c r="H177" i="19"/>
  <c r="H176" i="19"/>
  <c r="H175" i="19"/>
  <c r="H174" i="19"/>
  <c r="H173" i="19"/>
  <c r="H172" i="19"/>
  <c r="H171" i="19"/>
  <c r="H170" i="19"/>
  <c r="H169" i="19"/>
  <c r="H168" i="19"/>
  <c r="H167" i="19"/>
  <c r="H166" i="19"/>
  <c r="H165" i="19"/>
  <c r="H164" i="19"/>
  <c r="H163" i="19"/>
  <c r="H162" i="19"/>
  <c r="H161" i="19"/>
  <c r="H160" i="19"/>
  <c r="H159" i="19"/>
  <c r="H158" i="19"/>
  <c r="H157" i="19"/>
  <c r="H156" i="19"/>
  <c r="H155" i="19"/>
  <c r="H154" i="19"/>
  <c r="H153" i="19"/>
  <c r="H152" i="19"/>
  <c r="H151" i="19"/>
  <c r="H150" i="19"/>
  <c r="H149" i="19"/>
  <c r="H148" i="19"/>
  <c r="H147" i="19"/>
  <c r="H146" i="19"/>
  <c r="H145" i="19"/>
  <c r="H144" i="19"/>
  <c r="H143" i="19"/>
  <c r="H142" i="19"/>
  <c r="H141" i="19"/>
  <c r="H140" i="19"/>
  <c r="H139" i="19"/>
  <c r="H138" i="19"/>
  <c r="H137" i="19"/>
  <c r="H135" i="19"/>
  <c r="H134" i="19"/>
  <c r="H133" i="19"/>
  <c r="H131" i="19"/>
  <c r="H130" i="19"/>
  <c r="H129" i="19"/>
  <c r="H127" i="19"/>
  <c r="H126" i="19"/>
  <c r="H125" i="19"/>
  <c r="H123" i="19"/>
  <c r="H122" i="19"/>
  <c r="H121" i="19"/>
  <c r="H120" i="19"/>
  <c r="H117" i="19"/>
  <c r="H116" i="19"/>
  <c r="H115" i="19"/>
  <c r="H114" i="19"/>
  <c r="H113" i="19"/>
  <c r="H112" i="19"/>
  <c r="H110" i="19"/>
  <c r="H109" i="19"/>
  <c r="H108" i="19"/>
  <c r="H107" i="19"/>
  <c r="H106" i="19"/>
  <c r="H105" i="19"/>
  <c r="H104" i="19"/>
  <c r="H103" i="19"/>
  <c r="H102" i="19"/>
  <c r="H101" i="19"/>
  <c r="H100" i="19"/>
  <c r="H99" i="19"/>
  <c r="H98" i="19"/>
  <c r="H97" i="19"/>
  <c r="H96" i="19"/>
  <c r="H95" i="19"/>
  <c r="H94" i="19"/>
  <c r="H93" i="19"/>
  <c r="H92" i="19"/>
  <c r="H91" i="19"/>
  <c r="H90" i="19"/>
  <c r="H89" i="19"/>
  <c r="H88" i="19"/>
  <c r="H87" i="19"/>
  <c r="H86" i="19"/>
  <c r="H85" i="19"/>
  <c r="H84" i="19"/>
  <c r="H83" i="19"/>
  <c r="H82" i="19"/>
  <c r="H81" i="19"/>
  <c r="H80" i="19"/>
  <c r="H79" i="19"/>
  <c r="H78" i="19"/>
  <c r="H77" i="19"/>
  <c r="H76" i="19"/>
  <c r="H74" i="19"/>
  <c r="H73" i="19"/>
  <c r="H72" i="19"/>
  <c r="H71" i="19"/>
  <c r="H70" i="19"/>
  <c r="H69" i="19"/>
  <c r="H68" i="19"/>
  <c r="H66" i="19"/>
  <c r="H65" i="19"/>
  <c r="H64" i="19"/>
  <c r="H62" i="19"/>
  <c r="H61" i="19"/>
  <c r="H60" i="19"/>
  <c r="H59" i="19"/>
  <c r="H58" i="19"/>
  <c r="H57" i="19"/>
  <c r="H56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0" i="19"/>
  <c r="H29" i="19"/>
  <c r="H27" i="19"/>
  <c r="H26" i="19"/>
  <c r="H25" i="19"/>
  <c r="H22" i="19"/>
  <c r="H21" i="19"/>
  <c r="H19" i="19"/>
  <c r="H18" i="19"/>
  <c r="H17" i="19"/>
  <c r="H16" i="19"/>
  <c r="H14" i="19"/>
  <c r="H13" i="19"/>
  <c r="H12" i="19"/>
  <c r="H11" i="19"/>
  <c r="I11" i="19" s="1"/>
  <c r="D258" i="19"/>
  <c r="D257" i="19"/>
  <c r="D256" i="19"/>
  <c r="D255" i="19"/>
  <c r="D254" i="19"/>
  <c r="D253" i="19"/>
  <c r="D252" i="19"/>
  <c r="D251" i="19"/>
  <c r="D250" i="19"/>
  <c r="D249" i="19"/>
  <c r="D248" i="19"/>
  <c r="D247" i="19"/>
  <c r="D246" i="19"/>
  <c r="D245" i="19"/>
  <c r="D244" i="19"/>
  <c r="D243" i="19"/>
  <c r="D242" i="19"/>
  <c r="D241" i="19"/>
  <c r="D240" i="19"/>
  <c r="D239" i="19"/>
  <c r="D238" i="19"/>
  <c r="D237" i="19"/>
  <c r="D236" i="19"/>
  <c r="D235" i="19"/>
  <c r="D234" i="19"/>
  <c r="D233" i="19"/>
  <c r="D232" i="19"/>
  <c r="D231" i="19"/>
  <c r="D230" i="19"/>
  <c r="D229" i="19"/>
  <c r="D228" i="19"/>
  <c r="D227" i="19"/>
  <c r="D226" i="19"/>
  <c r="D224" i="19"/>
  <c r="D222" i="19"/>
  <c r="D221" i="19"/>
  <c r="D220" i="19"/>
  <c r="D219" i="19"/>
  <c r="D218" i="19"/>
  <c r="D216" i="19"/>
  <c r="D214" i="19"/>
  <c r="D213" i="19"/>
  <c r="D212" i="19"/>
  <c r="D211" i="19"/>
  <c r="D210" i="19"/>
  <c r="D209" i="19"/>
  <c r="D208" i="19"/>
  <c r="D207" i="19"/>
  <c r="D206" i="19"/>
  <c r="D205" i="19"/>
  <c r="D204" i="19"/>
  <c r="D203" i="19"/>
  <c r="D202" i="19"/>
  <c r="D201" i="19"/>
  <c r="D200" i="19"/>
  <c r="D199" i="19"/>
  <c r="D198" i="19"/>
  <c r="D197" i="19"/>
  <c r="D196" i="19"/>
  <c r="D195" i="19"/>
  <c r="D194" i="19"/>
  <c r="D193" i="19"/>
  <c r="D192" i="19"/>
  <c r="D191" i="19"/>
  <c r="D190" i="19"/>
  <c r="D189" i="19"/>
  <c r="D188" i="19"/>
  <c r="D187" i="19"/>
  <c r="D186" i="19"/>
  <c r="D185" i="19"/>
  <c r="D184" i="19"/>
  <c r="D183" i="19"/>
  <c r="D182" i="19"/>
  <c r="D181" i="19"/>
  <c r="D180" i="19"/>
  <c r="D179" i="19"/>
  <c r="D178" i="19"/>
  <c r="D177" i="19"/>
  <c r="D176" i="19"/>
  <c r="D175" i="19"/>
  <c r="D174" i="19"/>
  <c r="D173" i="19"/>
  <c r="D172" i="19"/>
  <c r="D171" i="19"/>
  <c r="D170" i="19"/>
  <c r="D169" i="19"/>
  <c r="D168" i="19"/>
  <c r="D167" i="19"/>
  <c r="D166" i="19"/>
  <c r="D165" i="19"/>
  <c r="D164" i="19"/>
  <c r="D163" i="19"/>
  <c r="D162" i="19"/>
  <c r="D161" i="19"/>
  <c r="D160" i="19"/>
  <c r="D159" i="19"/>
  <c r="D158" i="19"/>
  <c r="D157" i="19"/>
  <c r="D156" i="19"/>
  <c r="D155" i="19"/>
  <c r="D154" i="19"/>
  <c r="D153" i="19"/>
  <c r="D152" i="19"/>
  <c r="D151" i="19"/>
  <c r="D150" i="19"/>
  <c r="D149" i="19"/>
  <c r="D148" i="19"/>
  <c r="D147" i="19"/>
  <c r="D146" i="19"/>
  <c r="D145" i="19"/>
  <c r="D144" i="19"/>
  <c r="D143" i="19"/>
  <c r="D142" i="19"/>
  <c r="D141" i="19"/>
  <c r="D140" i="19"/>
  <c r="D139" i="19"/>
  <c r="D138" i="19"/>
  <c r="D137" i="19"/>
  <c r="D136" i="19"/>
  <c r="D135" i="19"/>
  <c r="D133" i="19"/>
  <c r="D132" i="19"/>
  <c r="D131" i="19"/>
  <c r="D129" i="19"/>
  <c r="D128" i="19"/>
  <c r="D127" i="19"/>
  <c r="D125" i="19"/>
  <c r="D123" i="19"/>
  <c r="D121" i="19"/>
  <c r="D120" i="19"/>
  <c r="D119" i="19"/>
  <c r="D118" i="19"/>
  <c r="D117" i="19"/>
  <c r="D115" i="19"/>
  <c r="D114" i="19"/>
  <c r="D113" i="19"/>
  <c r="D112" i="19"/>
  <c r="D111" i="19"/>
  <c r="D110" i="19"/>
  <c r="D109" i="19"/>
  <c r="D107" i="19"/>
  <c r="D106" i="19"/>
  <c r="D105" i="19"/>
  <c r="D104" i="19"/>
  <c r="D103" i="19"/>
  <c r="D102" i="19"/>
  <c r="D101" i="19"/>
  <c r="D100" i="19"/>
  <c r="D99" i="19"/>
  <c r="D98" i="19"/>
  <c r="D97" i="19"/>
  <c r="D96" i="19"/>
  <c r="D95" i="19"/>
  <c r="D94" i="19"/>
  <c r="D93" i="19"/>
  <c r="D92" i="19"/>
  <c r="D91" i="19"/>
  <c r="D90" i="19"/>
  <c r="D89" i="19"/>
  <c r="D88" i="19"/>
  <c r="D87" i="19"/>
  <c r="D86" i="19"/>
  <c r="D85" i="19"/>
  <c r="D84" i="19"/>
  <c r="D83" i="19"/>
  <c r="D82" i="19"/>
  <c r="D81" i="19"/>
  <c r="D80" i="19"/>
  <c r="D79" i="19"/>
  <c r="D78" i="19"/>
  <c r="D76" i="19"/>
  <c r="D74" i="19"/>
  <c r="D73" i="19"/>
  <c r="D72" i="19"/>
  <c r="D71" i="19"/>
  <c r="D70" i="19"/>
  <c r="D68" i="19"/>
  <c r="D66" i="19"/>
  <c r="D64" i="19"/>
  <c r="D62" i="19"/>
  <c r="D61" i="19"/>
  <c r="D60" i="19"/>
  <c r="D59" i="19"/>
  <c r="D58" i="19"/>
  <c r="D56" i="19"/>
  <c r="D54" i="19"/>
  <c r="D53" i="19"/>
  <c r="D52" i="19"/>
  <c r="D51" i="19"/>
  <c r="D50" i="19"/>
  <c r="D49" i="19"/>
  <c r="D48" i="19"/>
  <c r="D47" i="19"/>
  <c r="D46" i="19"/>
  <c r="D45" i="19"/>
  <c r="D44" i="19"/>
  <c r="D43" i="19"/>
  <c r="D42" i="19"/>
  <c r="D41" i="19"/>
  <c r="D40" i="19"/>
  <c r="D39" i="19"/>
  <c r="D38" i="19"/>
  <c r="D37" i="19"/>
  <c r="D36" i="19"/>
  <c r="D35" i="19"/>
  <c r="D34" i="19"/>
  <c r="D32" i="19"/>
  <c r="D31" i="19"/>
  <c r="D30" i="19"/>
  <c r="D29" i="19"/>
  <c r="D27" i="19"/>
  <c r="D26" i="19"/>
  <c r="D24" i="19"/>
  <c r="D23" i="19"/>
  <c r="D22" i="19"/>
  <c r="D21" i="19"/>
  <c r="D19" i="19"/>
  <c r="D18" i="19"/>
  <c r="D17" i="19"/>
  <c r="D15" i="19"/>
  <c r="D14" i="19"/>
  <c r="D13" i="19"/>
  <c r="D11" i="19"/>
  <c r="E11" i="19" s="1"/>
  <c r="U8" i="23"/>
  <c r="V8" i="23" s="1"/>
  <c r="U7" i="23"/>
  <c r="V7" i="23" s="1"/>
  <c r="W7" i="23" s="1"/>
  <c r="U9" i="23"/>
  <c r="V9" i="23" s="1"/>
  <c r="U10" i="23"/>
  <c r="V10" i="23" s="1"/>
  <c r="U11" i="23"/>
  <c r="U12" i="23"/>
  <c r="U13" i="23"/>
  <c r="U14" i="23"/>
  <c r="U15" i="23"/>
  <c r="U16" i="23"/>
  <c r="U17" i="23"/>
  <c r="U18" i="23"/>
  <c r="U19" i="23"/>
  <c r="U20" i="23"/>
  <c r="U21" i="23"/>
  <c r="U22" i="23"/>
  <c r="U23" i="23"/>
  <c r="U24" i="23"/>
  <c r="U25" i="23"/>
  <c r="U26" i="23"/>
  <c r="U27" i="23"/>
  <c r="U28" i="23"/>
  <c r="U29" i="23"/>
  <c r="U30" i="23"/>
  <c r="U31" i="23"/>
  <c r="U32" i="23"/>
  <c r="U33" i="23"/>
  <c r="U34" i="23"/>
  <c r="U35" i="23"/>
  <c r="U36" i="23"/>
  <c r="U37" i="23"/>
  <c r="U38" i="23"/>
  <c r="U39" i="23"/>
  <c r="U40" i="23"/>
  <c r="U41" i="23"/>
  <c r="U42" i="23"/>
  <c r="U43" i="23"/>
  <c r="U44" i="23"/>
  <c r="U45" i="23"/>
  <c r="U46" i="23"/>
  <c r="U47" i="23"/>
  <c r="U48" i="23"/>
  <c r="U49" i="23"/>
  <c r="U50" i="23"/>
  <c r="U51" i="23"/>
  <c r="U52" i="23"/>
  <c r="U53" i="23"/>
  <c r="U54" i="23"/>
  <c r="U55" i="23"/>
  <c r="U56" i="23"/>
  <c r="U57" i="23"/>
  <c r="U58" i="23"/>
  <c r="U59" i="23"/>
  <c r="U60" i="23"/>
  <c r="U61" i="23"/>
  <c r="U62" i="23"/>
  <c r="U63" i="23"/>
  <c r="U64" i="23"/>
  <c r="U65" i="23"/>
  <c r="U66" i="23"/>
  <c r="U67" i="23"/>
  <c r="U68" i="23"/>
  <c r="U69" i="23"/>
  <c r="U70" i="23"/>
  <c r="U71" i="23"/>
  <c r="V75" i="23" s="1"/>
  <c r="U72" i="23"/>
  <c r="U73" i="23"/>
  <c r="U74" i="23"/>
  <c r="U75" i="23"/>
  <c r="U76" i="23"/>
  <c r="U77" i="23"/>
  <c r="U78" i="23"/>
  <c r="U79" i="23"/>
  <c r="U80" i="23"/>
  <c r="U81" i="23"/>
  <c r="U82" i="23"/>
  <c r="U83" i="23"/>
  <c r="U84" i="23"/>
  <c r="U85" i="23"/>
  <c r="U86" i="23"/>
  <c r="U87" i="23"/>
  <c r="U88" i="23"/>
  <c r="U89" i="23"/>
  <c r="U90" i="23"/>
  <c r="U91" i="23"/>
  <c r="U92" i="23"/>
  <c r="U93" i="23"/>
  <c r="U94" i="23"/>
  <c r="U95" i="23"/>
  <c r="U96" i="23"/>
  <c r="U97" i="23"/>
  <c r="U98" i="23"/>
  <c r="U99" i="23"/>
  <c r="U100" i="23"/>
  <c r="V104" i="23" s="1"/>
  <c r="U101" i="23"/>
  <c r="V101" i="23" s="1"/>
  <c r="U102" i="23"/>
  <c r="U103" i="23"/>
  <c r="U104" i="23"/>
  <c r="U105" i="23"/>
  <c r="U106" i="23"/>
  <c r="U107" i="23"/>
  <c r="U108" i="23"/>
  <c r="U109" i="23"/>
  <c r="U110" i="23"/>
  <c r="U111" i="23"/>
  <c r="V115" i="23" s="1"/>
  <c r="U112" i="23"/>
  <c r="U113" i="23"/>
  <c r="V117" i="23" s="1"/>
  <c r="U114" i="23"/>
  <c r="U115" i="23"/>
  <c r="U116" i="23"/>
  <c r="U117" i="23"/>
  <c r="U118" i="23"/>
  <c r="U119" i="23"/>
  <c r="V123" i="23" s="1"/>
  <c r="U120" i="23"/>
  <c r="U121" i="23"/>
  <c r="U122" i="23"/>
  <c r="U123" i="23"/>
  <c r="V127" i="23" s="1"/>
  <c r="U124" i="23"/>
  <c r="U125" i="23"/>
  <c r="U126" i="23"/>
  <c r="U127" i="23"/>
  <c r="U128" i="23"/>
  <c r="U129" i="23"/>
  <c r="U130" i="23"/>
  <c r="V130" i="23" s="1"/>
  <c r="Q8" i="23"/>
  <c r="R8" i="23" s="1"/>
  <c r="Q7" i="23"/>
  <c r="R7" i="23" s="1"/>
  <c r="S7" i="23" s="1"/>
  <c r="Q9" i="23"/>
  <c r="R9" i="23" s="1"/>
  <c r="Q10" i="23"/>
  <c r="R10" i="23" s="1"/>
  <c r="Q11" i="23"/>
  <c r="Q13" i="23"/>
  <c r="Q14" i="23"/>
  <c r="Q15" i="23"/>
  <c r="Q17" i="23"/>
  <c r="Q18" i="23"/>
  <c r="Q19" i="23"/>
  <c r="Q20" i="23"/>
  <c r="Q21" i="23"/>
  <c r="Q22" i="23"/>
  <c r="Q23" i="23"/>
  <c r="Q24" i="23"/>
  <c r="Q25" i="23"/>
  <c r="Q26" i="23"/>
  <c r="Q27" i="23"/>
  <c r="R31" i="23" s="1"/>
  <c r="Q29" i="23"/>
  <c r="Q30" i="23"/>
  <c r="Q31" i="23"/>
  <c r="Q33" i="23"/>
  <c r="Q34" i="23"/>
  <c r="Q35" i="23"/>
  <c r="Q36" i="23"/>
  <c r="Q37" i="23"/>
  <c r="Q38" i="23"/>
  <c r="Q39" i="23"/>
  <c r="Q40" i="23"/>
  <c r="Q42" i="23"/>
  <c r="Q43" i="23"/>
  <c r="Q45" i="23"/>
  <c r="Q46" i="23"/>
  <c r="Q47" i="23"/>
  <c r="R47" i="23"/>
  <c r="Q49" i="23"/>
  <c r="Q50" i="23"/>
  <c r="Q51" i="23"/>
  <c r="Q52" i="23"/>
  <c r="Q53" i="23"/>
  <c r="Q54" i="23"/>
  <c r="Q55" i="23"/>
  <c r="Q56" i="23"/>
  <c r="Q57" i="23"/>
  <c r="Q58" i="23"/>
  <c r="Q59" i="23"/>
  <c r="Q61" i="23"/>
  <c r="Q62" i="23"/>
  <c r="Q63" i="23"/>
  <c r="R63" i="23" s="1"/>
  <c r="Q65" i="23"/>
  <c r="Q66" i="23"/>
  <c r="Q67" i="23"/>
  <c r="Q68" i="23"/>
  <c r="Q71" i="23"/>
  <c r="Q72" i="23"/>
  <c r="Q73" i="23"/>
  <c r="Q74" i="23"/>
  <c r="Q75" i="23"/>
  <c r="Q77" i="23"/>
  <c r="Q78" i="23"/>
  <c r="Q79" i="23"/>
  <c r="R83" i="23" s="1"/>
  <c r="Q81" i="23"/>
  <c r="Q83" i="23"/>
  <c r="Q84" i="23"/>
  <c r="R88" i="23" s="1"/>
  <c r="Q85" i="23"/>
  <c r="Q86" i="23"/>
  <c r="Q87" i="23"/>
  <c r="Q88" i="23"/>
  <c r="Q89" i="23"/>
  <c r="Q90" i="23"/>
  <c r="R90" i="23" s="1"/>
  <c r="Q91" i="23"/>
  <c r="Q93" i="23"/>
  <c r="Q94" i="23"/>
  <c r="Q95" i="23"/>
  <c r="Q96" i="23"/>
  <c r="R100" i="23" s="1"/>
  <c r="Q97" i="23"/>
  <c r="R101" i="23" s="1"/>
  <c r="Q98" i="23"/>
  <c r="Q99" i="23"/>
  <c r="R103" i="23" s="1"/>
  <c r="Q100" i="23"/>
  <c r="Q101" i="23"/>
  <c r="Q102" i="23"/>
  <c r="R102" i="23" s="1"/>
  <c r="Q103" i="23"/>
  <c r="Q104" i="23"/>
  <c r="R104" i="23" s="1"/>
  <c r="Q105" i="23"/>
  <c r="Q106" i="23"/>
  <c r="Q107" i="23"/>
  <c r="R111" i="23" s="1"/>
  <c r="Q108" i="23"/>
  <c r="Q109" i="23"/>
  <c r="R113" i="23" s="1"/>
  <c r="Q110" i="23"/>
  <c r="Q111" i="23"/>
  <c r="Q113" i="23"/>
  <c r="Q114" i="23"/>
  <c r="Q115" i="23"/>
  <c r="R115" i="23" s="1"/>
  <c r="Q117" i="23"/>
  <c r="Q118" i="23"/>
  <c r="Q119" i="23"/>
  <c r="R123" i="23" s="1"/>
  <c r="Q120" i="23"/>
  <c r="Q121" i="23"/>
  <c r="Q122" i="23"/>
  <c r="R126" i="23" s="1"/>
  <c r="Q123" i="23"/>
  <c r="R127" i="23" s="1"/>
  <c r="Q124" i="23"/>
  <c r="Q125" i="23"/>
  <c r="Q126" i="23"/>
  <c r="Q127" i="23"/>
  <c r="Q129" i="23"/>
  <c r="Q130" i="23"/>
  <c r="O8" i="23"/>
  <c r="O9" i="23"/>
  <c r="O10" i="23"/>
  <c r="O12" i="23"/>
  <c r="O14" i="23"/>
  <c r="O15" i="23"/>
  <c r="O16" i="23"/>
  <c r="O18" i="23"/>
  <c r="O19" i="23"/>
  <c r="O20" i="23"/>
  <c r="O21" i="23"/>
  <c r="O22" i="23"/>
  <c r="O23" i="23"/>
  <c r="O24" i="23"/>
  <c r="O27" i="23"/>
  <c r="O32" i="23"/>
  <c r="O33" i="23"/>
  <c r="O34" i="23"/>
  <c r="O35" i="23"/>
  <c r="O36" i="23"/>
  <c r="O37" i="23"/>
  <c r="O39" i="23"/>
  <c r="O40" i="23"/>
  <c r="O41" i="23"/>
  <c r="O43" i="23"/>
  <c r="O44" i="23"/>
  <c r="O45" i="23"/>
  <c r="O46" i="23"/>
  <c r="O47" i="23"/>
  <c r="O48" i="23"/>
  <c r="O49" i="23"/>
  <c r="O50" i="23"/>
  <c r="O51" i="23"/>
  <c r="O52" i="23"/>
  <c r="O53" i="23"/>
  <c r="O54" i="23"/>
  <c r="O56" i="23"/>
  <c r="O57" i="23"/>
  <c r="O58" i="23"/>
  <c r="O61" i="23"/>
  <c r="O65" i="23"/>
  <c r="O67" i="23"/>
  <c r="O68" i="23"/>
  <c r="O69" i="23"/>
  <c r="O70" i="23"/>
  <c r="O71" i="23"/>
  <c r="O72" i="23"/>
  <c r="O73" i="23"/>
  <c r="O74" i="23"/>
  <c r="O75" i="23"/>
  <c r="O76" i="23"/>
  <c r="O77" i="23"/>
  <c r="O78" i="23"/>
  <c r="O79" i="23"/>
  <c r="O80" i="23"/>
  <c r="O81" i="23"/>
  <c r="O82" i="23"/>
  <c r="O84" i="23"/>
  <c r="O85" i="23"/>
  <c r="O86" i="23"/>
  <c r="O88" i="23"/>
  <c r="O89" i="23"/>
  <c r="O90" i="23"/>
  <c r="O91" i="23"/>
  <c r="O92" i="23"/>
  <c r="O93" i="23"/>
  <c r="O94" i="23"/>
  <c r="O95" i="23"/>
  <c r="O97" i="23"/>
  <c r="O98" i="23"/>
  <c r="O99" i="23"/>
  <c r="O101" i="23"/>
  <c r="O102" i="23"/>
  <c r="O103" i="23"/>
  <c r="O104" i="23"/>
  <c r="O105" i="23"/>
  <c r="O106" i="23"/>
  <c r="O107" i="23"/>
  <c r="O108" i="23"/>
  <c r="O109" i="23"/>
  <c r="O110" i="23"/>
  <c r="O111" i="23"/>
  <c r="O112" i="23"/>
  <c r="O113" i="23"/>
  <c r="O114" i="23"/>
  <c r="O115" i="23"/>
  <c r="O116" i="23"/>
  <c r="O117" i="23"/>
  <c r="O118" i="23"/>
  <c r="O119" i="23"/>
  <c r="O120" i="23"/>
  <c r="O121" i="23"/>
  <c r="O122" i="23"/>
  <c r="O123" i="23"/>
  <c r="O124" i="23"/>
  <c r="O125" i="23"/>
  <c r="O126" i="23"/>
  <c r="O127" i="23"/>
  <c r="O129" i="23"/>
  <c r="O130" i="23"/>
  <c r="J8" i="23"/>
  <c r="K8" i="23" s="1"/>
  <c r="J7" i="23"/>
  <c r="K7" i="23" s="1"/>
  <c r="L7" i="23" s="1"/>
  <c r="J9" i="23"/>
  <c r="K9" i="23" s="1"/>
  <c r="J10" i="23"/>
  <c r="K10" i="23" s="1"/>
  <c r="J11" i="23"/>
  <c r="J12" i="23"/>
  <c r="J13" i="23"/>
  <c r="J14" i="23"/>
  <c r="J15" i="23"/>
  <c r="J16" i="23"/>
  <c r="J17" i="23"/>
  <c r="J18" i="23"/>
  <c r="J19" i="23"/>
  <c r="J20" i="23"/>
  <c r="J21" i="23"/>
  <c r="J22" i="23"/>
  <c r="J23" i="23"/>
  <c r="J24" i="23"/>
  <c r="J26" i="23"/>
  <c r="J27" i="23"/>
  <c r="J28" i="23"/>
  <c r="J29" i="23"/>
  <c r="J30" i="23"/>
  <c r="J31" i="23"/>
  <c r="J32" i="23"/>
  <c r="J33" i="23"/>
  <c r="K33" i="23" s="1"/>
  <c r="J34" i="23"/>
  <c r="J35" i="23"/>
  <c r="J36" i="23"/>
  <c r="J37" i="23"/>
  <c r="J38" i="23"/>
  <c r="J39" i="23"/>
  <c r="J40" i="23"/>
  <c r="J41" i="23"/>
  <c r="J42" i="23"/>
  <c r="J43" i="23"/>
  <c r="K47" i="23" s="1"/>
  <c r="J44" i="23"/>
  <c r="J45" i="23"/>
  <c r="J46" i="23"/>
  <c r="J47" i="23"/>
  <c r="J48" i="23"/>
  <c r="J49" i="23"/>
  <c r="J50" i="23"/>
  <c r="J51" i="23"/>
  <c r="J52" i="23"/>
  <c r="J53" i="23"/>
  <c r="J54" i="23"/>
  <c r="J56" i="23"/>
  <c r="K56" i="23" s="1"/>
  <c r="J58" i="23"/>
  <c r="J59" i="23"/>
  <c r="J60" i="23"/>
  <c r="J61" i="23"/>
  <c r="K65" i="23" s="1"/>
  <c r="J62" i="23"/>
  <c r="J64" i="23"/>
  <c r="K64" i="23" s="1"/>
  <c r="J66" i="23"/>
  <c r="J67" i="23"/>
  <c r="J68" i="23"/>
  <c r="J69" i="23"/>
  <c r="K69" i="23" s="1"/>
  <c r="J70" i="23"/>
  <c r="J71" i="23"/>
  <c r="J72" i="23"/>
  <c r="K72" i="23" s="1"/>
  <c r="J73" i="23"/>
  <c r="K77" i="23" s="1"/>
  <c r="J74" i="23"/>
  <c r="J75" i="23"/>
  <c r="K79" i="23" s="1"/>
  <c r="J76" i="23"/>
  <c r="J77" i="23"/>
  <c r="J78" i="23"/>
  <c r="J79" i="23"/>
  <c r="J80" i="23"/>
  <c r="J81" i="23"/>
  <c r="J82" i="23"/>
  <c r="J83" i="23"/>
  <c r="J84" i="23"/>
  <c r="K84" i="23"/>
  <c r="J85" i="23"/>
  <c r="J86" i="23"/>
  <c r="J87" i="23"/>
  <c r="K91" i="23" s="1"/>
  <c r="J88" i="23"/>
  <c r="K92" i="23" s="1"/>
  <c r="J89" i="23"/>
  <c r="J90" i="23"/>
  <c r="J91" i="23"/>
  <c r="J92" i="23"/>
  <c r="J93" i="23"/>
  <c r="J94" i="23"/>
  <c r="J95" i="23"/>
  <c r="K99" i="23" s="1"/>
  <c r="J96" i="23"/>
  <c r="J97" i="23"/>
  <c r="J98" i="23"/>
  <c r="J99" i="23"/>
  <c r="J100" i="23"/>
  <c r="K104" i="23" s="1"/>
  <c r="J101" i="23"/>
  <c r="K105" i="23" s="1"/>
  <c r="J102" i="23"/>
  <c r="J103" i="23"/>
  <c r="J104" i="23"/>
  <c r="J105" i="23"/>
  <c r="J106" i="23"/>
  <c r="K110" i="23" s="1"/>
  <c r="J107" i="23"/>
  <c r="K111" i="23" s="1"/>
  <c r="J108" i="23"/>
  <c r="K112" i="23" s="1"/>
  <c r="J109" i="23"/>
  <c r="J110" i="23"/>
  <c r="J111" i="23"/>
  <c r="J112" i="23"/>
  <c r="J113" i="23"/>
  <c r="J114" i="23"/>
  <c r="J115" i="23"/>
  <c r="J116" i="23"/>
  <c r="J117" i="23"/>
  <c r="K121" i="23" s="1"/>
  <c r="J118" i="23"/>
  <c r="J119" i="23"/>
  <c r="J120" i="23"/>
  <c r="K124" i="23" s="1"/>
  <c r="J121" i="23"/>
  <c r="J122" i="23"/>
  <c r="J123" i="23"/>
  <c r="J124" i="23"/>
  <c r="J125" i="23"/>
  <c r="K129" i="23" s="1"/>
  <c r="J126" i="23"/>
  <c r="K126" i="23" s="1"/>
  <c r="J127" i="23"/>
  <c r="J128" i="23"/>
  <c r="J129" i="23"/>
  <c r="J130" i="23"/>
  <c r="D130" i="23"/>
  <c r="V129" i="23"/>
  <c r="K26" i="54"/>
  <c r="AF28" i="13"/>
  <c r="K128" i="23"/>
  <c r="R129" i="23"/>
  <c r="H127" i="23"/>
  <c r="H130" i="23"/>
  <c r="V128" i="23"/>
  <c r="H128" i="23"/>
  <c r="R128" i="23"/>
  <c r="V124" i="23"/>
  <c r="K26" i="53"/>
  <c r="AE28" i="13" s="1"/>
  <c r="R125" i="23"/>
  <c r="R124" i="23"/>
  <c r="V126" i="23"/>
  <c r="K125" i="23"/>
  <c r="V125" i="23"/>
  <c r="H123" i="23"/>
  <c r="H126" i="23"/>
  <c r="K26" i="52"/>
  <c r="AD28" i="13" s="1"/>
  <c r="K244" i="19"/>
  <c r="O244" i="19"/>
  <c r="R241" i="19"/>
  <c r="V241" i="19"/>
  <c r="Y244" i="19"/>
  <c r="AC236" i="19"/>
  <c r="V122" i="23"/>
  <c r="R121" i="23"/>
  <c r="V121" i="23"/>
  <c r="D119" i="23"/>
  <c r="V120" i="23"/>
  <c r="H122" i="23"/>
  <c r="D121" i="23"/>
  <c r="H121" i="23"/>
  <c r="R119" i="23"/>
  <c r="R118" i="23"/>
  <c r="V118" i="23"/>
  <c r="K26" i="51"/>
  <c r="AC28" i="13"/>
  <c r="H115" i="23"/>
  <c r="R117" i="23"/>
  <c r="V116" i="23"/>
  <c r="K116" i="23"/>
  <c r="D115" i="23"/>
  <c r="D114" i="23"/>
  <c r="V111" i="23"/>
  <c r="H114" i="23"/>
  <c r="V114" i="23"/>
  <c r="D223" i="19"/>
  <c r="D225" i="19"/>
  <c r="H113" i="23"/>
  <c r="V113" i="23"/>
  <c r="V112" i="23"/>
  <c r="D215" i="19"/>
  <c r="K215" i="19"/>
  <c r="O219" i="19"/>
  <c r="R210" i="19"/>
  <c r="Y213" i="19"/>
  <c r="D217" i="19"/>
  <c r="K211" i="19"/>
  <c r="V109" i="23"/>
  <c r="V108" i="23"/>
  <c r="K26" i="49"/>
  <c r="AA28" i="13"/>
  <c r="R110" i="23"/>
  <c r="R109" i="23"/>
  <c r="V110" i="23"/>
  <c r="V107" i="23"/>
  <c r="H110" i="23"/>
  <c r="K108" i="23"/>
  <c r="K109" i="23"/>
  <c r="H108" i="23"/>
  <c r="V210" i="19"/>
  <c r="AC205" i="19"/>
  <c r="O209" i="19"/>
  <c r="K204" i="19"/>
  <c r="O204" i="19"/>
  <c r="R106" i="23"/>
  <c r="V103" i="23"/>
  <c r="H106" i="23"/>
  <c r="V105" i="23"/>
  <c r="H101" i="23"/>
  <c r="K26" i="47"/>
  <c r="Y28" i="13" s="1"/>
  <c r="V100" i="23"/>
  <c r="H104" i="23"/>
  <c r="V99" i="23"/>
  <c r="V102" i="23"/>
  <c r="K100" i="23"/>
  <c r="D100" i="23"/>
  <c r="K26" i="46"/>
  <c r="X28" i="13" s="1"/>
  <c r="H99" i="23"/>
  <c r="V96" i="23"/>
  <c r="V97" i="23"/>
  <c r="O96" i="23"/>
  <c r="R98" i="23"/>
  <c r="K96" i="23"/>
  <c r="R95" i="23"/>
  <c r="V98" i="23"/>
  <c r="D97" i="23"/>
  <c r="H96" i="23"/>
  <c r="D98" i="23"/>
  <c r="V95" i="23"/>
  <c r="D91" i="23"/>
  <c r="Y193" i="19"/>
  <c r="K51" i="45"/>
  <c r="W51" i="62" s="1"/>
  <c r="K181" i="19"/>
  <c r="R182" i="19"/>
  <c r="V181" i="19"/>
  <c r="AC184" i="19"/>
  <c r="H97" i="23"/>
  <c r="D95" i="23"/>
  <c r="K183" i="19"/>
  <c r="O179" i="19"/>
  <c r="R185" i="19"/>
  <c r="V185" i="19"/>
  <c r="Y192" i="19"/>
  <c r="AC188" i="19"/>
  <c r="V92" i="23"/>
  <c r="K94" i="23"/>
  <c r="V91" i="23"/>
  <c r="K26" i="45"/>
  <c r="W28" i="13" s="1"/>
  <c r="H91" i="23"/>
  <c r="V94" i="23"/>
  <c r="R93" i="23"/>
  <c r="V93" i="23"/>
  <c r="R89" i="23"/>
  <c r="V89" i="23"/>
  <c r="H89" i="23"/>
  <c r="K87" i="23"/>
  <c r="V88" i="23"/>
  <c r="R91" i="23"/>
  <c r="V87" i="23"/>
  <c r="H87" i="23"/>
  <c r="V90" i="23"/>
  <c r="D87" i="23"/>
  <c r="H90" i="23"/>
  <c r="O164" i="19"/>
  <c r="Y176" i="19"/>
  <c r="R165" i="19"/>
  <c r="K83" i="23"/>
  <c r="H85" i="23"/>
  <c r="K26" i="43"/>
  <c r="U28" i="13" s="1"/>
  <c r="V86" i="23"/>
  <c r="V85" i="23"/>
  <c r="K85" i="23"/>
  <c r="V84" i="23"/>
  <c r="R86" i="23"/>
  <c r="H83" i="23"/>
  <c r="O87" i="23"/>
  <c r="V83" i="23"/>
  <c r="K165" i="19"/>
  <c r="K161" i="19"/>
  <c r="O165" i="19"/>
  <c r="R169" i="19"/>
  <c r="V157" i="19"/>
  <c r="Y156" i="19"/>
  <c r="AC156" i="19"/>
  <c r="K81" i="23"/>
  <c r="K80" i="23"/>
  <c r="R82" i="23"/>
  <c r="V82" i="23"/>
  <c r="V81" i="23"/>
  <c r="H81" i="23"/>
  <c r="V80" i="23"/>
  <c r="K148" i="19"/>
  <c r="R148" i="19"/>
  <c r="R152" i="19"/>
  <c r="K39" i="41"/>
  <c r="S39" i="62" s="1"/>
  <c r="K35" i="41"/>
  <c r="S35" i="62" s="1"/>
  <c r="Y147" i="19"/>
  <c r="Y151" i="19"/>
  <c r="V79" i="23"/>
  <c r="V78" i="23"/>
  <c r="V77" i="23"/>
  <c r="K160" i="19"/>
  <c r="V76" i="23"/>
  <c r="D76" i="23"/>
  <c r="K76" i="23"/>
  <c r="R78" i="23"/>
  <c r="D75" i="23"/>
  <c r="K75" i="23"/>
  <c r="R77" i="23"/>
  <c r="K78" i="23"/>
  <c r="H78" i="23"/>
  <c r="R75" i="23"/>
  <c r="H77" i="23"/>
  <c r="K139" i="19"/>
  <c r="R142" i="19"/>
  <c r="O147" i="19"/>
  <c r="V150" i="19"/>
  <c r="Y145" i="19"/>
  <c r="AC141" i="19"/>
  <c r="H76" i="23"/>
  <c r="D71" i="23"/>
  <c r="R72" i="23"/>
  <c r="R71" i="23"/>
  <c r="V74" i="23"/>
  <c r="H73" i="23"/>
  <c r="K73" i="23"/>
  <c r="V73" i="23"/>
  <c r="R73" i="23"/>
  <c r="V72" i="23"/>
  <c r="K71" i="23"/>
  <c r="V71" i="23"/>
  <c r="R74" i="23"/>
  <c r="H74" i="23"/>
  <c r="R135" i="19"/>
  <c r="Y130" i="19"/>
  <c r="R131" i="19"/>
  <c r="D130" i="19"/>
  <c r="D134" i="19"/>
  <c r="H132" i="19"/>
  <c r="H136" i="19"/>
  <c r="V69" i="23"/>
  <c r="K26" i="39"/>
  <c r="Q28" i="13" s="1"/>
  <c r="K68" i="23"/>
  <c r="V67" i="23"/>
  <c r="V68" i="23"/>
  <c r="D69" i="23"/>
  <c r="K67" i="23"/>
  <c r="H68" i="23"/>
  <c r="R69" i="23"/>
  <c r="V70" i="23"/>
  <c r="H70" i="23"/>
  <c r="M4" i="8"/>
  <c r="K127" i="19"/>
  <c r="O123" i="19"/>
  <c r="D122" i="19"/>
  <c r="H124" i="19"/>
  <c r="H128" i="19"/>
  <c r="R133" i="19"/>
  <c r="V129" i="19"/>
  <c r="Y132" i="19"/>
  <c r="AC124" i="19"/>
  <c r="K131" i="19"/>
  <c r="D126" i="19"/>
  <c r="R67" i="23"/>
  <c r="R65" i="23"/>
  <c r="V65" i="23"/>
  <c r="V64" i="23"/>
  <c r="V63" i="23"/>
  <c r="K63" i="23"/>
  <c r="R66" i="23"/>
  <c r="V66" i="23"/>
  <c r="H63" i="23"/>
  <c r="R62" i="23"/>
  <c r="K5" i="37"/>
  <c r="O7" i="13" s="1"/>
  <c r="E5" i="5" s="1"/>
  <c r="V61" i="23"/>
  <c r="V59" i="23"/>
  <c r="K26" i="37"/>
  <c r="O28" i="13"/>
  <c r="H60" i="23"/>
  <c r="O64" i="23"/>
  <c r="R59" i="23"/>
  <c r="V62" i="23"/>
  <c r="D62" i="23"/>
  <c r="D116" i="19"/>
  <c r="H119" i="19"/>
  <c r="K121" i="19"/>
  <c r="O117" i="19"/>
  <c r="K62" i="23"/>
  <c r="H62" i="23"/>
  <c r="K60" i="23"/>
  <c r="O66" i="23"/>
  <c r="R61" i="23"/>
  <c r="V60" i="23"/>
  <c r="D59" i="23"/>
  <c r="K59" i="23"/>
  <c r="K61" i="23"/>
  <c r="H61" i="23"/>
  <c r="K119" i="19"/>
  <c r="K12" i="36"/>
  <c r="N14" i="13" s="1"/>
  <c r="D12" i="5" s="1"/>
  <c r="K21" i="36"/>
  <c r="N23" i="13"/>
  <c r="D21" i="5" s="1"/>
  <c r="K22" i="36"/>
  <c r="N24" i="13" s="1"/>
  <c r="D22" i="5" s="1"/>
  <c r="O59" i="23"/>
  <c r="D108" i="19"/>
  <c r="R110" i="19"/>
  <c r="H111" i="19"/>
  <c r="O116" i="19"/>
  <c r="V106" i="19"/>
  <c r="Y113" i="19"/>
  <c r="AC109" i="19"/>
  <c r="D55" i="23"/>
  <c r="R57" i="23"/>
  <c r="K55" i="23"/>
  <c r="R56" i="23"/>
  <c r="V57" i="23"/>
  <c r="V56" i="23"/>
  <c r="K5" i="36"/>
  <c r="N7" i="13" s="1"/>
  <c r="D5" i="5" s="1"/>
  <c r="R55" i="23"/>
  <c r="K57" i="23"/>
  <c r="R58" i="23"/>
  <c r="V55" i="23"/>
  <c r="H57" i="23"/>
  <c r="V58" i="23"/>
  <c r="R54" i="23"/>
  <c r="K52" i="23"/>
  <c r="K51" i="23"/>
  <c r="R53" i="23"/>
  <c r="V52" i="23"/>
  <c r="K53" i="23"/>
  <c r="V51" i="23"/>
  <c r="H54" i="23"/>
  <c r="V54" i="23"/>
  <c r="D53" i="23"/>
  <c r="R52" i="23"/>
  <c r="K26" i="35"/>
  <c r="M28" i="13" s="1"/>
  <c r="K5" i="35"/>
  <c r="M7" i="13" s="1"/>
  <c r="C5" i="5" s="1"/>
  <c r="H53" i="23"/>
  <c r="V53" i="23"/>
  <c r="K48" i="23"/>
  <c r="R51" i="23"/>
  <c r="R50" i="23"/>
  <c r="V48" i="23"/>
  <c r="K49" i="23"/>
  <c r="R49" i="23"/>
  <c r="V47" i="23"/>
  <c r="V50" i="23"/>
  <c r="V49" i="23"/>
  <c r="O85" i="19"/>
  <c r="K45" i="23"/>
  <c r="R43" i="23"/>
  <c r="R46" i="23"/>
  <c r="V43" i="23"/>
  <c r="K46" i="23"/>
  <c r="V46" i="23"/>
  <c r="D46" i="23"/>
  <c r="D44" i="23"/>
  <c r="R45" i="23"/>
  <c r="D43" i="23"/>
  <c r="V45" i="23"/>
  <c r="K44" i="23"/>
  <c r="Y78" i="19"/>
  <c r="K51" i="32"/>
  <c r="J51" i="62" s="1"/>
  <c r="K47" i="32"/>
  <c r="J47" i="62" s="1"/>
  <c r="K43" i="32"/>
  <c r="J43" i="62" s="1"/>
  <c r="R75" i="19"/>
  <c r="K16" i="32"/>
  <c r="J18" i="13"/>
  <c r="J16" i="1" s="1"/>
  <c r="K14" i="32"/>
  <c r="J16" i="13"/>
  <c r="J14" i="1"/>
  <c r="K10" i="32"/>
  <c r="J12" i="13" s="1"/>
  <c r="J10" i="1" s="1"/>
  <c r="M10" i="1" s="1"/>
  <c r="V44" i="23"/>
  <c r="AC77" i="19"/>
  <c r="V82" i="19"/>
  <c r="K83" i="19"/>
  <c r="O80" i="19"/>
  <c r="O87" i="19"/>
  <c r="Y81" i="19"/>
  <c r="V41" i="23"/>
  <c r="K87" i="19"/>
  <c r="O75" i="19"/>
  <c r="R86" i="19"/>
  <c r="Y77" i="19"/>
  <c r="K26" i="32"/>
  <c r="J28" i="13" s="1"/>
  <c r="V78" i="19"/>
  <c r="O76" i="19"/>
  <c r="D39" i="23"/>
  <c r="D77" i="19"/>
  <c r="R79" i="19"/>
  <c r="R85" i="19"/>
  <c r="V83" i="19"/>
  <c r="V89" i="19"/>
  <c r="Y82" i="19"/>
  <c r="Y88" i="19"/>
  <c r="AC78" i="19"/>
  <c r="AC84" i="19"/>
  <c r="K41" i="23"/>
  <c r="R41" i="23"/>
  <c r="V42" i="23"/>
  <c r="K40" i="23"/>
  <c r="R40" i="23"/>
  <c r="H75" i="19"/>
  <c r="R39" i="23"/>
  <c r="R42" i="23"/>
  <c r="V39" i="23"/>
  <c r="O38" i="23"/>
  <c r="D75" i="19"/>
  <c r="D69" i="19"/>
  <c r="K69" i="19"/>
  <c r="K76" i="19"/>
  <c r="H67" i="19"/>
  <c r="R38" i="23"/>
  <c r="V36" i="23"/>
  <c r="R36" i="23"/>
  <c r="K36" i="23"/>
  <c r="K37" i="23"/>
  <c r="R37" i="23"/>
  <c r="V35" i="23"/>
  <c r="V38" i="23"/>
  <c r="K35" i="23"/>
  <c r="V37" i="23"/>
  <c r="D63" i="19"/>
  <c r="V32" i="23"/>
  <c r="D65" i="19"/>
  <c r="R34" i="23"/>
  <c r="V31" i="23"/>
  <c r="V34" i="23"/>
  <c r="K32" i="23"/>
  <c r="R33" i="23"/>
  <c r="K31" i="23"/>
  <c r="R35" i="23"/>
  <c r="V33" i="23"/>
  <c r="AG7" i="16"/>
  <c r="I5" i="55" s="1"/>
  <c r="O50" i="19"/>
  <c r="R55" i="19"/>
  <c r="Y54" i="19"/>
  <c r="AC62" i="19"/>
  <c r="K26" i="29"/>
  <c r="G28" i="13" s="1"/>
  <c r="D55" i="19"/>
  <c r="G5" i="4"/>
  <c r="K51" i="19"/>
  <c r="R51" i="19"/>
  <c r="V51" i="19"/>
  <c r="Y50" i="19"/>
  <c r="R29" i="23"/>
  <c r="D57" i="19"/>
  <c r="H55" i="19"/>
  <c r="K28" i="23"/>
  <c r="R27" i="23"/>
  <c r="V27" i="23"/>
  <c r="K27" i="23"/>
  <c r="R30" i="23"/>
  <c r="V30" i="23"/>
  <c r="D30" i="23"/>
  <c r="V29" i="23"/>
  <c r="K30" i="23"/>
  <c r="V28" i="23"/>
  <c r="D27" i="23"/>
  <c r="K29" i="23"/>
  <c r="O29" i="23"/>
  <c r="O30" i="23"/>
  <c r="V42" i="19"/>
  <c r="D23" i="23"/>
  <c r="K23" i="23"/>
  <c r="K25" i="23"/>
  <c r="K24" i="23"/>
  <c r="R24" i="23"/>
  <c r="V26" i="23"/>
  <c r="V25" i="23"/>
  <c r="R23" i="23"/>
  <c r="R26" i="23"/>
  <c r="V24" i="23"/>
  <c r="R25" i="23"/>
  <c r="V23" i="23"/>
  <c r="K44" i="19"/>
  <c r="R37" i="19"/>
  <c r="Y38" i="19"/>
  <c r="O36" i="19"/>
  <c r="O35" i="19"/>
  <c r="R47" i="19"/>
  <c r="V39" i="19"/>
  <c r="Y42" i="19"/>
  <c r="AC46" i="19"/>
  <c r="K26" i="27"/>
  <c r="E28" i="13"/>
  <c r="K21" i="23"/>
  <c r="V19" i="23"/>
  <c r="K20" i="23"/>
  <c r="R22" i="23"/>
  <c r="V22" i="23"/>
  <c r="D21" i="23"/>
  <c r="R20" i="23"/>
  <c r="R21" i="23"/>
  <c r="V21" i="23"/>
  <c r="K19" i="23"/>
  <c r="R19" i="23"/>
  <c r="V20" i="23"/>
  <c r="K32" i="19"/>
  <c r="R17" i="23"/>
  <c r="H31" i="19"/>
  <c r="K5" i="26"/>
  <c r="D7" i="13" s="1"/>
  <c r="D33" i="19"/>
  <c r="K16" i="23"/>
  <c r="R18" i="23"/>
  <c r="V17" i="23"/>
  <c r="H28" i="19"/>
  <c r="H32" i="19"/>
  <c r="V16" i="23"/>
  <c r="K17" i="23"/>
  <c r="K15" i="23"/>
  <c r="R15" i="23"/>
  <c r="V15" i="23"/>
  <c r="V18" i="23"/>
  <c r="K28" i="19"/>
  <c r="K29" i="19"/>
  <c r="K5" i="25"/>
  <c r="C7" i="13" s="1"/>
  <c r="C5" i="1" s="1"/>
  <c r="R18" i="19"/>
  <c r="V22" i="19"/>
  <c r="H23" i="19"/>
  <c r="AH6" i="16"/>
  <c r="J4" i="55" s="1"/>
  <c r="K25" i="19"/>
  <c r="H20" i="19"/>
  <c r="H24" i="19"/>
  <c r="AG6" i="16"/>
  <c r="I4" i="55" s="1"/>
  <c r="AI7" i="16"/>
  <c r="K5" i="55" s="1"/>
  <c r="K26" i="25"/>
  <c r="C28" i="13" s="1"/>
  <c r="O17" i="23"/>
  <c r="D25" i="19"/>
  <c r="AI6" i="16"/>
  <c r="K4" i="55" s="1"/>
  <c r="AH7" i="16"/>
  <c r="J5" i="55" s="1"/>
  <c r="V12" i="23"/>
  <c r="K12" i="23"/>
  <c r="B31" i="62"/>
  <c r="R11" i="23"/>
  <c r="K11" i="23"/>
  <c r="V11" i="23"/>
  <c r="W8" i="23"/>
  <c r="K14" i="23"/>
  <c r="K130" i="23"/>
  <c r="K114" i="23"/>
  <c r="K98" i="23"/>
  <c r="K82" i="23"/>
  <c r="K66" i="23"/>
  <c r="K50" i="23"/>
  <c r="K34" i="23"/>
  <c r="K18" i="23"/>
  <c r="K118" i="23"/>
  <c r="K102" i="23"/>
  <c r="K86" i="23"/>
  <c r="K70" i="23"/>
  <c r="K54" i="23"/>
  <c r="K38" i="23"/>
  <c r="K22" i="23"/>
  <c r="K122" i="23"/>
  <c r="K106" i="23"/>
  <c r="K90" i="23"/>
  <c r="K74" i="23"/>
  <c r="K58" i="23"/>
  <c r="K42" i="23"/>
  <c r="K26" i="23"/>
  <c r="R92" i="23"/>
  <c r="R96" i="23"/>
  <c r="R28" i="23"/>
  <c r="R32" i="23"/>
  <c r="R12" i="23"/>
  <c r="R16" i="23"/>
  <c r="B5" i="2"/>
  <c r="L5" i="2" s="1"/>
  <c r="S7" i="62"/>
  <c r="I5" i="64"/>
  <c r="S32" i="62"/>
  <c r="G7" i="62"/>
  <c r="G5" i="63" s="1"/>
  <c r="M5" i="63" s="1"/>
  <c r="B7" i="62"/>
  <c r="AG7" i="62" s="1"/>
  <c r="AI7" i="62" s="1"/>
  <c r="K31" i="27"/>
  <c r="E31" i="62" s="1"/>
  <c r="D127" i="23"/>
  <c r="D111" i="23"/>
  <c r="D83" i="23"/>
  <c r="D67" i="23"/>
  <c r="D51" i="23"/>
  <c r="D35" i="23"/>
  <c r="D19" i="23"/>
  <c r="K4" i="49"/>
  <c r="AA6" i="13" s="1"/>
  <c r="G4" i="9" s="1"/>
  <c r="K13" i="23"/>
  <c r="R13" i="23"/>
  <c r="V13" i="23"/>
  <c r="I12" i="19"/>
  <c r="I13" i="19" s="1"/>
  <c r="D8" i="23"/>
  <c r="D113" i="23"/>
  <c r="D86" i="23"/>
  <c r="D84" i="23"/>
  <c r="D38" i="23"/>
  <c r="D36" i="23"/>
  <c r="D29" i="23"/>
  <c r="D22" i="23"/>
  <c r="D20" i="23"/>
  <c r="O5" i="12"/>
  <c r="C32" i="62"/>
  <c r="M7" i="62"/>
  <c r="C5" i="64" s="1"/>
  <c r="M32" i="62"/>
  <c r="E7" i="62"/>
  <c r="E5" i="63" s="1"/>
  <c r="E32" i="62"/>
  <c r="K31" i="36"/>
  <c r="N31" i="62" s="1"/>
  <c r="V14" i="23"/>
  <c r="D124" i="23"/>
  <c r="D117" i="23"/>
  <c r="D110" i="23"/>
  <c r="D106" i="23"/>
  <c r="D104" i="23"/>
  <c r="D90" i="23"/>
  <c r="D88" i="23"/>
  <c r="D42" i="23"/>
  <c r="D40" i="23"/>
  <c r="D26" i="23"/>
  <c r="D24" i="23"/>
  <c r="D17" i="23"/>
  <c r="L5" i="7"/>
  <c r="C6" i="62"/>
  <c r="C4" i="63" s="1"/>
  <c r="K31" i="25"/>
  <c r="C31" i="62" s="1"/>
  <c r="R20" i="19"/>
  <c r="R12" i="19"/>
  <c r="R24" i="19"/>
  <c r="R16" i="19"/>
  <c r="V20" i="19"/>
  <c r="V12" i="19"/>
  <c r="W12" i="19" s="1"/>
  <c r="W13" i="19" s="1"/>
  <c r="W14" i="19" s="1"/>
  <c r="W15" i="19" s="1"/>
  <c r="V24" i="19"/>
  <c r="V16" i="19"/>
  <c r="Y19" i="19"/>
  <c r="Y11" i="19"/>
  <c r="Z11" i="19" s="1"/>
  <c r="Z12" i="19" s="1"/>
  <c r="Z13" i="19" s="1"/>
  <c r="Z14" i="19" s="1"/>
  <c r="Y23" i="19"/>
  <c r="Y15" i="19"/>
  <c r="K4" i="53"/>
  <c r="AE6" i="13" s="1"/>
  <c r="K4" i="9" s="1"/>
  <c r="K4" i="40"/>
  <c r="R6" i="13" s="1"/>
  <c r="H4" i="5" s="1"/>
  <c r="K4" i="33"/>
  <c r="K6" i="13" s="1"/>
  <c r="K4" i="1" s="1"/>
  <c r="AC19" i="19"/>
  <c r="AC11" i="19"/>
  <c r="AD11" i="19" s="1"/>
  <c r="AD12" i="19" s="1"/>
  <c r="AD13" i="19" s="1"/>
  <c r="AD14" i="19" s="1"/>
  <c r="AC23" i="19"/>
  <c r="AC15" i="19"/>
  <c r="W32" i="62"/>
  <c r="W7" i="62"/>
  <c r="C5" i="65" s="1"/>
  <c r="B5" i="3"/>
  <c r="K4" i="44"/>
  <c r="V6" i="13" s="1"/>
  <c r="B4" i="9" s="1"/>
  <c r="K4" i="36"/>
  <c r="N6" i="13" s="1"/>
  <c r="D4" i="5" s="1"/>
  <c r="K4" i="28"/>
  <c r="F6" i="13" s="1"/>
  <c r="D125" i="23"/>
  <c r="D109" i="23"/>
  <c r="D82" i="23"/>
  <c r="D80" i="23"/>
  <c r="D73" i="23"/>
  <c r="D66" i="23"/>
  <c r="D64" i="23"/>
  <c r="D57" i="23"/>
  <c r="D34" i="23"/>
  <c r="D25" i="23"/>
  <c r="K31" i="37"/>
  <c r="O31" i="62" s="1"/>
  <c r="D123" i="23"/>
  <c r="D107" i="23"/>
  <c r="D79" i="23"/>
  <c r="D63" i="23"/>
  <c r="D47" i="23"/>
  <c r="D31" i="23"/>
  <c r="D15" i="23"/>
  <c r="B4" i="3"/>
  <c r="D105" i="23"/>
  <c r="H98" i="23"/>
  <c r="H102" i="23"/>
  <c r="B4" i="2"/>
  <c r="L4" i="2" s="1"/>
  <c r="AG6" i="15"/>
  <c r="AH6" i="15"/>
  <c r="H4" i="55" s="1"/>
  <c r="H112" i="23"/>
  <c r="H116" i="23"/>
  <c r="H86" i="23"/>
  <c r="H82" i="23"/>
  <c r="H103" i="23"/>
  <c r="H107" i="23"/>
  <c r="H88" i="23"/>
  <c r="H84" i="23"/>
  <c r="K22" i="19"/>
  <c r="K14" i="19"/>
  <c r="O22" i="19"/>
  <c r="O14" i="19"/>
  <c r="H120" i="23"/>
  <c r="H124" i="23"/>
  <c r="H118" i="23"/>
  <c r="D101" i="23"/>
  <c r="H69" i="23"/>
  <c r="H65" i="23"/>
  <c r="L12" i="19"/>
  <c r="L13" i="19" s="1"/>
  <c r="D99" i="23"/>
  <c r="D103" i="23"/>
  <c r="D102" i="23"/>
  <c r="H119" i="23"/>
  <c r="H111" i="23"/>
  <c r="H105" i="23"/>
  <c r="H100" i="23"/>
  <c r="H71" i="23"/>
  <c r="H55" i="23"/>
  <c r="H50" i="23"/>
  <c r="H46" i="23"/>
  <c r="H42" i="23"/>
  <c r="H38" i="23"/>
  <c r="H34" i="23"/>
  <c r="H30" i="23"/>
  <c r="H26" i="23"/>
  <c r="H22" i="23"/>
  <c r="H18" i="23"/>
  <c r="H10" i="23"/>
  <c r="H14" i="23"/>
  <c r="H117" i="23"/>
  <c r="H109" i="23"/>
  <c r="H92" i="23"/>
  <c r="H49" i="23"/>
  <c r="H45" i="23"/>
  <c r="H41" i="23"/>
  <c r="H37" i="23"/>
  <c r="H33" i="23"/>
  <c r="H29" i="23"/>
  <c r="H25" i="23"/>
  <c r="H21" i="23"/>
  <c r="H17" i="23"/>
  <c r="H9" i="23"/>
  <c r="H13" i="23"/>
  <c r="H79" i="23"/>
  <c r="H66" i="23"/>
  <c r="H58" i="23"/>
  <c r="H47" i="23"/>
  <c r="H43" i="23"/>
  <c r="H39" i="23"/>
  <c r="H35" i="23"/>
  <c r="H31" i="23"/>
  <c r="H27" i="23"/>
  <c r="H23" i="23"/>
  <c r="H19" i="23"/>
  <c r="H15" i="23"/>
  <c r="H11" i="23"/>
  <c r="H64" i="23"/>
  <c r="H56" i="23"/>
  <c r="H52" i="23"/>
  <c r="H48" i="23"/>
  <c r="H44" i="23"/>
  <c r="H40" i="23"/>
  <c r="H36" i="23"/>
  <c r="H32" i="23"/>
  <c r="H28" i="23"/>
  <c r="H24" i="23"/>
  <c r="H20" i="23"/>
  <c r="H16" i="23"/>
  <c r="H8" i="23"/>
  <c r="H12" i="23"/>
  <c r="AJ6" i="16"/>
  <c r="L4" i="55" s="1"/>
  <c r="AI6" i="15"/>
  <c r="G4" i="55" s="1"/>
  <c r="F4" i="55"/>
  <c r="K71" i="19"/>
  <c r="K20" i="19"/>
  <c r="K78" i="19"/>
  <c r="K116" i="19"/>
  <c r="K154" i="19"/>
  <c r="O47" i="19"/>
  <c r="R40" i="19"/>
  <c r="R43" i="19"/>
  <c r="R59" i="19"/>
  <c r="K27" i="19"/>
  <c r="K42" i="19"/>
  <c r="K58" i="19"/>
  <c r="K126" i="19"/>
  <c r="K202" i="19"/>
  <c r="K234" i="19"/>
  <c r="O70" i="19"/>
  <c r="O162" i="19"/>
  <c r="O202" i="19"/>
  <c r="O218" i="19"/>
  <c r="O230" i="19"/>
  <c r="R31" i="19"/>
  <c r="K41" i="19"/>
  <c r="R92" i="19"/>
  <c r="R140" i="19"/>
  <c r="R196" i="19"/>
  <c r="V26" i="19"/>
  <c r="O25" i="12"/>
  <c r="N5" i="12"/>
  <c r="M5" i="12"/>
  <c r="M5" i="4"/>
  <c r="N25" i="7"/>
  <c r="N21" i="7"/>
  <c r="M4" i="11"/>
  <c r="M4" i="6"/>
  <c r="N4" i="65"/>
  <c r="M4" i="64"/>
  <c r="N4" i="64"/>
  <c r="M4" i="63"/>
  <c r="M4" i="65"/>
  <c r="L5" i="64"/>
  <c r="O4" i="65"/>
  <c r="AG28" i="16"/>
  <c r="AI26" i="16"/>
  <c r="K24" i="55" s="1"/>
  <c r="AH25" i="16"/>
  <c r="J23" i="55" s="1"/>
  <c r="AG24" i="16"/>
  <c r="I22" i="55" s="1"/>
  <c r="AI22" i="16"/>
  <c r="K20" i="55" s="1"/>
  <c r="AH21" i="16"/>
  <c r="J19" i="55" s="1"/>
  <c r="AG20" i="16"/>
  <c r="I18" i="55" s="1"/>
  <c r="AG9" i="16"/>
  <c r="I7" i="55" s="1"/>
  <c r="L5" i="8"/>
  <c r="N5" i="8" s="1"/>
  <c r="L4" i="8"/>
  <c r="N4" i="8" s="1"/>
  <c r="M4" i="4"/>
  <c r="N4" i="12"/>
  <c r="M5" i="8"/>
  <c r="M4" i="12"/>
  <c r="O4" i="12"/>
  <c r="M5" i="2"/>
  <c r="L4" i="6"/>
  <c r="N4" i="6"/>
  <c r="M4" i="2"/>
  <c r="O5" i="11"/>
  <c r="M5" i="11"/>
  <c r="N4" i="11"/>
  <c r="O4" i="11"/>
  <c r="M5" i="6"/>
  <c r="L5" i="6"/>
  <c r="N5" i="6"/>
  <c r="N22" i="9"/>
  <c r="N18" i="9"/>
  <c r="N14" i="9"/>
  <c r="N9" i="9"/>
  <c r="N21" i="9"/>
  <c r="N17" i="9"/>
  <c r="N13" i="9"/>
  <c r="N8" i="9"/>
  <c r="N24" i="9"/>
  <c r="N20" i="9"/>
  <c r="N16" i="9"/>
  <c r="N12" i="9"/>
  <c r="N7" i="9"/>
  <c r="N25" i="9"/>
  <c r="N23" i="9"/>
  <c r="N19" i="9"/>
  <c r="N15" i="9"/>
  <c r="N10" i="9"/>
  <c r="N6" i="9"/>
  <c r="N11" i="9"/>
  <c r="O21" i="9"/>
  <c r="M21" i="9"/>
  <c r="O17" i="9"/>
  <c r="M17" i="9"/>
  <c r="O13" i="9"/>
  <c r="M13" i="9"/>
  <c r="M8" i="9"/>
  <c r="O8" i="9"/>
  <c r="O11" i="9"/>
  <c r="M11" i="9"/>
  <c r="M24" i="9"/>
  <c r="O24" i="9"/>
  <c r="M20" i="9"/>
  <c r="O20" i="9"/>
  <c r="O16" i="9"/>
  <c r="M16" i="9"/>
  <c r="M12" i="9"/>
  <c r="O12" i="9"/>
  <c r="O7" i="9"/>
  <c r="M7" i="9"/>
  <c r="O23" i="9"/>
  <c r="M23" i="9"/>
  <c r="O19" i="9"/>
  <c r="M19" i="9"/>
  <c r="M15" i="9"/>
  <c r="O15" i="9"/>
  <c r="M10" i="9"/>
  <c r="O10" i="9"/>
  <c r="O6" i="9"/>
  <c r="M6" i="9"/>
  <c r="O22" i="9"/>
  <c r="M22" i="9"/>
  <c r="O18" i="9"/>
  <c r="M18" i="9"/>
  <c r="M14" i="9"/>
  <c r="O14" i="9"/>
  <c r="M9" i="9"/>
  <c r="O9" i="9"/>
  <c r="M25" i="9"/>
  <c r="O25" i="9"/>
  <c r="M12" i="5"/>
  <c r="M23" i="5"/>
  <c r="M18" i="5"/>
  <c r="M21" i="5"/>
  <c r="M17" i="5"/>
  <c r="M13" i="5"/>
  <c r="M8" i="5"/>
  <c r="M25" i="5"/>
  <c r="L24" i="5"/>
  <c r="L20" i="5"/>
  <c r="L16" i="5"/>
  <c r="N12" i="5"/>
  <c r="L12" i="5"/>
  <c r="L7" i="5"/>
  <c r="L11" i="5"/>
  <c r="N23" i="5"/>
  <c r="L23" i="5"/>
  <c r="L19" i="5"/>
  <c r="L15" i="5"/>
  <c r="L10" i="5"/>
  <c r="L6" i="5"/>
  <c r="L22" i="5"/>
  <c r="N18" i="5"/>
  <c r="L18" i="5"/>
  <c r="L14" i="5"/>
  <c r="L9" i="5"/>
  <c r="L21" i="5"/>
  <c r="N21" i="5"/>
  <c r="L17" i="5"/>
  <c r="N17" i="5"/>
  <c r="L13" i="5"/>
  <c r="N13" i="5"/>
  <c r="N8" i="5"/>
  <c r="L8" i="5"/>
  <c r="L25" i="5"/>
  <c r="N25" i="5"/>
  <c r="M22" i="1"/>
  <c r="M18" i="1"/>
  <c r="M14" i="1"/>
  <c r="M9" i="1"/>
  <c r="M11" i="1"/>
  <c r="M21" i="1"/>
  <c r="M17" i="1"/>
  <c r="M13" i="1"/>
  <c r="M8" i="1"/>
  <c r="M24" i="1"/>
  <c r="M20" i="1"/>
  <c r="M16" i="1"/>
  <c r="M12" i="1"/>
  <c r="M7" i="1"/>
  <c r="M23" i="1"/>
  <c r="M19" i="1"/>
  <c r="M15" i="1"/>
  <c r="M6" i="1"/>
  <c r="M25" i="1"/>
  <c r="B24" i="1"/>
  <c r="N24" i="1" s="1"/>
  <c r="B22" i="1"/>
  <c r="L22" i="1" s="1"/>
  <c r="B14" i="1"/>
  <c r="L14" i="1" s="1"/>
  <c r="D120" i="23" l="1"/>
  <c r="D116" i="23"/>
  <c r="D70" i="23"/>
  <c r="D74" i="23"/>
  <c r="D50" i="23"/>
  <c r="D54" i="23"/>
  <c r="D37" i="23"/>
  <c r="D33" i="23"/>
  <c r="N5" i="65"/>
  <c r="D45" i="23"/>
  <c r="D49" i="23"/>
  <c r="N4" i="7"/>
  <c r="L4" i="7"/>
  <c r="D122" i="23"/>
  <c r="D118" i="23"/>
  <c r="D81" i="23"/>
  <c r="D77" i="23"/>
  <c r="D61" i="23"/>
  <c r="D65" i="23"/>
  <c r="R44" i="23"/>
  <c r="R48" i="23"/>
  <c r="D28" i="23"/>
  <c r="D32" i="23"/>
  <c r="D12" i="23"/>
  <c r="D16" i="23"/>
  <c r="M4" i="7"/>
  <c r="D68" i="23"/>
  <c r="D72" i="23"/>
  <c r="D52" i="23"/>
  <c r="D48" i="23"/>
  <c r="M4" i="10"/>
  <c r="O4" i="10"/>
  <c r="N5" i="10"/>
  <c r="O5" i="9"/>
  <c r="N5" i="9"/>
  <c r="R116" i="23"/>
  <c r="R112" i="23"/>
  <c r="C5" i="3"/>
  <c r="L5" i="3" s="1"/>
  <c r="AH7" i="14"/>
  <c r="E5" i="55" s="1"/>
  <c r="AG7" i="14"/>
  <c r="C5" i="55" s="1"/>
  <c r="R76" i="23"/>
  <c r="R80" i="23"/>
  <c r="R64" i="23"/>
  <c r="R60" i="23"/>
  <c r="D56" i="23"/>
  <c r="D60" i="23"/>
  <c r="D18" i="23"/>
  <c r="D14" i="23"/>
  <c r="C4" i="3"/>
  <c r="L4" i="3" s="1"/>
  <c r="AG6" i="14"/>
  <c r="C4" i="55" s="1"/>
  <c r="AH6" i="14"/>
  <c r="E4" i="55" s="1"/>
  <c r="O5" i="10"/>
  <c r="N5" i="7"/>
  <c r="M5" i="7"/>
  <c r="K43" i="23"/>
  <c r="R97" i="23"/>
  <c r="V119" i="23"/>
  <c r="R120" i="23"/>
  <c r="D112" i="23"/>
  <c r="M5" i="1"/>
  <c r="O25" i="23"/>
  <c r="N5" i="64"/>
  <c r="K120" i="23"/>
  <c r="K88" i="23"/>
  <c r="V106" i="23"/>
  <c r="V40" i="23"/>
  <c r="N5" i="3"/>
  <c r="R70" i="23"/>
  <c r="R68" i="23"/>
  <c r="Z15" i="19"/>
  <c r="Z16" i="19" s="1"/>
  <c r="Z17" i="19" s="1"/>
  <c r="Z18" i="19" s="1"/>
  <c r="R130" i="23"/>
  <c r="R114" i="23"/>
  <c r="R79" i="23"/>
  <c r="R84" i="23"/>
  <c r="O28" i="23"/>
  <c r="R99" i="23"/>
  <c r="D78" i="23"/>
  <c r="O5" i="65"/>
  <c r="R94" i="23"/>
  <c r="R122" i="23"/>
  <c r="K119" i="23"/>
  <c r="K113" i="23"/>
  <c r="R105" i="23"/>
  <c r="R87" i="23"/>
  <c r="R85" i="23"/>
  <c r="O128" i="23"/>
  <c r="K4" i="54"/>
  <c r="AF6" i="13" s="1"/>
  <c r="K4" i="50"/>
  <c r="AB6" i="13" s="1"/>
  <c r="H4" i="9" s="1"/>
  <c r="K4" i="47"/>
  <c r="Y6" i="13" s="1"/>
  <c r="E4" i="9" s="1"/>
  <c r="K4" i="35"/>
  <c r="M6" i="13" s="1"/>
  <c r="C4" i="5" s="1"/>
  <c r="K4" i="34"/>
  <c r="L6" i="13" s="1"/>
  <c r="B4" i="5" s="1"/>
  <c r="N4" i="5" s="1"/>
  <c r="O102" i="19"/>
  <c r="K77" i="19"/>
  <c r="K85" i="19"/>
  <c r="K125" i="19"/>
  <c r="K117" i="19"/>
  <c r="O40" i="19"/>
  <c r="O48" i="19"/>
  <c r="O168" i="19"/>
  <c r="O176" i="19"/>
  <c r="O249" i="19"/>
  <c r="O257" i="19"/>
  <c r="V161" i="19"/>
  <c r="V153" i="19"/>
  <c r="V183" i="19"/>
  <c r="V191" i="19"/>
  <c r="Y144" i="19"/>
  <c r="Y152" i="19"/>
  <c r="Y150" i="19"/>
  <c r="Y158" i="19"/>
  <c r="Y219" i="19"/>
  <c r="Y211" i="19"/>
  <c r="AC44" i="19"/>
  <c r="AC52" i="19"/>
  <c r="AC57" i="19"/>
  <c r="AC49" i="19"/>
  <c r="AF22" i="62"/>
  <c r="K47" i="54"/>
  <c r="AF47" i="62" s="1"/>
  <c r="AF17" i="62"/>
  <c r="K42" i="54"/>
  <c r="AF42" i="62" s="1"/>
  <c r="AF12" i="62"/>
  <c r="K37" i="54"/>
  <c r="AF37" i="62" s="1"/>
  <c r="K4" i="41"/>
  <c r="S6" i="13" s="1"/>
  <c r="I4" i="5" s="1"/>
  <c r="K4" i="38"/>
  <c r="P6" i="13" s="1"/>
  <c r="F4" i="5" s="1"/>
  <c r="K4" i="32"/>
  <c r="J6" i="13" s="1"/>
  <c r="J4" i="1" s="1"/>
  <c r="K4" i="29"/>
  <c r="G6" i="13" s="1"/>
  <c r="G4" i="1" s="1"/>
  <c r="M4" i="1" s="1"/>
  <c r="L5" i="4"/>
  <c r="N5" i="4" s="1"/>
  <c r="AH25" i="13"/>
  <c r="B23" i="55" s="1"/>
  <c r="AH15" i="13"/>
  <c r="B13" i="55" s="1"/>
  <c r="K26" i="50"/>
  <c r="AB28" i="13" s="1"/>
  <c r="K26" i="33"/>
  <c r="K28" i="13" s="1"/>
  <c r="K16" i="19"/>
  <c r="K24" i="19"/>
  <c r="K169" i="19"/>
  <c r="R76" i="19"/>
  <c r="R68" i="19"/>
  <c r="R137" i="19"/>
  <c r="R129" i="19"/>
  <c r="O55" i="23"/>
  <c r="O83" i="23"/>
  <c r="K4" i="48"/>
  <c r="Z6" i="13" s="1"/>
  <c r="F4" i="9" s="1"/>
  <c r="K4" i="46"/>
  <c r="X6" i="13" s="1"/>
  <c r="D4" i="9" s="1"/>
  <c r="K4" i="45"/>
  <c r="W6" i="13" s="1"/>
  <c r="C4" i="9" s="1"/>
  <c r="O4" i="9" s="1"/>
  <c r="K4" i="39"/>
  <c r="Q6" i="13" s="1"/>
  <c r="G4" i="5" s="1"/>
  <c r="M4" i="5" s="1"/>
  <c r="K4" i="30"/>
  <c r="H6" i="13" s="1"/>
  <c r="H4" i="1" s="1"/>
  <c r="K4" i="27"/>
  <c r="E6" i="13" s="1"/>
  <c r="E4" i="1" s="1"/>
  <c r="K4" i="25"/>
  <c r="C6" i="13" s="1"/>
  <c r="C4" i="1" s="1"/>
  <c r="N4" i="63"/>
  <c r="K5" i="24"/>
  <c r="B7" i="13" s="1"/>
  <c r="B5" i="1" s="1"/>
  <c r="K235" i="19"/>
  <c r="K26" i="48"/>
  <c r="Z28" i="13" s="1"/>
  <c r="K155" i="19"/>
  <c r="K147" i="19"/>
  <c r="K210" i="19"/>
  <c r="O68" i="19"/>
  <c r="O60" i="19"/>
  <c r="O78" i="19"/>
  <c r="O133" i="19"/>
  <c r="O125" i="19"/>
  <c r="O231" i="19"/>
  <c r="O223" i="19"/>
  <c r="AG7" i="15"/>
  <c r="AI7" i="15" s="1"/>
  <c r="G5" i="55" s="1"/>
  <c r="K4" i="37"/>
  <c r="O6" i="13" s="1"/>
  <c r="E4" i="5" s="1"/>
  <c r="K4" i="31"/>
  <c r="I6" i="13" s="1"/>
  <c r="I4" i="1" s="1"/>
  <c r="L4" i="4"/>
  <c r="N4" i="4" s="1"/>
  <c r="K5" i="38"/>
  <c r="P7" i="13" s="1"/>
  <c r="F5" i="5" s="1"/>
  <c r="K142" i="19"/>
  <c r="K150" i="19"/>
  <c r="K216" i="19"/>
  <c r="K92" i="19"/>
  <c r="K111" i="19"/>
  <c r="K136" i="19"/>
  <c r="K223" i="19"/>
  <c r="K241" i="19"/>
  <c r="O73" i="19"/>
  <c r="O224" i="19"/>
  <c r="V111" i="19"/>
  <c r="V178" i="19"/>
  <c r="AC228" i="19"/>
  <c r="R124" i="19"/>
  <c r="R147" i="19"/>
  <c r="R139" i="19"/>
  <c r="R184" i="19"/>
  <c r="R190" i="19"/>
  <c r="V109" i="19"/>
  <c r="V236" i="19"/>
  <c r="AC74" i="19"/>
  <c r="AC66" i="19"/>
  <c r="O83" i="19"/>
  <c r="D26" i="62"/>
  <c r="D24" i="63" s="1"/>
  <c r="K51" i="26"/>
  <c r="D51" i="62" s="1"/>
  <c r="D18" i="62"/>
  <c r="D16" i="63" s="1"/>
  <c r="K43" i="26"/>
  <c r="D43" i="62" s="1"/>
  <c r="D10" i="62"/>
  <c r="D8" i="63" s="1"/>
  <c r="K35" i="26"/>
  <c r="D35" i="62" s="1"/>
  <c r="E24" i="62"/>
  <c r="E22" i="63" s="1"/>
  <c r="K49" i="27"/>
  <c r="E49" i="62" s="1"/>
  <c r="E16" i="62"/>
  <c r="E14" i="63" s="1"/>
  <c r="K41" i="27"/>
  <c r="E41" i="62" s="1"/>
  <c r="E8" i="62"/>
  <c r="E6" i="63" s="1"/>
  <c r="K33" i="27"/>
  <c r="E33" i="62" s="1"/>
  <c r="F27" i="62"/>
  <c r="F25" i="63" s="1"/>
  <c r="K52" i="28"/>
  <c r="F52" i="62" s="1"/>
  <c r="F19" i="62"/>
  <c r="F17" i="63" s="1"/>
  <c r="K44" i="28"/>
  <c r="F44" i="62" s="1"/>
  <c r="F11" i="62"/>
  <c r="F9" i="63" s="1"/>
  <c r="K36" i="28"/>
  <c r="F36" i="62" s="1"/>
  <c r="G24" i="62"/>
  <c r="G22" i="63" s="1"/>
  <c r="K49" i="29"/>
  <c r="G49" i="62" s="1"/>
  <c r="G16" i="62"/>
  <c r="G14" i="63" s="1"/>
  <c r="M14" i="63" s="1"/>
  <c r="K41" i="29"/>
  <c r="G41" i="62" s="1"/>
  <c r="G8" i="62"/>
  <c r="G6" i="63" s="1"/>
  <c r="K33" i="29"/>
  <c r="G33" i="62" s="1"/>
  <c r="H27" i="62"/>
  <c r="H25" i="63" s="1"/>
  <c r="K52" i="30"/>
  <c r="H52" i="62" s="1"/>
  <c r="H19" i="62"/>
  <c r="H17" i="63" s="1"/>
  <c r="K44" i="30"/>
  <c r="H44" i="62" s="1"/>
  <c r="H11" i="62"/>
  <c r="H9" i="63" s="1"/>
  <c r="M9" i="63" s="1"/>
  <c r="K36" i="30"/>
  <c r="H36" i="62" s="1"/>
  <c r="I24" i="62"/>
  <c r="I22" i="63" s="1"/>
  <c r="K49" i="31"/>
  <c r="I49" i="62" s="1"/>
  <c r="I16" i="62"/>
  <c r="I14" i="63" s="1"/>
  <c r="K41" i="31"/>
  <c r="I41" i="62" s="1"/>
  <c r="I8" i="62"/>
  <c r="I6" i="63" s="1"/>
  <c r="K33" i="31"/>
  <c r="I33" i="62" s="1"/>
  <c r="J27" i="62"/>
  <c r="J25" i="63" s="1"/>
  <c r="K52" i="32"/>
  <c r="J52" i="62" s="1"/>
  <c r="L25" i="62"/>
  <c r="B23" i="64" s="1"/>
  <c r="L23" i="64" s="1"/>
  <c r="K50" i="34"/>
  <c r="L50" i="62" s="1"/>
  <c r="L17" i="62"/>
  <c r="B15" i="64" s="1"/>
  <c r="K42" i="34"/>
  <c r="L42" i="62" s="1"/>
  <c r="L9" i="62"/>
  <c r="K34" i="34"/>
  <c r="L34" i="62" s="1"/>
  <c r="N20" i="62"/>
  <c r="D18" i="64" s="1"/>
  <c r="L18" i="64" s="1"/>
  <c r="K45" i="36"/>
  <c r="N45" i="62" s="1"/>
  <c r="N12" i="62"/>
  <c r="D10" i="64" s="1"/>
  <c r="K37" i="36"/>
  <c r="N37" i="62" s="1"/>
  <c r="AE24" i="62"/>
  <c r="K22" i="65" s="1"/>
  <c r="K49" i="53"/>
  <c r="AE49" i="62" s="1"/>
  <c r="AE16" i="62"/>
  <c r="K14" i="65" s="1"/>
  <c r="O14" i="65" s="1"/>
  <c r="K41" i="53"/>
  <c r="AE41" i="62" s="1"/>
  <c r="AE11" i="62"/>
  <c r="K9" i="65" s="1"/>
  <c r="K36" i="53"/>
  <c r="AE36" i="62" s="1"/>
  <c r="D124" i="19"/>
  <c r="H118" i="19"/>
  <c r="K176" i="19"/>
  <c r="O121" i="19"/>
  <c r="K35" i="19"/>
  <c r="K108" i="19"/>
  <c r="K130" i="19"/>
  <c r="K158" i="19"/>
  <c r="K195" i="19"/>
  <c r="K192" i="19"/>
  <c r="K206" i="19"/>
  <c r="K246" i="19"/>
  <c r="O19" i="19"/>
  <c r="O32" i="19"/>
  <c r="O55" i="19"/>
  <c r="O59" i="19"/>
  <c r="O65" i="19"/>
  <c r="O88" i="19"/>
  <c r="O95" i="19"/>
  <c r="O112" i="19"/>
  <c r="O130" i="19"/>
  <c r="O146" i="19"/>
  <c r="O163" i="19"/>
  <c r="O178" i="19"/>
  <c r="O189" i="19"/>
  <c r="O194" i="19"/>
  <c r="O211" i="19"/>
  <c r="O221" i="19"/>
  <c r="O227" i="19"/>
  <c r="O238" i="19"/>
  <c r="O248" i="19"/>
  <c r="H125" i="23"/>
  <c r="H51" i="23"/>
  <c r="AC166" i="19"/>
  <c r="V136" i="19"/>
  <c r="V128" i="19"/>
  <c r="Y71" i="19"/>
  <c r="Y215" i="19"/>
  <c r="AC134" i="19"/>
  <c r="AC126" i="19"/>
  <c r="Y27" i="62"/>
  <c r="E25" i="65" s="1"/>
  <c r="K52" i="47"/>
  <c r="Y52" i="62" s="1"/>
  <c r="Y19" i="62"/>
  <c r="E17" i="65" s="1"/>
  <c r="K44" i="47"/>
  <c r="Y44" i="62" s="1"/>
  <c r="Y11" i="62"/>
  <c r="E9" i="65" s="1"/>
  <c r="O9" i="65" s="1"/>
  <c r="K36" i="47"/>
  <c r="Y36" i="62" s="1"/>
  <c r="O103" i="19"/>
  <c r="K21" i="19"/>
  <c r="K36" i="19"/>
  <c r="K123" i="19"/>
  <c r="K135" i="19"/>
  <c r="K190" i="19"/>
  <c r="K193" i="19"/>
  <c r="K207" i="19"/>
  <c r="K219" i="19"/>
  <c r="K233" i="19"/>
  <c r="K252" i="19"/>
  <c r="K254" i="19"/>
  <c r="O63" i="19"/>
  <c r="O101" i="19"/>
  <c r="O135" i="19"/>
  <c r="O141" i="19"/>
  <c r="O139" i="19"/>
  <c r="O173" i="19"/>
  <c r="O190" i="19"/>
  <c r="O195" i="19"/>
  <c r="O206" i="19"/>
  <c r="O212" i="19"/>
  <c r="O208" i="19"/>
  <c r="O222" i="19"/>
  <c r="O239" i="19"/>
  <c r="H72" i="23"/>
  <c r="AC234" i="19"/>
  <c r="V47" i="19"/>
  <c r="V240" i="19"/>
  <c r="W23" i="62"/>
  <c r="C21" i="65" s="1"/>
  <c r="K48" i="45"/>
  <c r="W48" i="62" s="1"/>
  <c r="W15" i="62"/>
  <c r="C13" i="65" s="1"/>
  <c r="K40" i="45"/>
  <c r="W40" i="62" s="1"/>
  <c r="K53" i="19"/>
  <c r="K124" i="19"/>
  <c r="K129" i="19"/>
  <c r="K178" i="19"/>
  <c r="K191" i="19"/>
  <c r="O46" i="19"/>
  <c r="O61" i="19"/>
  <c r="O136" i="19"/>
  <c r="O148" i="19"/>
  <c r="O154" i="19"/>
  <c r="O161" i="19"/>
  <c r="O180" i="19"/>
  <c r="O183" i="19"/>
  <c r="O193" i="19"/>
  <c r="O207" i="19"/>
  <c r="O217" i="19"/>
  <c r="O232" i="19"/>
  <c r="O245" i="19"/>
  <c r="O250" i="19"/>
  <c r="V52" i="19"/>
  <c r="V148" i="19"/>
  <c r="Y138" i="19"/>
  <c r="Y240" i="19"/>
  <c r="Y232" i="19"/>
  <c r="AC79" i="19"/>
  <c r="AC71" i="19"/>
  <c r="R22" i="19"/>
  <c r="R66" i="19"/>
  <c r="R72" i="19"/>
  <c r="R81" i="19"/>
  <c r="R125" i="19"/>
  <c r="R123" i="19"/>
  <c r="R146" i="19"/>
  <c r="R200" i="19"/>
  <c r="R222" i="19"/>
  <c r="R228" i="19"/>
  <c r="R236" i="19"/>
  <c r="V18" i="19"/>
  <c r="V38" i="19"/>
  <c r="V81" i="19"/>
  <c r="V105" i="19"/>
  <c r="V116" i="19"/>
  <c r="V152" i="19"/>
  <c r="Y91" i="19"/>
  <c r="Y103" i="19"/>
  <c r="Y228" i="19"/>
  <c r="Y239" i="19"/>
  <c r="AC83" i="19"/>
  <c r="M25" i="63"/>
  <c r="M17" i="63"/>
  <c r="J14" i="62"/>
  <c r="J12" i="63" s="1"/>
  <c r="K39" i="32"/>
  <c r="J39" i="62" s="1"/>
  <c r="K20" i="62"/>
  <c r="K18" i="63" s="1"/>
  <c r="K45" i="33"/>
  <c r="K45" i="62" s="1"/>
  <c r="K12" i="62"/>
  <c r="K10" i="63" s="1"/>
  <c r="M10" i="63" s="1"/>
  <c r="K37" i="33"/>
  <c r="K37" i="62" s="1"/>
  <c r="M25" i="62"/>
  <c r="C23" i="64" s="1"/>
  <c r="K50" i="35"/>
  <c r="M50" i="62" s="1"/>
  <c r="M17" i="62"/>
  <c r="C15" i="64" s="1"/>
  <c r="L15" i="64" s="1"/>
  <c r="K42" i="35"/>
  <c r="M42" i="62" s="1"/>
  <c r="M9" i="62"/>
  <c r="C7" i="64" s="1"/>
  <c r="K34" i="35"/>
  <c r="M34" i="62" s="1"/>
  <c r="P23" i="62"/>
  <c r="F21" i="64" s="1"/>
  <c r="K48" i="38"/>
  <c r="P48" i="62" s="1"/>
  <c r="P15" i="62"/>
  <c r="F13" i="64" s="1"/>
  <c r="N13" i="64" s="1"/>
  <c r="K40" i="38"/>
  <c r="P40" i="62" s="1"/>
  <c r="AH40" i="62" s="1"/>
  <c r="M24" i="7"/>
  <c r="M18" i="7"/>
  <c r="M12" i="7"/>
  <c r="S25" i="62"/>
  <c r="I23" i="64" s="1"/>
  <c r="K50" i="41"/>
  <c r="S50" i="62" s="1"/>
  <c r="S17" i="62"/>
  <c r="I15" i="64" s="1"/>
  <c r="M15" i="64" s="1"/>
  <c r="K42" i="41"/>
  <c r="S42" i="62" s="1"/>
  <c r="V24" i="62"/>
  <c r="B22" i="65" s="1"/>
  <c r="K49" i="44"/>
  <c r="V49" i="62" s="1"/>
  <c r="V16" i="62"/>
  <c r="B14" i="65" s="1"/>
  <c r="M14" i="65" s="1"/>
  <c r="K41" i="44"/>
  <c r="V41" i="62" s="1"/>
  <c r="V8" i="62"/>
  <c r="B6" i="65" s="1"/>
  <c r="M6" i="65" s="1"/>
  <c r="K33" i="44"/>
  <c r="V33" i="62" s="1"/>
  <c r="X25" i="62"/>
  <c r="D23" i="65" s="1"/>
  <c r="K50" i="46"/>
  <c r="X50" i="62" s="1"/>
  <c r="X17" i="62"/>
  <c r="D15" i="65" s="1"/>
  <c r="K42" i="46"/>
  <c r="X42" i="62" s="1"/>
  <c r="X9" i="62"/>
  <c r="D7" i="65" s="1"/>
  <c r="O7" i="65" s="1"/>
  <c r="K34" i="46"/>
  <c r="X34" i="62" s="1"/>
  <c r="AA23" i="62"/>
  <c r="G21" i="65" s="1"/>
  <c r="N21" i="65" s="1"/>
  <c r="K48" i="49"/>
  <c r="AA48" i="62" s="1"/>
  <c r="AA15" i="62"/>
  <c r="G13" i="65" s="1"/>
  <c r="N13" i="65" s="1"/>
  <c r="K40" i="49"/>
  <c r="AA40" i="62" s="1"/>
  <c r="AD20" i="62"/>
  <c r="J18" i="65" s="1"/>
  <c r="K45" i="52"/>
  <c r="AD45" i="62" s="1"/>
  <c r="AD12" i="62"/>
  <c r="J10" i="65" s="1"/>
  <c r="K37" i="52"/>
  <c r="AD37" i="62" s="1"/>
  <c r="AF25" i="62"/>
  <c r="K50" i="54"/>
  <c r="AF50" i="62" s="1"/>
  <c r="AF20" i="62"/>
  <c r="K45" i="54"/>
  <c r="AF45" i="62" s="1"/>
  <c r="R82" i="19"/>
  <c r="R88" i="19"/>
  <c r="R118" i="19"/>
  <c r="R143" i="19"/>
  <c r="R154" i="19"/>
  <c r="R246" i="19"/>
  <c r="R254" i="19"/>
  <c r="V37" i="19"/>
  <c r="V43" i="19"/>
  <c r="V56" i="19"/>
  <c r="V76" i="19"/>
  <c r="V88" i="19"/>
  <c r="V94" i="19"/>
  <c r="V142" i="19"/>
  <c r="V174" i="19"/>
  <c r="V215" i="19"/>
  <c r="V221" i="19"/>
  <c r="Y64" i="19"/>
  <c r="Y85" i="19"/>
  <c r="Y153" i="19"/>
  <c r="Y204" i="19"/>
  <c r="AC64" i="19"/>
  <c r="AC213" i="19"/>
  <c r="AC244" i="19"/>
  <c r="C26" i="62"/>
  <c r="C24" i="63" s="1"/>
  <c r="K51" i="25"/>
  <c r="C51" i="62" s="1"/>
  <c r="C18" i="62"/>
  <c r="C16" i="63" s="1"/>
  <c r="K43" i="25"/>
  <c r="C43" i="62" s="1"/>
  <c r="C10" i="62"/>
  <c r="C8" i="63" s="1"/>
  <c r="K35" i="25"/>
  <c r="C35" i="62" s="1"/>
  <c r="O25" i="62"/>
  <c r="E23" i="64" s="1"/>
  <c r="K50" i="37"/>
  <c r="O50" i="62" s="1"/>
  <c r="O17" i="62"/>
  <c r="E15" i="64" s="1"/>
  <c r="K42" i="37"/>
  <c r="O42" i="62" s="1"/>
  <c r="O9" i="62"/>
  <c r="E7" i="64" s="1"/>
  <c r="K34" i="37"/>
  <c r="O34" i="62" s="1"/>
  <c r="M14" i="7"/>
  <c r="Q22" i="62"/>
  <c r="G20" i="64" s="1"/>
  <c r="K47" i="39"/>
  <c r="Q47" i="62" s="1"/>
  <c r="Q14" i="62"/>
  <c r="G12" i="64" s="1"/>
  <c r="M12" i="64" s="1"/>
  <c r="K39" i="39"/>
  <c r="Q39" i="62" s="1"/>
  <c r="R22" i="62"/>
  <c r="H20" i="64" s="1"/>
  <c r="K47" i="40"/>
  <c r="R47" i="62" s="1"/>
  <c r="R14" i="62"/>
  <c r="H12" i="64" s="1"/>
  <c r="K39" i="40"/>
  <c r="R39" i="62" s="1"/>
  <c r="T24" i="62"/>
  <c r="J22" i="64" s="1"/>
  <c r="M22" i="64" s="1"/>
  <c r="K49" i="42"/>
  <c r="T49" i="62" s="1"/>
  <c r="T16" i="62"/>
  <c r="J14" i="64" s="1"/>
  <c r="K41" i="42"/>
  <c r="T41" i="62" s="1"/>
  <c r="T8" i="62"/>
  <c r="J6" i="64" s="1"/>
  <c r="K33" i="42"/>
  <c r="T33" i="62" s="1"/>
  <c r="U24" i="62"/>
  <c r="K22" i="64" s="1"/>
  <c r="K49" i="43"/>
  <c r="U49" i="62" s="1"/>
  <c r="U16" i="62"/>
  <c r="K14" i="64" s="1"/>
  <c r="K41" i="43"/>
  <c r="U41" i="62" s="1"/>
  <c r="U8" i="62"/>
  <c r="K6" i="64" s="1"/>
  <c r="K33" i="43"/>
  <c r="U33" i="62" s="1"/>
  <c r="Z25" i="62"/>
  <c r="F23" i="65" s="1"/>
  <c r="M23" i="65" s="1"/>
  <c r="K50" i="48"/>
  <c r="Z50" i="62" s="1"/>
  <c r="Z17" i="62"/>
  <c r="F15" i="65" s="1"/>
  <c r="K42" i="48"/>
  <c r="Z42" i="62" s="1"/>
  <c r="Z9" i="62"/>
  <c r="F7" i="65" s="1"/>
  <c r="K34" i="48"/>
  <c r="Z34" i="62" s="1"/>
  <c r="N20" i="65"/>
  <c r="N12" i="65"/>
  <c r="AB22" i="62"/>
  <c r="H20" i="65" s="1"/>
  <c r="K47" i="50"/>
  <c r="AB47" i="62" s="1"/>
  <c r="AB14" i="62"/>
  <c r="H12" i="65" s="1"/>
  <c r="K39" i="50"/>
  <c r="AB39" i="62" s="1"/>
  <c r="AC20" i="62"/>
  <c r="I18" i="65" s="1"/>
  <c r="N18" i="65" s="1"/>
  <c r="K45" i="51"/>
  <c r="AC45" i="62" s="1"/>
  <c r="AC12" i="62"/>
  <c r="I10" i="65" s="1"/>
  <c r="K37" i="51"/>
  <c r="AC37" i="62" s="1"/>
  <c r="AE13" i="62"/>
  <c r="K11" i="65" s="1"/>
  <c r="K38" i="53"/>
  <c r="AE38" i="62" s="1"/>
  <c r="AE8" i="62"/>
  <c r="K6" i="65" s="1"/>
  <c r="N6" i="65" s="1"/>
  <c r="K33" i="53"/>
  <c r="AE33" i="62" s="1"/>
  <c r="AF14" i="62"/>
  <c r="K39" i="54"/>
  <c r="AF39" i="62" s="1"/>
  <c r="AF9" i="62"/>
  <c r="K34" i="54"/>
  <c r="AF34" i="62" s="1"/>
  <c r="R25" i="19"/>
  <c r="R44" i="19"/>
  <c r="R134" i="19"/>
  <c r="V113" i="19"/>
  <c r="V163" i="19"/>
  <c r="V168" i="19"/>
  <c r="V208" i="19"/>
  <c r="V256" i="19"/>
  <c r="Y35" i="19"/>
  <c r="Y45" i="19"/>
  <c r="Y55" i="19"/>
  <c r="Y94" i="19"/>
  <c r="Y100" i="19"/>
  <c r="Y164" i="19"/>
  <c r="Y189" i="19"/>
  <c r="Y236" i="19"/>
  <c r="AC34" i="19"/>
  <c r="AC81" i="19"/>
  <c r="J10" i="62"/>
  <c r="J8" i="63" s="1"/>
  <c r="K35" i="32"/>
  <c r="J35" i="62" s="1"/>
  <c r="K24" i="62"/>
  <c r="K22" i="63" s="1"/>
  <c r="K49" i="33"/>
  <c r="K49" i="62" s="1"/>
  <c r="K16" i="62"/>
  <c r="K14" i="63" s="1"/>
  <c r="K41" i="33"/>
  <c r="K41" i="62" s="1"/>
  <c r="K8" i="62"/>
  <c r="K6" i="63" s="1"/>
  <c r="K33" i="33"/>
  <c r="K33" i="62" s="1"/>
  <c r="M21" i="62"/>
  <c r="C19" i="64" s="1"/>
  <c r="K46" i="35"/>
  <c r="M46" i="62" s="1"/>
  <c r="M13" i="62"/>
  <c r="C11" i="64" s="1"/>
  <c r="K38" i="35"/>
  <c r="M38" i="62" s="1"/>
  <c r="P27" i="62"/>
  <c r="F25" i="64" s="1"/>
  <c r="K52" i="38"/>
  <c r="P52" i="62" s="1"/>
  <c r="P19" i="62"/>
  <c r="F17" i="64" s="1"/>
  <c r="N17" i="64" s="1"/>
  <c r="K44" i="38"/>
  <c r="P44" i="62" s="1"/>
  <c r="P11" i="62"/>
  <c r="F9" i="64" s="1"/>
  <c r="K36" i="38"/>
  <c r="P36" i="62" s="1"/>
  <c r="S21" i="62"/>
  <c r="I19" i="64" s="1"/>
  <c r="K46" i="41"/>
  <c r="S46" i="62" s="1"/>
  <c r="S13" i="62"/>
  <c r="I11" i="64" s="1"/>
  <c r="M11" i="64" s="1"/>
  <c r="K38" i="41"/>
  <c r="S38" i="62" s="1"/>
  <c r="V20" i="62"/>
  <c r="B18" i="65" s="1"/>
  <c r="K45" i="44"/>
  <c r="V45" i="62" s="1"/>
  <c r="V12" i="62"/>
  <c r="B10" i="65" s="1"/>
  <c r="K37" i="44"/>
  <c r="V37" i="62" s="1"/>
  <c r="X21" i="62"/>
  <c r="D19" i="65" s="1"/>
  <c r="K46" i="46"/>
  <c r="X46" i="62" s="1"/>
  <c r="X13" i="62"/>
  <c r="D11" i="65" s="1"/>
  <c r="K38" i="46"/>
  <c r="X38" i="62" s="1"/>
  <c r="AA27" i="62"/>
  <c r="G25" i="65" s="1"/>
  <c r="N25" i="65" s="1"/>
  <c r="K52" i="49"/>
  <c r="AA52" i="62" s="1"/>
  <c r="AA19" i="62"/>
  <c r="G17" i="65" s="1"/>
  <c r="N17" i="65" s="1"/>
  <c r="K44" i="49"/>
  <c r="AA44" i="62" s="1"/>
  <c r="AA11" i="62"/>
  <c r="G9" i="65" s="1"/>
  <c r="N9" i="65" s="1"/>
  <c r="K36" i="49"/>
  <c r="AA36" i="62" s="1"/>
  <c r="AD24" i="62"/>
  <c r="J22" i="65" s="1"/>
  <c r="K49" i="52"/>
  <c r="AD49" i="62" s="1"/>
  <c r="AD16" i="62"/>
  <c r="J14" i="65" s="1"/>
  <c r="K41" i="52"/>
  <c r="AD41" i="62" s="1"/>
  <c r="AD8" i="62"/>
  <c r="J6" i="65" s="1"/>
  <c r="K33" i="52"/>
  <c r="AD33" i="62" s="1"/>
  <c r="R26" i="19"/>
  <c r="R42" i="19"/>
  <c r="R73" i="19"/>
  <c r="R95" i="19"/>
  <c r="R156" i="19"/>
  <c r="R153" i="19"/>
  <c r="R167" i="19"/>
  <c r="R180" i="19"/>
  <c r="R193" i="19"/>
  <c r="R226" i="19"/>
  <c r="R232" i="19"/>
  <c r="R229" i="19"/>
  <c r="R245" i="19"/>
  <c r="V28" i="19"/>
  <c r="V120" i="19"/>
  <c r="V133" i="19"/>
  <c r="V173" i="19"/>
  <c r="V193" i="19"/>
  <c r="V201" i="19"/>
  <c r="Y20" i="19"/>
  <c r="Y48" i="19"/>
  <c r="Y63" i="19"/>
  <c r="Y84" i="19"/>
  <c r="Y123" i="19"/>
  <c r="Y170" i="19"/>
  <c r="Y175" i="19"/>
  <c r="Y229" i="19"/>
  <c r="Y243" i="19"/>
  <c r="AC29" i="19"/>
  <c r="AC39" i="19"/>
  <c r="AC76" i="19"/>
  <c r="AC86" i="19"/>
  <c r="AC192" i="19"/>
  <c r="D22" i="62"/>
  <c r="D20" i="63" s="1"/>
  <c r="K47" i="26"/>
  <c r="D47" i="62" s="1"/>
  <c r="D14" i="62"/>
  <c r="D12" i="63" s="1"/>
  <c r="K39" i="26"/>
  <c r="D39" i="62" s="1"/>
  <c r="E20" i="62"/>
  <c r="E18" i="63" s="1"/>
  <c r="K45" i="27"/>
  <c r="E45" i="62" s="1"/>
  <c r="E12" i="62"/>
  <c r="E10" i="63" s="1"/>
  <c r="K37" i="27"/>
  <c r="E37" i="62" s="1"/>
  <c r="F23" i="62"/>
  <c r="F21" i="63" s="1"/>
  <c r="K48" i="28"/>
  <c r="F48" i="62" s="1"/>
  <c r="F15" i="62"/>
  <c r="F13" i="63" s="1"/>
  <c r="K40" i="28"/>
  <c r="F40" i="62" s="1"/>
  <c r="G20" i="62"/>
  <c r="G18" i="63" s="1"/>
  <c r="K45" i="29"/>
  <c r="G45" i="62" s="1"/>
  <c r="G12" i="62"/>
  <c r="G10" i="63" s="1"/>
  <c r="K37" i="29"/>
  <c r="G37" i="62" s="1"/>
  <c r="H23" i="62"/>
  <c r="H21" i="63" s="1"/>
  <c r="K48" i="30"/>
  <c r="H48" i="62" s="1"/>
  <c r="H15" i="62"/>
  <c r="H13" i="63" s="1"/>
  <c r="M13" i="63" s="1"/>
  <c r="K40" i="30"/>
  <c r="H40" i="62" s="1"/>
  <c r="I20" i="62"/>
  <c r="I18" i="63" s="1"/>
  <c r="K45" i="31"/>
  <c r="I45" i="62" s="1"/>
  <c r="I12" i="62"/>
  <c r="I10" i="63" s="1"/>
  <c r="K37" i="31"/>
  <c r="I37" i="62" s="1"/>
  <c r="AH37" i="62" s="1"/>
  <c r="J23" i="62"/>
  <c r="J21" i="63" s="1"/>
  <c r="M21" i="63" s="1"/>
  <c r="K48" i="32"/>
  <c r="J48" i="62" s="1"/>
  <c r="L21" i="62"/>
  <c r="B19" i="64" s="1"/>
  <c r="K46" i="34"/>
  <c r="L46" i="62" s="1"/>
  <c r="L13" i="62"/>
  <c r="B11" i="64" s="1"/>
  <c r="K38" i="34"/>
  <c r="L38" i="62" s="1"/>
  <c r="N24" i="62"/>
  <c r="D22" i="64" s="1"/>
  <c r="L22" i="64" s="1"/>
  <c r="K49" i="36"/>
  <c r="N49" i="62" s="1"/>
  <c r="N16" i="62"/>
  <c r="D14" i="64" s="1"/>
  <c r="L14" i="64" s="1"/>
  <c r="K41" i="36"/>
  <c r="N41" i="62" s="1"/>
  <c r="N8" i="62"/>
  <c r="D6" i="64" s="1"/>
  <c r="K33" i="36"/>
  <c r="N33" i="62" s="1"/>
  <c r="M25" i="6"/>
  <c r="M16" i="7"/>
  <c r="W19" i="62"/>
  <c r="C17" i="65" s="1"/>
  <c r="K44" i="45"/>
  <c r="W44" i="62" s="1"/>
  <c r="W11" i="62"/>
  <c r="C9" i="65" s="1"/>
  <c r="K36" i="45"/>
  <c r="W36" i="62" s="1"/>
  <c r="Y23" i="62"/>
  <c r="E21" i="65" s="1"/>
  <c r="M21" i="65" s="1"/>
  <c r="K48" i="47"/>
  <c r="Y48" i="62" s="1"/>
  <c r="Y15" i="62"/>
  <c r="E13" i="65" s="1"/>
  <c r="K40" i="47"/>
  <c r="Y40" i="62" s="1"/>
  <c r="N11" i="65"/>
  <c r="AE20" i="62"/>
  <c r="K18" i="65" s="1"/>
  <c r="K45" i="53"/>
  <c r="AE45" i="62" s="1"/>
  <c r="R209" i="19"/>
  <c r="V214" i="19"/>
  <c r="V220" i="19"/>
  <c r="V226" i="19"/>
  <c r="V252" i="19"/>
  <c r="Y69" i="19"/>
  <c r="Y87" i="19"/>
  <c r="Y209" i="19"/>
  <c r="Y249" i="19"/>
  <c r="Y255" i="19"/>
  <c r="AC55" i="19"/>
  <c r="AC61" i="19"/>
  <c r="AC59" i="19"/>
  <c r="C22" i="62"/>
  <c r="C20" i="63" s="1"/>
  <c r="K47" i="25"/>
  <c r="C47" i="62" s="1"/>
  <c r="C14" i="62"/>
  <c r="C12" i="63" s="1"/>
  <c r="K39" i="25"/>
  <c r="C39" i="62" s="1"/>
  <c r="J20" i="62"/>
  <c r="J18" i="63" s="1"/>
  <c r="K45" i="32"/>
  <c r="J45" i="62" s="1"/>
  <c r="O21" i="62"/>
  <c r="E19" i="64" s="1"/>
  <c r="K46" i="37"/>
  <c r="O46" i="62" s="1"/>
  <c r="O13" i="62"/>
  <c r="E11" i="64" s="1"/>
  <c r="K38" i="37"/>
  <c r="O38" i="62" s="1"/>
  <c r="Q26" i="62"/>
  <c r="G24" i="64" s="1"/>
  <c r="M24" i="64" s="1"/>
  <c r="K51" i="39"/>
  <c r="Q51" i="62" s="1"/>
  <c r="Q18" i="62"/>
  <c r="G16" i="64" s="1"/>
  <c r="K43" i="39"/>
  <c r="Q43" i="62" s="1"/>
  <c r="Q10" i="62"/>
  <c r="G8" i="64" s="1"/>
  <c r="K35" i="39"/>
  <c r="Q35" i="62" s="1"/>
  <c r="R26" i="62"/>
  <c r="H24" i="64" s="1"/>
  <c r="K51" i="40"/>
  <c r="R51" i="62" s="1"/>
  <c r="R18" i="62"/>
  <c r="H16" i="64" s="1"/>
  <c r="K43" i="40"/>
  <c r="R43" i="62" s="1"/>
  <c r="R10" i="62"/>
  <c r="H8" i="64" s="1"/>
  <c r="K35" i="40"/>
  <c r="R35" i="62" s="1"/>
  <c r="T20" i="62"/>
  <c r="J18" i="64" s="1"/>
  <c r="K45" i="42"/>
  <c r="T45" i="62" s="1"/>
  <c r="T12" i="62"/>
  <c r="J10" i="64" s="1"/>
  <c r="M10" i="64" s="1"/>
  <c r="K37" i="42"/>
  <c r="T37" i="62" s="1"/>
  <c r="U20" i="62"/>
  <c r="K18" i="64" s="1"/>
  <c r="K45" i="43"/>
  <c r="U45" i="62" s="1"/>
  <c r="U12" i="62"/>
  <c r="K10" i="64" s="1"/>
  <c r="N10" i="64" s="1"/>
  <c r="K37" i="43"/>
  <c r="U37" i="62" s="1"/>
  <c r="Z21" i="62"/>
  <c r="F19" i="65" s="1"/>
  <c r="K46" i="48"/>
  <c r="Z46" i="62" s="1"/>
  <c r="Z13" i="62"/>
  <c r="F11" i="65" s="1"/>
  <c r="K38" i="48"/>
  <c r="Z38" i="62" s="1"/>
  <c r="N24" i="65"/>
  <c r="N8" i="65"/>
  <c r="AB26" i="62"/>
  <c r="H24" i="65" s="1"/>
  <c r="K51" i="50"/>
  <c r="AB51" i="62" s="1"/>
  <c r="AB18" i="62"/>
  <c r="H16" i="65" s="1"/>
  <c r="N16" i="65" s="1"/>
  <c r="K43" i="50"/>
  <c r="AB43" i="62" s="1"/>
  <c r="AB10" i="62"/>
  <c r="H8" i="65" s="1"/>
  <c r="K35" i="50"/>
  <c r="AB35" i="62" s="1"/>
  <c r="AC24" i="62"/>
  <c r="I22" i="65" s="1"/>
  <c r="K49" i="51"/>
  <c r="AC49" i="62" s="1"/>
  <c r="AC16" i="62"/>
  <c r="I14" i="65" s="1"/>
  <c r="K41" i="51"/>
  <c r="AC41" i="62" s="1"/>
  <c r="AC8" i="62"/>
  <c r="I6" i="65" s="1"/>
  <c r="K33" i="51"/>
  <c r="AC33" i="62" s="1"/>
  <c r="AH28" i="16"/>
  <c r="AC153" i="19"/>
  <c r="AC195" i="19"/>
  <c r="M15" i="3"/>
  <c r="M7" i="2"/>
  <c r="M23" i="6"/>
  <c r="M17" i="6"/>
  <c r="M11" i="6"/>
  <c r="M8" i="7"/>
  <c r="M18" i="64"/>
  <c r="M6" i="64"/>
  <c r="N18" i="10"/>
  <c r="N15" i="10"/>
  <c r="N12" i="10"/>
  <c r="N7" i="10"/>
  <c r="K24" i="40"/>
  <c r="R26" i="13" s="1"/>
  <c r="K10" i="40"/>
  <c r="R12" i="13" s="1"/>
  <c r="H10" i="5" s="1"/>
  <c r="K9" i="40"/>
  <c r="R11" i="13" s="1"/>
  <c r="H9" i="5" s="1"/>
  <c r="K6" i="40"/>
  <c r="R8" i="13" s="1"/>
  <c r="H6" i="5" s="1"/>
  <c r="AC108" i="19"/>
  <c r="AC130" i="19"/>
  <c r="AC227" i="19"/>
  <c r="AC230" i="19"/>
  <c r="AC247" i="19"/>
  <c r="M17" i="3"/>
  <c r="M11" i="3"/>
  <c r="M9" i="2"/>
  <c r="M19" i="6"/>
  <c r="M13" i="6"/>
  <c r="M10" i="7"/>
  <c r="N25" i="11"/>
  <c r="N17" i="10"/>
  <c r="N14" i="10"/>
  <c r="N11" i="10"/>
  <c r="N9" i="10"/>
  <c r="L10" i="4"/>
  <c r="K14" i="40"/>
  <c r="R16" i="13" s="1"/>
  <c r="AH22" i="16"/>
  <c r="J20" i="55" s="1"/>
  <c r="K15" i="40"/>
  <c r="R17" i="13" s="1"/>
  <c r="H15" i="5" s="1"/>
  <c r="K11" i="40"/>
  <c r="R13" i="13" s="1"/>
  <c r="H11" i="5" s="1"/>
  <c r="K7" i="40"/>
  <c r="R9" i="13" s="1"/>
  <c r="H7" i="5" s="1"/>
  <c r="AC119" i="19"/>
  <c r="AC167" i="19"/>
  <c r="M19" i="3"/>
  <c r="M13" i="3"/>
  <c r="M21" i="6"/>
  <c r="M15" i="6"/>
  <c r="M6" i="7"/>
  <c r="M14" i="64"/>
  <c r="M9" i="64"/>
  <c r="N19" i="10"/>
  <c r="N16" i="10"/>
  <c r="N13" i="10"/>
  <c r="K19" i="40"/>
  <c r="R21" i="13" s="1"/>
  <c r="H19" i="5" s="1"/>
  <c r="AH26" i="16"/>
  <c r="J24" i="55" s="1"/>
  <c r="AI20" i="16"/>
  <c r="K18" i="55" s="1"/>
  <c r="K20" i="40"/>
  <c r="R22" i="13" s="1"/>
  <c r="H20" i="5" s="1"/>
  <c r="D9" i="23"/>
  <c r="D13" i="23"/>
  <c r="AH22" i="13"/>
  <c r="B20" i="55" s="1"/>
  <c r="B20" i="1"/>
  <c r="B12" i="1"/>
  <c r="AH14" i="13"/>
  <c r="B12" i="55" s="1"/>
  <c r="B7" i="1"/>
  <c r="L7" i="1" s="1"/>
  <c r="AH9" i="13"/>
  <c r="B7" i="55" s="1"/>
  <c r="AH20" i="13"/>
  <c r="B18" i="55" s="1"/>
  <c r="B18" i="1"/>
  <c r="AH13" i="13"/>
  <c r="B11" i="55" s="1"/>
  <c r="B11" i="1"/>
  <c r="L11" i="1" s="1"/>
  <c r="AH11" i="13"/>
  <c r="B9" i="55" s="1"/>
  <c r="B9" i="1"/>
  <c r="L9" i="1" s="1"/>
  <c r="B25" i="1"/>
  <c r="AH27" i="13"/>
  <c r="B25" i="55" s="1"/>
  <c r="K4" i="24"/>
  <c r="B6" i="13" s="1"/>
  <c r="B4" i="1" s="1"/>
  <c r="L4" i="1" s="1"/>
  <c r="AD15" i="19"/>
  <c r="AD16" i="19" s="1"/>
  <c r="AD17" i="19" s="1"/>
  <c r="AD18" i="19" s="1"/>
  <c r="AD19" i="19" s="1"/>
  <c r="AD20" i="19" s="1"/>
  <c r="S8" i="23"/>
  <c r="S9" i="23" s="1"/>
  <c r="S10" i="23" s="1"/>
  <c r="S11" i="23" s="1"/>
  <c r="S12" i="23" s="1"/>
  <c r="S13" i="23" s="1"/>
  <c r="N4" i="2"/>
  <c r="D11" i="23"/>
  <c r="D7" i="23"/>
  <c r="E7" i="23" s="1"/>
  <c r="E8" i="23" s="1"/>
  <c r="E9" i="23" s="1"/>
  <c r="E10" i="23" s="1"/>
  <c r="E11" i="23" s="1"/>
  <c r="E12" i="23" s="1"/>
  <c r="E13" i="23" s="1"/>
  <c r="E14" i="23" s="1"/>
  <c r="E15" i="23" s="1"/>
  <c r="E16" i="23" s="1"/>
  <c r="E17" i="23" s="1"/>
  <c r="AH19" i="13"/>
  <c r="B17" i="55" s="1"/>
  <c r="B17" i="1"/>
  <c r="N17" i="1" s="1"/>
  <c r="B8" i="1"/>
  <c r="L8" i="1" s="1"/>
  <c r="AH10" i="13"/>
  <c r="B8" i="55" s="1"/>
  <c r="B19" i="1"/>
  <c r="L19" i="1" s="1"/>
  <c r="AH21" i="13"/>
  <c r="B19" i="55" s="1"/>
  <c r="B21" i="1"/>
  <c r="N21" i="1" s="1"/>
  <c r="AH23" i="13"/>
  <c r="B21" i="55" s="1"/>
  <c r="B15" i="1"/>
  <c r="AH17" i="13"/>
  <c r="B15" i="55" s="1"/>
  <c r="AH32" i="62"/>
  <c r="AG32" i="62"/>
  <c r="B48" i="62"/>
  <c r="B40" i="62"/>
  <c r="L14" i="19"/>
  <c r="L15" i="19" s="1"/>
  <c r="B33" i="62"/>
  <c r="W9" i="23"/>
  <c r="K26" i="24"/>
  <c r="B28" i="13" s="1"/>
  <c r="B52" i="62"/>
  <c r="B44" i="62"/>
  <c r="B36" i="62"/>
  <c r="N22" i="1"/>
  <c r="AH14" i="16"/>
  <c r="J12" i="55" s="1"/>
  <c r="N9" i="1"/>
  <c r="N11" i="1"/>
  <c r="I8" i="23"/>
  <c r="I9" i="23" s="1"/>
  <c r="I10" i="23" s="1"/>
  <c r="I11" i="23" s="1"/>
  <c r="I12" i="23" s="1"/>
  <c r="I13" i="23" s="1"/>
  <c r="I14" i="23" s="1"/>
  <c r="I15" i="23" s="1"/>
  <c r="I16" i="23" s="1"/>
  <c r="I17" i="23" s="1"/>
  <c r="I18" i="23" s="1"/>
  <c r="I19" i="23" s="1"/>
  <c r="I20" i="23" s="1"/>
  <c r="I21" i="23" s="1"/>
  <c r="I22" i="23" s="1"/>
  <c r="I23" i="23" s="1"/>
  <c r="I24" i="23" s="1"/>
  <c r="I25" i="23" s="1"/>
  <c r="I26" i="23" s="1"/>
  <c r="I27" i="23" s="1"/>
  <c r="I28" i="23" s="1"/>
  <c r="I29" i="23" s="1"/>
  <c r="I30" i="23" s="1"/>
  <c r="I31" i="23" s="1"/>
  <c r="I32" i="23" s="1"/>
  <c r="I33" i="23" s="1"/>
  <c r="I34" i="23" s="1"/>
  <c r="I35" i="23" s="1"/>
  <c r="I36" i="23" s="1"/>
  <c r="I37" i="23" s="1"/>
  <c r="I38" i="23" s="1"/>
  <c r="I39" i="23" s="1"/>
  <c r="I40" i="23" s="1"/>
  <c r="I41" i="23" s="1"/>
  <c r="I42" i="23" s="1"/>
  <c r="I43" i="23" s="1"/>
  <c r="I44" i="23" s="1"/>
  <c r="I45" i="23" s="1"/>
  <c r="I46" i="23" s="1"/>
  <c r="I47" i="23" s="1"/>
  <c r="I48" i="23" s="1"/>
  <c r="I49" i="23" s="1"/>
  <c r="I50" i="23" s="1"/>
  <c r="AI6" i="14"/>
  <c r="D4" i="55" s="1"/>
  <c r="Z19" i="19"/>
  <c r="Z20" i="19" s="1"/>
  <c r="Z21" i="19" s="1"/>
  <c r="Z22" i="19" s="1"/>
  <c r="Z23" i="19" s="1"/>
  <c r="Z24" i="19" s="1"/>
  <c r="Z25" i="19" s="1"/>
  <c r="Z26" i="19" s="1"/>
  <c r="Z27" i="19" s="1"/>
  <c r="Z28" i="19" s="1"/>
  <c r="Z29" i="19" s="1"/>
  <c r="Z30" i="19" s="1"/>
  <c r="Z31" i="19" s="1"/>
  <c r="Z32" i="19" s="1"/>
  <c r="Z33" i="19" s="1"/>
  <c r="Z34" i="19" s="1"/>
  <c r="Z35" i="19" s="1"/>
  <c r="Z36" i="19" s="1"/>
  <c r="L8" i="23"/>
  <c r="L9" i="23" s="1"/>
  <c r="L10" i="23" s="1"/>
  <c r="L11" i="23" s="1"/>
  <c r="L12" i="23" s="1"/>
  <c r="L13" i="23" s="1"/>
  <c r="L14" i="23" s="1"/>
  <c r="L15" i="23" s="1"/>
  <c r="L16" i="23" s="1"/>
  <c r="L17" i="23" s="1"/>
  <c r="L18" i="23" s="1"/>
  <c r="L19" i="23" s="1"/>
  <c r="L20" i="23" s="1"/>
  <c r="L21" i="23" s="1"/>
  <c r="L22" i="23" s="1"/>
  <c r="L23" i="23" s="1"/>
  <c r="L24" i="23" s="1"/>
  <c r="L25" i="23" s="1"/>
  <c r="L26" i="23" s="1"/>
  <c r="L27" i="23" s="1"/>
  <c r="L28" i="23" s="1"/>
  <c r="L29" i="23" s="1"/>
  <c r="L30" i="23" s="1"/>
  <c r="L31" i="23" s="1"/>
  <c r="L32" i="23" s="1"/>
  <c r="L33" i="23" s="1"/>
  <c r="L34" i="23" s="1"/>
  <c r="L35" i="23" s="1"/>
  <c r="L36" i="23" s="1"/>
  <c r="L37" i="23" s="1"/>
  <c r="L38" i="23" s="1"/>
  <c r="E12" i="19"/>
  <c r="E13" i="19" s="1"/>
  <c r="E14" i="19" s="1"/>
  <c r="E15" i="19" s="1"/>
  <c r="E16" i="19" s="1"/>
  <c r="E17" i="19" s="1"/>
  <c r="E18" i="19" s="1"/>
  <c r="E19" i="19" s="1"/>
  <c r="P8" i="23"/>
  <c r="P9" i="23" s="1"/>
  <c r="P10" i="23" s="1"/>
  <c r="W10" i="23"/>
  <c r="W11" i="23" s="1"/>
  <c r="W12" i="23" s="1"/>
  <c r="W13" i="23" s="1"/>
  <c r="W14" i="23" s="1"/>
  <c r="W15" i="23" s="1"/>
  <c r="W16" i="23" s="1"/>
  <c r="W17" i="23" s="1"/>
  <c r="W18" i="23" s="1"/>
  <c r="W19" i="23" s="1"/>
  <c r="W20" i="23" s="1"/>
  <c r="W21" i="23" s="1"/>
  <c r="W22" i="23" s="1"/>
  <c r="W23" i="23" s="1"/>
  <c r="W24" i="23" s="1"/>
  <c r="W25" i="23" s="1"/>
  <c r="W26" i="23" s="1"/>
  <c r="W27" i="23" s="1"/>
  <c r="W28" i="23" s="1"/>
  <c r="W29" i="23" s="1"/>
  <c r="W30" i="23" s="1"/>
  <c r="W31" i="23" s="1"/>
  <c r="W32" i="23" s="1"/>
  <c r="W33" i="23" s="1"/>
  <c r="W34" i="23" s="1"/>
  <c r="W35" i="23" s="1"/>
  <c r="W36" i="23" s="1"/>
  <c r="W37" i="23" s="1"/>
  <c r="W38" i="23" s="1"/>
  <c r="W39" i="23" s="1"/>
  <c r="W40" i="23" s="1"/>
  <c r="W41" i="23" s="1"/>
  <c r="W42" i="23" s="1"/>
  <c r="W43" i="23" s="1"/>
  <c r="W44" i="23" s="1"/>
  <c r="W45" i="23" s="1"/>
  <c r="W46" i="23" s="1"/>
  <c r="W47" i="23" s="1"/>
  <c r="W48" i="23" s="1"/>
  <c r="W49" i="23" s="1"/>
  <c r="W50" i="23" s="1"/>
  <c r="W51" i="23" s="1"/>
  <c r="W52" i="23" s="1"/>
  <c r="W53" i="23" s="1"/>
  <c r="W54" i="23" s="1"/>
  <c r="W55" i="23" s="1"/>
  <c r="W56" i="23" s="1"/>
  <c r="W57" i="23" s="1"/>
  <c r="W58" i="23" s="1"/>
  <c r="W59" i="23" s="1"/>
  <c r="W60" i="23" s="1"/>
  <c r="W61" i="23" s="1"/>
  <c r="W62" i="23" s="1"/>
  <c r="W63" i="23" s="1"/>
  <c r="W64" i="23" s="1"/>
  <c r="W65" i="23" s="1"/>
  <c r="W66" i="23" s="1"/>
  <c r="W67" i="23" s="1"/>
  <c r="W68" i="23" s="1"/>
  <c r="W69" i="23" s="1"/>
  <c r="W70" i="23" s="1"/>
  <c r="W71" i="23" s="1"/>
  <c r="W72" i="23" s="1"/>
  <c r="W73" i="23" s="1"/>
  <c r="W74" i="23" s="1"/>
  <c r="W75" i="23" s="1"/>
  <c r="W76" i="23" s="1"/>
  <c r="W77" i="23" s="1"/>
  <c r="W78" i="23" s="1"/>
  <c r="W79" i="23" s="1"/>
  <c r="W80" i="23" s="1"/>
  <c r="W81" i="23" s="1"/>
  <c r="W82" i="23" s="1"/>
  <c r="W83" i="23" s="1"/>
  <c r="W84" i="23" s="1"/>
  <c r="W85" i="23" s="1"/>
  <c r="W86" i="23" s="1"/>
  <c r="W87" i="23" s="1"/>
  <c r="W88" i="23" s="1"/>
  <c r="W89" i="23" s="1"/>
  <c r="W90" i="23" s="1"/>
  <c r="W91" i="23" s="1"/>
  <c r="W92" i="23" s="1"/>
  <c r="W93" i="23" s="1"/>
  <c r="W94" i="23" s="1"/>
  <c r="W95" i="23" s="1"/>
  <c r="W96" i="23" s="1"/>
  <c r="W97" i="23" s="1"/>
  <c r="W98" i="23" s="1"/>
  <c r="W99" i="23" s="1"/>
  <c r="W100" i="23" s="1"/>
  <c r="W101" i="23" s="1"/>
  <c r="W102" i="23" s="1"/>
  <c r="W103" i="23" s="1"/>
  <c r="W104" i="23" s="1"/>
  <c r="W105" i="23" s="1"/>
  <c r="W106" i="23" s="1"/>
  <c r="W107" i="23" s="1"/>
  <c r="W108" i="23" s="1"/>
  <c r="W109" i="23" s="1"/>
  <c r="W110" i="23" s="1"/>
  <c r="W111" i="23" s="1"/>
  <c r="W112" i="23" s="1"/>
  <c r="W113" i="23" s="1"/>
  <c r="W114" i="23" s="1"/>
  <c r="W115" i="23" s="1"/>
  <c r="W116" i="23" s="1"/>
  <c r="W117" i="23" s="1"/>
  <c r="W118" i="23" s="1"/>
  <c r="L15" i="1"/>
  <c r="N15" i="1"/>
  <c r="N10" i="1"/>
  <c r="L10" i="1"/>
  <c r="N8" i="1"/>
  <c r="AH53" i="62"/>
  <c r="L24" i="1"/>
  <c r="B13" i="1"/>
  <c r="N13" i="1" s="1"/>
  <c r="AH7" i="62"/>
  <c r="M5" i="55" s="1"/>
  <c r="L4" i="63"/>
  <c r="B5" i="63"/>
  <c r="N5" i="63" s="1"/>
  <c r="AJ7" i="16"/>
  <c r="L5" i="55" s="1"/>
  <c r="D20" i="19"/>
  <c r="E20" i="19" s="1"/>
  <c r="E21" i="19" s="1"/>
  <c r="E22" i="19" s="1"/>
  <c r="E23" i="19" s="1"/>
  <c r="E24" i="19" s="1"/>
  <c r="E25" i="19" s="1"/>
  <c r="E26" i="19" s="1"/>
  <c r="E27" i="19" s="1"/>
  <c r="E28" i="19" s="1"/>
  <c r="E29" i="19" s="1"/>
  <c r="E30" i="19" s="1"/>
  <c r="E31" i="19" s="1"/>
  <c r="E32" i="19" s="1"/>
  <c r="E33" i="19" s="1"/>
  <c r="E34" i="19" s="1"/>
  <c r="E35" i="19" s="1"/>
  <c r="E36" i="19" s="1"/>
  <c r="E37" i="19" s="1"/>
  <c r="E38" i="19" s="1"/>
  <c r="E39" i="19" s="1"/>
  <c r="E40" i="19" s="1"/>
  <c r="E41" i="19" s="1"/>
  <c r="E42" i="19" s="1"/>
  <c r="E43" i="19" s="1"/>
  <c r="E44" i="19" s="1"/>
  <c r="E45" i="19" s="1"/>
  <c r="E46" i="19" s="1"/>
  <c r="E47" i="19" s="1"/>
  <c r="E48" i="19" s="1"/>
  <c r="E49" i="19" s="1"/>
  <c r="E50" i="19" s="1"/>
  <c r="E51" i="19" s="1"/>
  <c r="E52" i="19" s="1"/>
  <c r="E53" i="19" s="1"/>
  <c r="E54" i="19" s="1"/>
  <c r="E55" i="19" s="1"/>
  <c r="E56" i="19" s="1"/>
  <c r="E57" i="19" s="1"/>
  <c r="E58" i="19" s="1"/>
  <c r="E59" i="19" s="1"/>
  <c r="E60" i="19" s="1"/>
  <c r="E61" i="19" s="1"/>
  <c r="E62" i="19" s="1"/>
  <c r="E63" i="19" s="1"/>
  <c r="E64" i="19" s="1"/>
  <c r="E65" i="19" s="1"/>
  <c r="E66" i="19" s="1"/>
  <c r="R17" i="19"/>
  <c r="AI28" i="16"/>
  <c r="AJ28" i="16" s="1"/>
  <c r="AH8" i="16"/>
  <c r="J6" i="55" s="1"/>
  <c r="L17" i="1"/>
  <c r="B6" i="1"/>
  <c r="AH12" i="13"/>
  <c r="B10" i="55" s="1"/>
  <c r="B23" i="1"/>
  <c r="N7" i="1"/>
  <c r="N14" i="1"/>
  <c r="AJ22" i="16"/>
  <c r="L20" i="55" s="1"/>
  <c r="AJ26" i="16"/>
  <c r="L24" i="55" s="1"/>
  <c r="AH6" i="62"/>
  <c r="M4" i="55" s="1"/>
  <c r="N4" i="3"/>
  <c r="W16" i="19"/>
  <c r="W17" i="19" s="1"/>
  <c r="L5" i="63"/>
  <c r="I14" i="19"/>
  <c r="I15" i="19" s="1"/>
  <c r="I16" i="19" s="1"/>
  <c r="I17" i="19" s="1"/>
  <c r="I18" i="19" s="1"/>
  <c r="I19" i="19" s="1"/>
  <c r="I20" i="19" s="1"/>
  <c r="I21" i="19" s="1"/>
  <c r="I22" i="19" s="1"/>
  <c r="I23" i="19" s="1"/>
  <c r="I24" i="19" s="1"/>
  <c r="I25" i="19" s="1"/>
  <c r="I26" i="19" s="1"/>
  <c r="I27" i="19" s="1"/>
  <c r="I28" i="19" s="1"/>
  <c r="I29" i="19" s="1"/>
  <c r="I30" i="19" s="1"/>
  <c r="I31" i="19" s="1"/>
  <c r="I32" i="19" s="1"/>
  <c r="I33" i="19" s="1"/>
  <c r="I34" i="19" s="1"/>
  <c r="I35" i="19" s="1"/>
  <c r="I36" i="19" s="1"/>
  <c r="I37" i="19" s="1"/>
  <c r="I38" i="19" s="1"/>
  <c r="I39" i="19" s="1"/>
  <c r="I40" i="19" s="1"/>
  <c r="I41" i="19" s="1"/>
  <c r="I42" i="19" s="1"/>
  <c r="I43" i="19" s="1"/>
  <c r="I44" i="19" s="1"/>
  <c r="I45" i="19" s="1"/>
  <c r="I46" i="19" s="1"/>
  <c r="I47" i="19" s="1"/>
  <c r="I48" i="19" s="1"/>
  <c r="I49" i="19" s="1"/>
  <c r="I50" i="19" s="1"/>
  <c r="I51" i="19" s="1"/>
  <c r="I52" i="19" s="1"/>
  <c r="I53" i="19" s="1"/>
  <c r="I54" i="19" s="1"/>
  <c r="I55" i="19" s="1"/>
  <c r="I56" i="19" s="1"/>
  <c r="I57" i="19" s="1"/>
  <c r="I58" i="19" s="1"/>
  <c r="I59" i="19" s="1"/>
  <c r="I60" i="19" s="1"/>
  <c r="I61" i="19" s="1"/>
  <c r="I62" i="19" s="1"/>
  <c r="I63" i="19" s="1"/>
  <c r="I64" i="19" s="1"/>
  <c r="I65" i="19" s="1"/>
  <c r="I66" i="19" s="1"/>
  <c r="I67" i="19" s="1"/>
  <c r="I68" i="19" s="1"/>
  <c r="I69" i="19" s="1"/>
  <c r="I70" i="19" s="1"/>
  <c r="I71" i="19" s="1"/>
  <c r="I72" i="19" s="1"/>
  <c r="I73" i="19" s="1"/>
  <c r="I74" i="19" s="1"/>
  <c r="I75" i="19" s="1"/>
  <c r="I76" i="19" s="1"/>
  <c r="I77" i="19" s="1"/>
  <c r="I78" i="19" s="1"/>
  <c r="I79" i="19" s="1"/>
  <c r="I80" i="19" s="1"/>
  <c r="I81" i="19" s="1"/>
  <c r="I82" i="19" s="1"/>
  <c r="I83" i="19" s="1"/>
  <c r="I84" i="19" s="1"/>
  <c r="I85" i="19" s="1"/>
  <c r="I86" i="19" s="1"/>
  <c r="I87" i="19" s="1"/>
  <c r="I88" i="19" s="1"/>
  <c r="I89" i="19" s="1"/>
  <c r="I90" i="19" s="1"/>
  <c r="I91" i="19" s="1"/>
  <c r="I92" i="19" s="1"/>
  <c r="I93" i="19" s="1"/>
  <c r="I94" i="19" s="1"/>
  <c r="I95" i="19" s="1"/>
  <c r="I96" i="19" s="1"/>
  <c r="I97" i="19" s="1"/>
  <c r="I98" i="19" s="1"/>
  <c r="I99" i="19" s="1"/>
  <c r="I100" i="19" s="1"/>
  <c r="I101" i="19" s="1"/>
  <c r="I102" i="19" s="1"/>
  <c r="I103" i="19" s="1"/>
  <c r="I104" i="19" s="1"/>
  <c r="I105" i="19" s="1"/>
  <c r="I106" i="19" s="1"/>
  <c r="I107" i="19" s="1"/>
  <c r="I108" i="19" s="1"/>
  <c r="I109" i="19" s="1"/>
  <c r="I110" i="19" s="1"/>
  <c r="I111" i="19" s="1"/>
  <c r="I112" i="19" s="1"/>
  <c r="I113" i="19" s="1"/>
  <c r="I114" i="19" s="1"/>
  <c r="I115" i="19" s="1"/>
  <c r="I116" i="19" s="1"/>
  <c r="I117" i="19" s="1"/>
  <c r="I118" i="19" s="1"/>
  <c r="I119" i="19" s="1"/>
  <c r="I120" i="19" s="1"/>
  <c r="I121" i="19" s="1"/>
  <c r="I122" i="19" s="1"/>
  <c r="I123" i="19" s="1"/>
  <c r="I124" i="19" s="1"/>
  <c r="I125" i="19" s="1"/>
  <c r="I126" i="19" s="1"/>
  <c r="I127" i="19" s="1"/>
  <c r="I128" i="19" s="1"/>
  <c r="I129" i="19" s="1"/>
  <c r="I130" i="19" s="1"/>
  <c r="I131" i="19" s="1"/>
  <c r="I132" i="19" s="1"/>
  <c r="I133" i="19" s="1"/>
  <c r="I134" i="19" s="1"/>
  <c r="I135" i="19" s="1"/>
  <c r="I136" i="19" s="1"/>
  <c r="I137" i="19" s="1"/>
  <c r="I138" i="19" s="1"/>
  <c r="I139" i="19" s="1"/>
  <c r="I140" i="19" s="1"/>
  <c r="I141" i="19" s="1"/>
  <c r="I142" i="19" s="1"/>
  <c r="I143" i="19" s="1"/>
  <c r="I144" i="19" s="1"/>
  <c r="I145" i="19" s="1"/>
  <c r="I146" i="19" s="1"/>
  <c r="I147" i="19" s="1"/>
  <c r="I148" i="19" s="1"/>
  <c r="I149" i="19" s="1"/>
  <c r="I150" i="19" s="1"/>
  <c r="I151" i="19" s="1"/>
  <c r="I152" i="19" s="1"/>
  <c r="I153" i="19" s="1"/>
  <c r="I154" i="19" s="1"/>
  <c r="I155" i="19" s="1"/>
  <c r="I156" i="19" s="1"/>
  <c r="I157" i="19" s="1"/>
  <c r="I158" i="19" s="1"/>
  <c r="I159" i="19" s="1"/>
  <c r="I160" i="19" s="1"/>
  <c r="I161" i="19" s="1"/>
  <c r="I162" i="19" s="1"/>
  <c r="I163" i="19" s="1"/>
  <c r="I164" i="19" s="1"/>
  <c r="I165" i="19" s="1"/>
  <c r="I166" i="19" s="1"/>
  <c r="I167" i="19" s="1"/>
  <c r="I168" i="19" s="1"/>
  <c r="I169" i="19" s="1"/>
  <c r="I170" i="19" s="1"/>
  <c r="I171" i="19" s="1"/>
  <c r="I172" i="19" s="1"/>
  <c r="I173" i="19" s="1"/>
  <c r="I174" i="19" s="1"/>
  <c r="I175" i="19" s="1"/>
  <c r="I176" i="19" s="1"/>
  <c r="I177" i="19" s="1"/>
  <c r="I178" i="19" s="1"/>
  <c r="I179" i="19" s="1"/>
  <c r="I180" i="19" s="1"/>
  <c r="I181" i="19" s="1"/>
  <c r="I182" i="19" s="1"/>
  <c r="I183" i="19" s="1"/>
  <c r="I184" i="19" s="1"/>
  <c r="I185" i="19" s="1"/>
  <c r="I186" i="19" s="1"/>
  <c r="I187" i="19" s="1"/>
  <c r="I188" i="19" s="1"/>
  <c r="I189" i="19" s="1"/>
  <c r="I190" i="19" s="1"/>
  <c r="I191" i="19" s="1"/>
  <c r="I192" i="19" s="1"/>
  <c r="I193" i="19" s="1"/>
  <c r="I194" i="19" s="1"/>
  <c r="I195" i="19" s="1"/>
  <c r="I196" i="19" s="1"/>
  <c r="I197" i="19" s="1"/>
  <c r="I198" i="19" s="1"/>
  <c r="I199" i="19" s="1"/>
  <c r="I200" i="19" s="1"/>
  <c r="I201" i="19" s="1"/>
  <c r="I202" i="19" s="1"/>
  <c r="I203" i="19" s="1"/>
  <c r="I204" i="19" s="1"/>
  <c r="I205" i="19" s="1"/>
  <c r="I206" i="19" s="1"/>
  <c r="I207" i="19" s="1"/>
  <c r="I208" i="19" s="1"/>
  <c r="I209" i="19" s="1"/>
  <c r="I210" i="19" s="1"/>
  <c r="I211" i="19" s="1"/>
  <c r="I212" i="19" s="1"/>
  <c r="I213" i="19" s="1"/>
  <c r="I214" i="19" s="1"/>
  <c r="I215" i="19" s="1"/>
  <c r="I216" i="19" s="1"/>
  <c r="I217" i="19" s="1"/>
  <c r="I218" i="19" s="1"/>
  <c r="I219" i="19" s="1"/>
  <c r="I220" i="19" s="1"/>
  <c r="I221" i="19" s="1"/>
  <c r="I222" i="19" s="1"/>
  <c r="I223" i="19" s="1"/>
  <c r="I224" i="19" s="1"/>
  <c r="I225" i="19" s="1"/>
  <c r="I226" i="19" s="1"/>
  <c r="I227" i="19" s="1"/>
  <c r="I228" i="19" s="1"/>
  <c r="I229" i="19" s="1"/>
  <c r="I230" i="19" s="1"/>
  <c r="I231" i="19" s="1"/>
  <c r="I232" i="19" s="1"/>
  <c r="I233" i="19" s="1"/>
  <c r="I234" i="19" s="1"/>
  <c r="I235" i="19" s="1"/>
  <c r="I236" i="19" s="1"/>
  <c r="I237" i="19" s="1"/>
  <c r="I238" i="19" s="1"/>
  <c r="I239" i="19" s="1"/>
  <c r="I240" i="19" s="1"/>
  <c r="I241" i="19" s="1"/>
  <c r="I242" i="19" s="1"/>
  <c r="I243" i="19" s="1"/>
  <c r="I244" i="19" s="1"/>
  <c r="I245" i="19" s="1"/>
  <c r="I246" i="19" s="1"/>
  <c r="I247" i="19" s="1"/>
  <c r="I248" i="19" s="1"/>
  <c r="I249" i="19" s="1"/>
  <c r="I250" i="19" s="1"/>
  <c r="I251" i="19" s="1"/>
  <c r="I252" i="19" s="1"/>
  <c r="I253" i="19" s="1"/>
  <c r="I254" i="19" s="1"/>
  <c r="I255" i="19" s="1"/>
  <c r="I256" i="19" s="1"/>
  <c r="I257" i="19" s="1"/>
  <c r="I258" i="19" s="1"/>
  <c r="AH7" i="15"/>
  <c r="H5" i="55" s="1"/>
  <c r="O23" i="19"/>
  <c r="O25" i="19"/>
  <c r="R19" i="19"/>
  <c r="AH10" i="16"/>
  <c r="J8" i="55" s="1"/>
  <c r="S12" i="19"/>
  <c r="N5" i="2"/>
  <c r="AG6" i="62"/>
  <c r="AI6" i="62" s="1"/>
  <c r="R14" i="23"/>
  <c r="O11" i="23"/>
  <c r="AG28" i="15"/>
  <c r="AI28" i="15" s="1"/>
  <c r="AH11" i="16"/>
  <c r="J9" i="55" s="1"/>
  <c r="N16" i="1"/>
  <c r="F4" i="1"/>
  <c r="AH6" i="13"/>
  <c r="B4" i="55" s="1"/>
  <c r="D5" i="1"/>
  <c r="N19" i="1"/>
  <c r="M4" i="9"/>
  <c r="N4" i="9"/>
  <c r="AH31" i="62"/>
  <c r="AG31" i="62"/>
  <c r="N5" i="5"/>
  <c r="L5" i="5"/>
  <c r="K117" i="23"/>
  <c r="K101" i="23"/>
  <c r="K97" i="23"/>
  <c r="K93" i="23"/>
  <c r="K89" i="23"/>
  <c r="K39" i="23"/>
  <c r="L39" i="23" s="1"/>
  <c r="L40" i="23" s="1"/>
  <c r="L41" i="23" s="1"/>
  <c r="L42" i="23" s="1"/>
  <c r="L43" i="23" s="1"/>
  <c r="L44" i="23" s="1"/>
  <c r="L45" i="23" s="1"/>
  <c r="L46" i="23" s="1"/>
  <c r="L47" i="23" s="1"/>
  <c r="L48" i="23" s="1"/>
  <c r="L49" i="23" s="1"/>
  <c r="L50" i="23" s="1"/>
  <c r="L51" i="23" s="1"/>
  <c r="L52" i="23" s="1"/>
  <c r="L53" i="23" s="1"/>
  <c r="L54" i="23" s="1"/>
  <c r="L55" i="23" s="1"/>
  <c r="L56" i="23" s="1"/>
  <c r="L57" i="23" s="1"/>
  <c r="L58" i="23" s="1"/>
  <c r="L59" i="23" s="1"/>
  <c r="L60" i="23" s="1"/>
  <c r="L61" i="23" s="1"/>
  <c r="L62" i="23" s="1"/>
  <c r="L63" i="23" s="1"/>
  <c r="L64" i="23" s="1"/>
  <c r="L65" i="23" s="1"/>
  <c r="L66" i="23" s="1"/>
  <c r="L67" i="23" s="1"/>
  <c r="L68" i="23" s="1"/>
  <c r="L69" i="23" s="1"/>
  <c r="L70" i="23" s="1"/>
  <c r="L71" i="23" s="1"/>
  <c r="L72" i="23" s="1"/>
  <c r="L73" i="23" s="1"/>
  <c r="L74" i="23" s="1"/>
  <c r="L75" i="23" s="1"/>
  <c r="L76" i="23" s="1"/>
  <c r="L77" i="23" s="1"/>
  <c r="L78" i="23" s="1"/>
  <c r="L79" i="23" s="1"/>
  <c r="L80" i="23" s="1"/>
  <c r="L81" i="23" s="1"/>
  <c r="L82" i="23" s="1"/>
  <c r="L83" i="23" s="1"/>
  <c r="L84" i="23" s="1"/>
  <c r="L85" i="23" s="1"/>
  <c r="L86" i="23" s="1"/>
  <c r="L87" i="23" s="1"/>
  <c r="L88" i="23" s="1"/>
  <c r="M5" i="10"/>
  <c r="N5" i="11"/>
  <c r="L4" i="64"/>
  <c r="K127" i="23"/>
  <c r="K123" i="23"/>
  <c r="K115" i="23"/>
  <c r="K107" i="23"/>
  <c r="K103" i="23"/>
  <c r="K95" i="23"/>
  <c r="M5" i="9"/>
  <c r="R108" i="23"/>
  <c r="R107" i="23"/>
  <c r="D67" i="19"/>
  <c r="K56" i="19"/>
  <c r="K54" i="19"/>
  <c r="K62" i="19"/>
  <c r="K74" i="19"/>
  <c r="K82" i="19"/>
  <c r="C24" i="3"/>
  <c r="AH26" i="14"/>
  <c r="E24" i="55" s="1"/>
  <c r="AG26" i="14"/>
  <c r="M24" i="10"/>
  <c r="O24" i="10"/>
  <c r="N24" i="10"/>
  <c r="N22" i="10"/>
  <c r="K26" i="41"/>
  <c r="S28" i="13" s="1"/>
  <c r="K52" i="19"/>
  <c r="K60" i="19"/>
  <c r="K65" i="19"/>
  <c r="K73" i="19"/>
  <c r="K80" i="19"/>
  <c r="K72" i="19"/>
  <c r="K102" i="19"/>
  <c r="K94" i="19"/>
  <c r="O25" i="10"/>
  <c r="M25" i="10"/>
  <c r="R81" i="23"/>
  <c r="K39" i="19"/>
  <c r="K47" i="19"/>
  <c r="K50" i="19"/>
  <c r="K100" i="19"/>
  <c r="C23" i="3"/>
  <c r="AH25" i="14"/>
  <c r="E23" i="55" s="1"/>
  <c r="M24" i="3"/>
  <c r="N23" i="10"/>
  <c r="K45" i="19"/>
  <c r="K37" i="19"/>
  <c r="K59" i="19"/>
  <c r="K67" i="19"/>
  <c r="K105" i="19"/>
  <c r="K113" i="19"/>
  <c r="K118" i="19"/>
  <c r="K110" i="19"/>
  <c r="K101" i="19"/>
  <c r="K128" i="19"/>
  <c r="K199" i="19"/>
  <c r="K205" i="19"/>
  <c r="K245" i="19"/>
  <c r="O99" i="19"/>
  <c r="O199" i="19"/>
  <c r="K151" i="19"/>
  <c r="K187" i="19"/>
  <c r="K222" i="19"/>
  <c r="O38" i="19"/>
  <c r="O54" i="19"/>
  <c r="R13" i="19"/>
  <c r="S13" i="19" s="1"/>
  <c r="S14" i="19" s="1"/>
  <c r="S15" i="19" s="1"/>
  <c r="S16" i="19" s="1"/>
  <c r="S17" i="19" s="1"/>
  <c r="S18" i="19" s="1"/>
  <c r="R57" i="19"/>
  <c r="R89" i="19"/>
  <c r="R94" i="19"/>
  <c r="R130" i="19"/>
  <c r="R179" i="19"/>
  <c r="R214" i="19"/>
  <c r="V23" i="19"/>
  <c r="V46" i="19"/>
  <c r="V134" i="19"/>
  <c r="V155" i="19"/>
  <c r="Y37" i="19"/>
  <c r="Z37" i="19" s="1"/>
  <c r="Z38" i="19" s="1"/>
  <c r="Z39" i="19" s="1"/>
  <c r="Z40" i="19" s="1"/>
  <c r="Z41" i="19" s="1"/>
  <c r="Z42" i="19" s="1"/>
  <c r="Z43" i="19" s="1"/>
  <c r="Z44" i="19" s="1"/>
  <c r="Z45" i="19" s="1"/>
  <c r="Z46" i="19" s="1"/>
  <c r="Z47" i="19" s="1"/>
  <c r="Z48" i="19" s="1"/>
  <c r="Z49" i="19" s="1"/>
  <c r="Z50" i="19" s="1"/>
  <c r="Z51" i="19" s="1"/>
  <c r="Z52" i="19" s="1"/>
  <c r="Z53" i="19" s="1"/>
  <c r="Z54" i="19" s="1"/>
  <c r="Z55" i="19" s="1"/>
  <c r="Y56" i="19"/>
  <c r="Y154" i="19"/>
  <c r="AC21" i="19"/>
  <c r="AD21" i="19" s="1"/>
  <c r="AD22" i="19" s="1"/>
  <c r="AD23" i="19" s="1"/>
  <c r="AD24" i="19" s="1"/>
  <c r="AD25" i="19" s="1"/>
  <c r="AD26" i="19" s="1"/>
  <c r="AD27" i="19" s="1"/>
  <c r="AD28" i="19" s="1"/>
  <c r="AD29" i="19" s="1"/>
  <c r="AD30" i="19" s="1"/>
  <c r="AD31" i="19" s="1"/>
  <c r="AD32" i="19" s="1"/>
  <c r="AD33" i="19" s="1"/>
  <c r="AD34" i="19" s="1"/>
  <c r="AD35" i="19" s="1"/>
  <c r="AD36" i="19" s="1"/>
  <c r="AD37" i="19" s="1"/>
  <c r="AD38" i="19" s="1"/>
  <c r="AD39" i="19" s="1"/>
  <c r="AD40" i="19" s="1"/>
  <c r="AD41" i="19" s="1"/>
  <c r="AC56" i="19"/>
  <c r="AC68" i="19"/>
  <c r="AC100" i="19"/>
  <c r="AC122" i="19"/>
  <c r="AC137" i="19"/>
  <c r="AC201" i="19"/>
  <c r="R36" i="19"/>
  <c r="R172" i="19"/>
  <c r="Y79" i="19"/>
  <c r="B21" i="2"/>
  <c r="AH23" i="15"/>
  <c r="H21" i="55" s="1"/>
  <c r="AG23" i="15"/>
  <c r="B17" i="2"/>
  <c r="AH19" i="15"/>
  <c r="H17" i="55" s="1"/>
  <c r="AG19" i="15"/>
  <c r="B13" i="2"/>
  <c r="AH15" i="15"/>
  <c r="H13" i="55" s="1"/>
  <c r="AG15" i="15"/>
  <c r="B7" i="2"/>
  <c r="AG9" i="15"/>
  <c r="AH9" i="15"/>
  <c r="H7" i="55" s="1"/>
  <c r="B50" i="62"/>
  <c r="B22" i="63"/>
  <c r="AG24" i="62"/>
  <c r="AI24" i="62" s="1"/>
  <c r="B46" i="62"/>
  <c r="B18" i="63"/>
  <c r="AG20" i="62"/>
  <c r="AI20" i="62" s="1"/>
  <c r="B42" i="62"/>
  <c r="B14" i="63"/>
  <c r="AG16" i="62"/>
  <c r="AI16" i="62" s="1"/>
  <c r="AH16" i="62"/>
  <c r="M14" i="55" s="1"/>
  <c r="B38" i="62"/>
  <c r="B10" i="63"/>
  <c r="AG12" i="62"/>
  <c r="AI12" i="62" s="1"/>
  <c r="B34" i="62"/>
  <c r="B6" i="63"/>
  <c r="AG8" i="62"/>
  <c r="AI8" i="62" s="1"/>
  <c r="C19" i="3"/>
  <c r="AH21" i="14"/>
  <c r="E19" i="55" s="1"/>
  <c r="C17" i="3"/>
  <c r="N17" i="3" s="1"/>
  <c r="AG19" i="14"/>
  <c r="AH19" i="14"/>
  <c r="E17" i="55" s="1"/>
  <c r="C13" i="3"/>
  <c r="AH15" i="14"/>
  <c r="E13" i="55" s="1"/>
  <c r="AG15" i="14"/>
  <c r="C11" i="3"/>
  <c r="AH13" i="14"/>
  <c r="E11" i="55" s="1"/>
  <c r="K49" i="25"/>
  <c r="C49" i="62" s="1"/>
  <c r="K45" i="25"/>
  <c r="C45" i="62" s="1"/>
  <c r="K41" i="25"/>
  <c r="C41" i="62" s="1"/>
  <c r="K37" i="25"/>
  <c r="C37" i="62" s="1"/>
  <c r="K33" i="25"/>
  <c r="C33" i="62" s="1"/>
  <c r="K52" i="26"/>
  <c r="D52" i="62" s="1"/>
  <c r="K48" i="26"/>
  <c r="D48" i="62" s="1"/>
  <c r="K44" i="26"/>
  <c r="D44" i="62" s="1"/>
  <c r="K40" i="26"/>
  <c r="D40" i="62" s="1"/>
  <c r="K36" i="26"/>
  <c r="D36" i="62" s="1"/>
  <c r="K50" i="27"/>
  <c r="E50" i="62" s="1"/>
  <c r="K46" i="27"/>
  <c r="E46" i="62" s="1"/>
  <c r="K42" i="27"/>
  <c r="E42" i="62" s="1"/>
  <c r="K38" i="27"/>
  <c r="E38" i="62" s="1"/>
  <c r="K34" i="27"/>
  <c r="E34" i="62" s="1"/>
  <c r="K49" i="28"/>
  <c r="F49" i="62" s="1"/>
  <c r="K45" i="28"/>
  <c r="F45" i="62" s="1"/>
  <c r="K41" i="28"/>
  <c r="F41" i="62" s="1"/>
  <c r="K37" i="28"/>
  <c r="F37" i="62" s="1"/>
  <c r="K33" i="28"/>
  <c r="F33" i="62" s="1"/>
  <c r="M25" i="2"/>
  <c r="M22" i="3"/>
  <c r="M20" i="3"/>
  <c r="M18" i="3"/>
  <c r="M16" i="3"/>
  <c r="M14" i="3"/>
  <c r="M12" i="3"/>
  <c r="M10" i="2"/>
  <c r="M8" i="2"/>
  <c r="M6" i="2"/>
  <c r="K51" i="29"/>
  <c r="G51" i="62" s="1"/>
  <c r="M23" i="63"/>
  <c r="K47" i="29"/>
  <c r="G47" i="62" s="1"/>
  <c r="M19" i="63"/>
  <c r="K43" i="29"/>
  <c r="G43" i="62" s="1"/>
  <c r="M15" i="63"/>
  <c r="K39" i="29"/>
  <c r="G39" i="62" s="1"/>
  <c r="M11" i="63"/>
  <c r="K35" i="29"/>
  <c r="G35" i="62" s="1"/>
  <c r="M7" i="63"/>
  <c r="K49" i="30"/>
  <c r="H49" i="62" s="1"/>
  <c r="K45" i="30"/>
  <c r="H45" i="62" s="1"/>
  <c r="K41" i="30"/>
  <c r="H41" i="62" s="1"/>
  <c r="K37" i="30"/>
  <c r="H37" i="62" s="1"/>
  <c r="K33" i="30"/>
  <c r="H33" i="62" s="1"/>
  <c r="K51" i="31"/>
  <c r="I51" i="62" s="1"/>
  <c r="K47" i="31"/>
  <c r="I47" i="62" s="1"/>
  <c r="K43" i="31"/>
  <c r="I43" i="62" s="1"/>
  <c r="K39" i="31"/>
  <c r="I39" i="62" s="1"/>
  <c r="K35" i="31"/>
  <c r="I35" i="62" s="1"/>
  <c r="K50" i="32"/>
  <c r="J50" i="62" s="1"/>
  <c r="K40" i="32"/>
  <c r="J40" i="62" s="1"/>
  <c r="K36" i="32"/>
  <c r="J36" i="62" s="1"/>
  <c r="K50" i="33"/>
  <c r="K50" i="62" s="1"/>
  <c r="K46" i="33"/>
  <c r="K46" i="62" s="1"/>
  <c r="K42" i="33"/>
  <c r="K42" i="62" s="1"/>
  <c r="K38" i="33"/>
  <c r="K38" i="62" s="1"/>
  <c r="K34" i="33"/>
  <c r="K34" i="62" s="1"/>
  <c r="N24" i="6"/>
  <c r="L24" i="6"/>
  <c r="N22" i="6"/>
  <c r="L22" i="6"/>
  <c r="N20" i="6"/>
  <c r="L20" i="6"/>
  <c r="N18" i="6"/>
  <c r="L18" i="6"/>
  <c r="N16" i="6"/>
  <c r="L16" i="6"/>
  <c r="N14" i="6"/>
  <c r="L14" i="6"/>
  <c r="N12" i="6"/>
  <c r="L12" i="6"/>
  <c r="N9" i="7"/>
  <c r="L9" i="7"/>
  <c r="N7" i="7"/>
  <c r="L7" i="7"/>
  <c r="K52" i="34"/>
  <c r="L52" i="62" s="1"/>
  <c r="L24" i="64"/>
  <c r="K48" i="34"/>
  <c r="L48" i="62" s="1"/>
  <c r="N20" i="64"/>
  <c r="L20" i="64"/>
  <c r="K44" i="34"/>
  <c r="L44" i="62" s="1"/>
  <c r="L16" i="64"/>
  <c r="N16" i="64"/>
  <c r="K40" i="34"/>
  <c r="L40" i="62" s="1"/>
  <c r="L12" i="64"/>
  <c r="K36" i="34"/>
  <c r="L36" i="62" s="1"/>
  <c r="L8" i="64"/>
  <c r="N8" i="64"/>
  <c r="K51" i="35"/>
  <c r="M51" i="62" s="1"/>
  <c r="K47" i="35"/>
  <c r="M47" i="62" s="1"/>
  <c r="K43" i="35"/>
  <c r="M43" i="62" s="1"/>
  <c r="K39" i="35"/>
  <c r="M39" i="62" s="1"/>
  <c r="K35" i="35"/>
  <c r="M35" i="62" s="1"/>
  <c r="K50" i="36"/>
  <c r="N50" i="62" s="1"/>
  <c r="K46" i="36"/>
  <c r="N46" i="62" s="1"/>
  <c r="K42" i="36"/>
  <c r="N42" i="62" s="1"/>
  <c r="K38" i="36"/>
  <c r="N38" i="62" s="1"/>
  <c r="K34" i="36"/>
  <c r="N34" i="62" s="1"/>
  <c r="K52" i="37"/>
  <c r="O52" i="62" s="1"/>
  <c r="K48" i="37"/>
  <c r="O48" i="62" s="1"/>
  <c r="K44" i="37"/>
  <c r="O44" i="62" s="1"/>
  <c r="K40" i="37"/>
  <c r="O40" i="62" s="1"/>
  <c r="K36" i="37"/>
  <c r="O36" i="62" s="1"/>
  <c r="K50" i="38"/>
  <c r="P50" i="62" s="1"/>
  <c r="K46" i="38"/>
  <c r="P46" i="62" s="1"/>
  <c r="K42" i="38"/>
  <c r="P42" i="62" s="1"/>
  <c r="K38" i="38"/>
  <c r="P38" i="62" s="1"/>
  <c r="K34" i="38"/>
  <c r="P34" i="62" s="1"/>
  <c r="M24" i="6"/>
  <c r="M22" i="6"/>
  <c r="M20" i="6"/>
  <c r="M18" i="6"/>
  <c r="M16" i="6"/>
  <c r="M14" i="6"/>
  <c r="M12" i="6"/>
  <c r="M9" i="7"/>
  <c r="M7" i="7"/>
  <c r="K52" i="39"/>
  <c r="Q52" i="62" s="1"/>
  <c r="K48" i="39"/>
  <c r="Q48" i="62" s="1"/>
  <c r="M20" i="64"/>
  <c r="K44" i="39"/>
  <c r="Q44" i="62" s="1"/>
  <c r="M16" i="64"/>
  <c r="K40" i="39"/>
  <c r="Q40" i="62" s="1"/>
  <c r="K36" i="39"/>
  <c r="Q36" i="62" s="1"/>
  <c r="M8" i="64"/>
  <c r="K49" i="40"/>
  <c r="R49" i="62" s="1"/>
  <c r="K45" i="40"/>
  <c r="R45" i="62" s="1"/>
  <c r="K41" i="40"/>
  <c r="R41" i="62" s="1"/>
  <c r="K37" i="40"/>
  <c r="R37" i="62" s="1"/>
  <c r="K33" i="40"/>
  <c r="R33" i="62" s="1"/>
  <c r="K51" i="41"/>
  <c r="S51" i="62" s="1"/>
  <c r="K47" i="41"/>
  <c r="S47" i="62" s="1"/>
  <c r="K43" i="41"/>
  <c r="S43" i="62" s="1"/>
  <c r="K36" i="41"/>
  <c r="S36" i="62" s="1"/>
  <c r="K33" i="41"/>
  <c r="S33" i="62" s="1"/>
  <c r="K50" i="42"/>
  <c r="T50" i="62" s="1"/>
  <c r="K46" i="42"/>
  <c r="T46" i="62" s="1"/>
  <c r="K42" i="42"/>
  <c r="T42" i="62" s="1"/>
  <c r="K38" i="42"/>
  <c r="T38" i="62" s="1"/>
  <c r="K34" i="42"/>
  <c r="T34" i="62" s="1"/>
  <c r="K50" i="43"/>
  <c r="U50" i="62" s="1"/>
  <c r="K46" i="43"/>
  <c r="U46" i="62" s="1"/>
  <c r="K42" i="43"/>
  <c r="U42" i="62" s="1"/>
  <c r="K38" i="43"/>
  <c r="U38" i="62" s="1"/>
  <c r="K34" i="43"/>
  <c r="U34" i="62" s="1"/>
  <c r="O24" i="11"/>
  <c r="M24" i="11"/>
  <c r="M22" i="11"/>
  <c r="O22" i="11"/>
  <c r="O20" i="11"/>
  <c r="M20" i="11"/>
  <c r="O18" i="11"/>
  <c r="M18" i="11"/>
  <c r="O16" i="11"/>
  <c r="M16" i="11"/>
  <c r="M14" i="11"/>
  <c r="O14" i="11"/>
  <c r="O12" i="11"/>
  <c r="M12" i="11"/>
  <c r="M9" i="10"/>
  <c r="O9" i="10"/>
  <c r="M7" i="10"/>
  <c r="O7" i="10"/>
  <c r="K51" i="44"/>
  <c r="V51" i="62" s="1"/>
  <c r="K47" i="44"/>
  <c r="V47" i="62" s="1"/>
  <c r="M19" i="65"/>
  <c r="O19" i="65"/>
  <c r="K43" i="44"/>
  <c r="V43" i="62" s="1"/>
  <c r="M15" i="65"/>
  <c r="O15" i="65"/>
  <c r="K39" i="44"/>
  <c r="V39" i="62" s="1"/>
  <c r="M11" i="65"/>
  <c r="O11" i="65"/>
  <c r="K35" i="44"/>
  <c r="V35" i="62" s="1"/>
  <c r="K52" i="45"/>
  <c r="W52" i="62" s="1"/>
  <c r="K49" i="45"/>
  <c r="W49" i="62" s="1"/>
  <c r="K45" i="45"/>
  <c r="W45" i="62" s="1"/>
  <c r="K41" i="45"/>
  <c r="W41" i="62" s="1"/>
  <c r="K37" i="45"/>
  <c r="W37" i="62" s="1"/>
  <c r="K33" i="45"/>
  <c r="W33" i="62" s="1"/>
  <c r="K52" i="46"/>
  <c r="X52" i="62" s="1"/>
  <c r="K48" i="46"/>
  <c r="X48" i="62" s="1"/>
  <c r="K44" i="46"/>
  <c r="X44" i="62" s="1"/>
  <c r="K40" i="46"/>
  <c r="X40" i="62" s="1"/>
  <c r="K36" i="46"/>
  <c r="X36" i="62" s="1"/>
  <c r="K50" i="47"/>
  <c r="Y50" i="62" s="1"/>
  <c r="K46" i="47"/>
  <c r="Y46" i="62" s="1"/>
  <c r="K42" i="47"/>
  <c r="Y42" i="62" s="1"/>
  <c r="K38" i="47"/>
  <c r="Y38" i="62" s="1"/>
  <c r="K34" i="47"/>
  <c r="Y34" i="62" s="1"/>
  <c r="K52" i="48"/>
  <c r="Z52" i="62" s="1"/>
  <c r="K48" i="48"/>
  <c r="Z48" i="62" s="1"/>
  <c r="K44" i="48"/>
  <c r="Z44" i="62" s="1"/>
  <c r="K40" i="48"/>
  <c r="Z40" i="62" s="1"/>
  <c r="K36" i="48"/>
  <c r="Z36" i="62" s="1"/>
  <c r="N25" i="10"/>
  <c r="N23" i="11"/>
  <c r="N21" i="11"/>
  <c r="N19" i="11"/>
  <c r="N17" i="11"/>
  <c r="N15" i="11"/>
  <c r="N13" i="11"/>
  <c r="N11" i="11"/>
  <c r="N10" i="10"/>
  <c r="N8" i="10"/>
  <c r="N6" i="10"/>
  <c r="K50" i="49"/>
  <c r="AA50" i="62" s="1"/>
  <c r="N22" i="65"/>
  <c r="K46" i="49"/>
  <c r="AA46" i="62" s="1"/>
  <c r="K42" i="49"/>
  <c r="AA42" i="62" s="1"/>
  <c r="K38" i="49"/>
  <c r="AA38" i="62" s="1"/>
  <c r="N10" i="65"/>
  <c r="K34" i="49"/>
  <c r="AA34" i="62" s="1"/>
  <c r="K52" i="50"/>
  <c r="AB52" i="62" s="1"/>
  <c r="K48" i="50"/>
  <c r="AB48" i="62" s="1"/>
  <c r="K44" i="50"/>
  <c r="AB44" i="62" s="1"/>
  <c r="K40" i="50"/>
  <c r="AB40" i="62" s="1"/>
  <c r="K36" i="50"/>
  <c r="AB36" i="62" s="1"/>
  <c r="K50" i="51"/>
  <c r="AC50" i="62" s="1"/>
  <c r="K46" i="51"/>
  <c r="AC46" i="62" s="1"/>
  <c r="K42" i="51"/>
  <c r="AC42" i="62" s="1"/>
  <c r="K38" i="51"/>
  <c r="AC38" i="62" s="1"/>
  <c r="K34" i="51"/>
  <c r="AC34" i="62" s="1"/>
  <c r="K51" i="52"/>
  <c r="AD51" i="62" s="1"/>
  <c r="K47" i="52"/>
  <c r="AD47" i="62" s="1"/>
  <c r="K43" i="52"/>
  <c r="AD43" i="62" s="1"/>
  <c r="K39" i="52"/>
  <c r="AD39" i="62" s="1"/>
  <c r="K35" i="52"/>
  <c r="AD35" i="62" s="1"/>
  <c r="K50" i="53"/>
  <c r="AE50" i="62" s="1"/>
  <c r="K46" i="53"/>
  <c r="AE46" i="62" s="1"/>
  <c r="K42" i="53"/>
  <c r="AE42" i="62" s="1"/>
  <c r="K200" i="19"/>
  <c r="K225" i="19"/>
  <c r="K231" i="19"/>
  <c r="K249" i="19"/>
  <c r="K255" i="19"/>
  <c r="O11" i="19"/>
  <c r="P11" i="19" s="1"/>
  <c r="P12" i="19" s="1"/>
  <c r="P13" i="19" s="1"/>
  <c r="P14" i="19" s="1"/>
  <c r="P15" i="19" s="1"/>
  <c r="P16" i="19" s="1"/>
  <c r="P17" i="19" s="1"/>
  <c r="P18" i="19" s="1"/>
  <c r="P19" i="19" s="1"/>
  <c r="P20" i="19" s="1"/>
  <c r="P21" i="19" s="1"/>
  <c r="P22" i="19" s="1"/>
  <c r="O143" i="19"/>
  <c r="O149" i="19"/>
  <c r="O181" i="19"/>
  <c r="K138" i="19"/>
  <c r="O42" i="19"/>
  <c r="O106" i="19"/>
  <c r="O150" i="19"/>
  <c r="O182" i="19"/>
  <c r="R58" i="19"/>
  <c r="R126" i="19"/>
  <c r="V66" i="19"/>
  <c r="V71" i="19"/>
  <c r="V145" i="19"/>
  <c r="Y173" i="19"/>
  <c r="Y190" i="19"/>
  <c r="Y241" i="19"/>
  <c r="AC42" i="19"/>
  <c r="AD42" i="19" s="1"/>
  <c r="AD43" i="19" s="1"/>
  <c r="AD44" i="19" s="1"/>
  <c r="AD45" i="19" s="1"/>
  <c r="AD46" i="19" s="1"/>
  <c r="AD47" i="19" s="1"/>
  <c r="AD48" i="19" s="1"/>
  <c r="AD49" i="19" s="1"/>
  <c r="AD50" i="19" s="1"/>
  <c r="AD51" i="19" s="1"/>
  <c r="R136" i="19"/>
  <c r="R161" i="19"/>
  <c r="V40" i="19"/>
  <c r="V108" i="19"/>
  <c r="V188" i="19"/>
  <c r="V232" i="19"/>
  <c r="Y111" i="19"/>
  <c r="Y207" i="19"/>
  <c r="AC67" i="19"/>
  <c r="AC95" i="19"/>
  <c r="AC111" i="19"/>
  <c r="AC127" i="19"/>
  <c r="AC255" i="19"/>
  <c r="AG26" i="15"/>
  <c r="B24" i="2"/>
  <c r="AH26" i="15"/>
  <c r="H24" i="55" s="1"/>
  <c r="B20" i="2"/>
  <c r="AG22" i="15"/>
  <c r="AH22" i="15"/>
  <c r="H20" i="55" s="1"/>
  <c r="B16" i="2"/>
  <c r="AG18" i="15"/>
  <c r="AH18" i="15"/>
  <c r="H16" i="55" s="1"/>
  <c r="B12" i="2"/>
  <c r="AG14" i="15"/>
  <c r="AH14" i="15"/>
  <c r="H12" i="55" s="1"/>
  <c r="B10" i="2"/>
  <c r="AH12" i="15"/>
  <c r="H10" i="55" s="1"/>
  <c r="AG12" i="15"/>
  <c r="B6" i="2"/>
  <c r="AG8" i="15"/>
  <c r="AH8" i="15"/>
  <c r="H6" i="55" s="1"/>
  <c r="B51" i="62"/>
  <c r="B23" i="63"/>
  <c r="AH25" i="62"/>
  <c r="M23" i="55" s="1"/>
  <c r="AG25" i="62"/>
  <c r="AI25" i="62" s="1"/>
  <c r="B47" i="62"/>
  <c r="B19" i="63"/>
  <c r="AG21" i="62"/>
  <c r="AI21" i="62" s="1"/>
  <c r="B43" i="62"/>
  <c r="B15" i="63"/>
  <c r="AG17" i="62"/>
  <c r="AI17" i="62" s="1"/>
  <c r="B39" i="62"/>
  <c r="B11" i="63"/>
  <c r="AH13" i="62"/>
  <c r="M11" i="55" s="1"/>
  <c r="AG13" i="62"/>
  <c r="AI13" i="62" s="1"/>
  <c r="B35" i="62"/>
  <c r="B7" i="63"/>
  <c r="AG9" i="62"/>
  <c r="AI9" i="62" s="1"/>
  <c r="C10" i="3"/>
  <c r="N10" i="3" s="1"/>
  <c r="AH12" i="14"/>
  <c r="E10" i="55" s="1"/>
  <c r="AG12" i="14"/>
  <c r="C8" i="3"/>
  <c r="AG10" i="14"/>
  <c r="C6" i="3"/>
  <c r="AG8" i="14"/>
  <c r="K50" i="25"/>
  <c r="C50" i="62" s="1"/>
  <c r="K46" i="25"/>
  <c r="C46" i="62" s="1"/>
  <c r="K42" i="25"/>
  <c r="C42" i="62" s="1"/>
  <c r="K38" i="25"/>
  <c r="C38" i="62" s="1"/>
  <c r="K34" i="25"/>
  <c r="C34" i="62" s="1"/>
  <c r="K49" i="26"/>
  <c r="D49" i="62" s="1"/>
  <c r="K45" i="26"/>
  <c r="D45" i="62" s="1"/>
  <c r="AH45" i="62" s="1"/>
  <c r="K41" i="26"/>
  <c r="D41" i="62" s="1"/>
  <c r="K37" i="26"/>
  <c r="D37" i="62" s="1"/>
  <c r="K33" i="26"/>
  <c r="D33" i="62" s="1"/>
  <c r="K51" i="27"/>
  <c r="E51" i="62" s="1"/>
  <c r="K47" i="27"/>
  <c r="E47" i="62" s="1"/>
  <c r="K43" i="27"/>
  <c r="E43" i="62" s="1"/>
  <c r="K39" i="27"/>
  <c r="E39" i="62" s="1"/>
  <c r="K35" i="27"/>
  <c r="E35" i="62" s="1"/>
  <c r="K50" i="28"/>
  <c r="F50" i="62" s="1"/>
  <c r="K46" i="28"/>
  <c r="F46" i="62" s="1"/>
  <c r="K42" i="28"/>
  <c r="F42" i="62" s="1"/>
  <c r="K38" i="28"/>
  <c r="F38" i="62" s="1"/>
  <c r="K34" i="28"/>
  <c r="F34" i="62" s="1"/>
  <c r="M24" i="2"/>
  <c r="M22" i="2"/>
  <c r="M20" i="2"/>
  <c r="M18" i="2"/>
  <c r="M16" i="2"/>
  <c r="M14" i="2"/>
  <c r="M12" i="2"/>
  <c r="M9" i="3"/>
  <c r="M7" i="3"/>
  <c r="K52" i="29"/>
  <c r="G52" i="62" s="1"/>
  <c r="M24" i="63"/>
  <c r="K48" i="29"/>
  <c r="G48" i="62" s="1"/>
  <c r="M20" i="63"/>
  <c r="K44" i="29"/>
  <c r="G44" i="62" s="1"/>
  <c r="M16" i="63"/>
  <c r="K40" i="29"/>
  <c r="G40" i="62" s="1"/>
  <c r="M12" i="63"/>
  <c r="K36" i="29"/>
  <c r="G36" i="62" s="1"/>
  <c r="M8" i="63"/>
  <c r="K50" i="30"/>
  <c r="H50" i="62" s="1"/>
  <c r="K46" i="30"/>
  <c r="H46" i="62" s="1"/>
  <c r="K42" i="30"/>
  <c r="H42" i="62" s="1"/>
  <c r="K38" i="30"/>
  <c r="H38" i="62" s="1"/>
  <c r="K34" i="30"/>
  <c r="H34" i="62" s="1"/>
  <c r="K52" i="31"/>
  <c r="I52" i="62" s="1"/>
  <c r="K48" i="31"/>
  <c r="I48" i="62" s="1"/>
  <c r="K44" i="31"/>
  <c r="I44" i="62" s="1"/>
  <c r="AG44" i="62" s="1"/>
  <c r="K40" i="31"/>
  <c r="I40" i="62" s="1"/>
  <c r="K36" i="31"/>
  <c r="I36" i="62" s="1"/>
  <c r="K44" i="32"/>
  <c r="J44" i="62" s="1"/>
  <c r="K41" i="32"/>
  <c r="J41" i="62" s="1"/>
  <c r="K37" i="32"/>
  <c r="J37" i="62" s="1"/>
  <c r="K33" i="32"/>
  <c r="J33" i="62" s="1"/>
  <c r="K51" i="33"/>
  <c r="K51" i="62" s="1"/>
  <c r="K47" i="33"/>
  <c r="K47" i="62" s="1"/>
  <c r="K43" i="33"/>
  <c r="K43" i="62" s="1"/>
  <c r="K39" i="33"/>
  <c r="K39" i="62" s="1"/>
  <c r="K35" i="33"/>
  <c r="K35" i="62" s="1"/>
  <c r="L23" i="7"/>
  <c r="N23" i="7"/>
  <c r="L21" i="7"/>
  <c r="N19" i="7"/>
  <c r="L19" i="7"/>
  <c r="N17" i="7"/>
  <c r="L17" i="7"/>
  <c r="L15" i="7"/>
  <c r="N15" i="7"/>
  <c r="N13" i="7"/>
  <c r="L13" i="7"/>
  <c r="L11" i="7"/>
  <c r="N11" i="7"/>
  <c r="N9" i="6"/>
  <c r="L9" i="6"/>
  <c r="L7" i="6"/>
  <c r="N7" i="6"/>
  <c r="L25" i="64"/>
  <c r="N25" i="64"/>
  <c r="K49" i="34"/>
  <c r="L49" i="62" s="1"/>
  <c r="N21" i="64"/>
  <c r="L21" i="64"/>
  <c r="K45" i="34"/>
  <c r="L45" i="62" s="1"/>
  <c r="K41" i="34"/>
  <c r="L41" i="62" s="1"/>
  <c r="L13" i="64"/>
  <c r="K37" i="34"/>
  <c r="L37" i="62" s="1"/>
  <c r="AG37" i="62" s="1"/>
  <c r="L9" i="64"/>
  <c r="N9" i="64"/>
  <c r="K33" i="34"/>
  <c r="L33" i="62" s="1"/>
  <c r="K52" i="35"/>
  <c r="M52" i="62" s="1"/>
  <c r="K48" i="35"/>
  <c r="M48" i="62" s="1"/>
  <c r="K44" i="35"/>
  <c r="M44" i="62" s="1"/>
  <c r="K40" i="35"/>
  <c r="M40" i="62" s="1"/>
  <c r="K36" i="35"/>
  <c r="M36" i="62" s="1"/>
  <c r="K51" i="36"/>
  <c r="N51" i="62" s="1"/>
  <c r="K47" i="36"/>
  <c r="N47" i="62" s="1"/>
  <c r="K43" i="36"/>
  <c r="N43" i="62" s="1"/>
  <c r="K39" i="36"/>
  <c r="N39" i="62" s="1"/>
  <c r="K35" i="36"/>
  <c r="N35" i="62" s="1"/>
  <c r="K49" i="37"/>
  <c r="O49" i="62" s="1"/>
  <c r="K45" i="37"/>
  <c r="O45" i="62" s="1"/>
  <c r="K41" i="37"/>
  <c r="O41" i="62" s="1"/>
  <c r="K37" i="37"/>
  <c r="O37" i="62" s="1"/>
  <c r="K33" i="37"/>
  <c r="O33" i="62" s="1"/>
  <c r="K51" i="38"/>
  <c r="P51" i="62" s="1"/>
  <c r="K47" i="38"/>
  <c r="P47" i="62" s="1"/>
  <c r="K43" i="38"/>
  <c r="P43" i="62" s="1"/>
  <c r="K39" i="38"/>
  <c r="P39" i="62" s="1"/>
  <c r="K35" i="38"/>
  <c r="P35" i="62" s="1"/>
  <c r="M23" i="7"/>
  <c r="M21" i="7"/>
  <c r="M19" i="7"/>
  <c r="M17" i="7"/>
  <c r="M15" i="7"/>
  <c r="M13" i="7"/>
  <c r="M11" i="7"/>
  <c r="M9" i="6"/>
  <c r="M7" i="6"/>
  <c r="M25" i="64"/>
  <c r="K49" i="39"/>
  <c r="Q49" i="62" s="1"/>
  <c r="M21" i="64"/>
  <c r="K45" i="39"/>
  <c r="Q45" i="62" s="1"/>
  <c r="AG45" i="62" s="1"/>
  <c r="M17" i="64"/>
  <c r="K41" i="39"/>
  <c r="Q41" i="62" s="1"/>
  <c r="M13" i="64"/>
  <c r="K37" i="39"/>
  <c r="Q37" i="62" s="1"/>
  <c r="K33" i="39"/>
  <c r="Q33" i="62" s="1"/>
  <c r="K50" i="40"/>
  <c r="R50" i="62" s="1"/>
  <c r="K46" i="40"/>
  <c r="R46" i="62" s="1"/>
  <c r="K42" i="40"/>
  <c r="R42" i="62" s="1"/>
  <c r="K38" i="40"/>
  <c r="R38" i="62" s="1"/>
  <c r="K34" i="40"/>
  <c r="R34" i="62" s="1"/>
  <c r="K52" i="41"/>
  <c r="S52" i="62" s="1"/>
  <c r="K48" i="41"/>
  <c r="S48" i="62" s="1"/>
  <c r="K44" i="41"/>
  <c r="S44" i="62" s="1"/>
  <c r="K40" i="41"/>
  <c r="S40" i="62" s="1"/>
  <c r="K37" i="41"/>
  <c r="S37" i="62" s="1"/>
  <c r="K34" i="41"/>
  <c r="S34" i="62" s="1"/>
  <c r="K51" i="42"/>
  <c r="T51" i="62" s="1"/>
  <c r="K47" i="42"/>
  <c r="T47" i="62" s="1"/>
  <c r="K43" i="42"/>
  <c r="T43" i="62" s="1"/>
  <c r="K39" i="42"/>
  <c r="T39" i="62" s="1"/>
  <c r="K35" i="42"/>
  <c r="T35" i="62" s="1"/>
  <c r="K51" i="43"/>
  <c r="U51" i="62" s="1"/>
  <c r="K47" i="43"/>
  <c r="U47" i="62" s="1"/>
  <c r="K43" i="43"/>
  <c r="U43" i="62" s="1"/>
  <c r="K39" i="43"/>
  <c r="U39" i="62" s="1"/>
  <c r="K35" i="43"/>
  <c r="U35" i="62" s="1"/>
  <c r="O23" i="10"/>
  <c r="M23" i="10"/>
  <c r="O21" i="10"/>
  <c r="M21" i="10"/>
  <c r="M19" i="10"/>
  <c r="O19" i="10"/>
  <c r="O17" i="10"/>
  <c r="M17" i="10"/>
  <c r="M15" i="10"/>
  <c r="O15" i="10"/>
  <c r="M13" i="10"/>
  <c r="O13" i="10"/>
  <c r="M11" i="10"/>
  <c r="O11" i="10"/>
  <c r="O9" i="11"/>
  <c r="M9" i="11"/>
  <c r="M7" i="11"/>
  <c r="O7" i="11"/>
  <c r="M24" i="65"/>
  <c r="O24" i="65"/>
  <c r="K48" i="44"/>
  <c r="V48" i="62" s="1"/>
  <c r="M20" i="65"/>
  <c r="O20" i="65"/>
  <c r="K44" i="44"/>
  <c r="V44" i="62" s="1"/>
  <c r="M16" i="65"/>
  <c r="O16" i="65"/>
  <c r="K40" i="44"/>
  <c r="V40" i="62" s="1"/>
  <c r="M12" i="65"/>
  <c r="O12" i="65"/>
  <c r="K36" i="44"/>
  <c r="V36" i="62" s="1"/>
  <c r="M8" i="65"/>
  <c r="O8" i="65"/>
  <c r="K52" i="44"/>
  <c r="V52" i="62" s="1"/>
  <c r="K50" i="45"/>
  <c r="W50" i="62" s="1"/>
  <c r="K46" i="45"/>
  <c r="W46" i="62" s="1"/>
  <c r="K42" i="45"/>
  <c r="W42" i="62" s="1"/>
  <c r="K38" i="45"/>
  <c r="W38" i="62" s="1"/>
  <c r="K34" i="45"/>
  <c r="W34" i="62" s="1"/>
  <c r="K49" i="46"/>
  <c r="X49" i="62" s="1"/>
  <c r="K45" i="46"/>
  <c r="X45" i="62" s="1"/>
  <c r="K41" i="46"/>
  <c r="X41" i="62" s="1"/>
  <c r="K37" i="46"/>
  <c r="X37" i="62" s="1"/>
  <c r="K33" i="46"/>
  <c r="X33" i="62" s="1"/>
  <c r="K51" i="47"/>
  <c r="Y51" i="62" s="1"/>
  <c r="K47" i="47"/>
  <c r="Y47" i="62" s="1"/>
  <c r="K43" i="47"/>
  <c r="Y43" i="62" s="1"/>
  <c r="K39" i="47"/>
  <c r="Y39" i="62" s="1"/>
  <c r="K35" i="47"/>
  <c r="Y35" i="62" s="1"/>
  <c r="K49" i="48"/>
  <c r="Z49" i="62" s="1"/>
  <c r="AG49" i="62" s="1"/>
  <c r="K45" i="48"/>
  <c r="Z45" i="62" s="1"/>
  <c r="K41" i="48"/>
  <c r="Z41" i="62" s="1"/>
  <c r="K37" i="48"/>
  <c r="Z37" i="62" s="1"/>
  <c r="K33" i="48"/>
  <c r="Z33" i="62" s="1"/>
  <c r="AG33" i="62" s="1"/>
  <c r="N20" i="10"/>
  <c r="K51" i="49"/>
  <c r="AA51" i="62" s="1"/>
  <c r="K47" i="49"/>
  <c r="AA47" i="62" s="1"/>
  <c r="K43" i="49"/>
  <c r="AA43" i="62" s="1"/>
  <c r="K39" i="49"/>
  <c r="AA39" i="62" s="1"/>
  <c r="K35" i="49"/>
  <c r="AA35" i="62" s="1"/>
  <c r="K49" i="50"/>
  <c r="AB49" i="62" s="1"/>
  <c r="K45" i="50"/>
  <c r="AB45" i="62" s="1"/>
  <c r="K41" i="50"/>
  <c r="AB41" i="62" s="1"/>
  <c r="K37" i="50"/>
  <c r="AB37" i="62" s="1"/>
  <c r="K33" i="50"/>
  <c r="AB33" i="62" s="1"/>
  <c r="K51" i="51"/>
  <c r="AC51" i="62" s="1"/>
  <c r="K47" i="51"/>
  <c r="AC47" i="62" s="1"/>
  <c r="K43" i="51"/>
  <c r="AC43" i="62" s="1"/>
  <c r="K39" i="51"/>
  <c r="AC39" i="62" s="1"/>
  <c r="K35" i="51"/>
  <c r="AC35" i="62" s="1"/>
  <c r="K48" i="52"/>
  <c r="AD48" i="62" s="1"/>
  <c r="K44" i="52"/>
  <c r="AD44" i="62" s="1"/>
  <c r="K40" i="52"/>
  <c r="AD40" i="62" s="1"/>
  <c r="K36" i="52"/>
  <c r="AD36" i="62" s="1"/>
  <c r="AG36" i="62" s="1"/>
  <c r="K52" i="52"/>
  <c r="AD52" i="62" s="1"/>
  <c r="K51" i="53"/>
  <c r="AE51" i="62" s="1"/>
  <c r="K47" i="53"/>
  <c r="AE47" i="62" s="1"/>
  <c r="K43" i="53"/>
  <c r="AE43" i="62" s="1"/>
  <c r="K39" i="53"/>
  <c r="AE39" i="62" s="1"/>
  <c r="K35" i="53"/>
  <c r="AE35" i="62" s="1"/>
  <c r="K52" i="54"/>
  <c r="AF52" i="62" s="1"/>
  <c r="K48" i="54"/>
  <c r="AF48" i="62" s="1"/>
  <c r="K44" i="54"/>
  <c r="AF44" i="62" s="1"/>
  <c r="K40" i="54"/>
  <c r="AF40" i="62" s="1"/>
  <c r="K36" i="54"/>
  <c r="AF36" i="62" s="1"/>
  <c r="B25" i="3"/>
  <c r="AG27" i="14"/>
  <c r="B22" i="3"/>
  <c r="AH24" i="14"/>
  <c r="E22" i="55" s="1"/>
  <c r="AG24" i="14"/>
  <c r="AG16" i="14"/>
  <c r="K236" i="19"/>
  <c r="B25" i="2"/>
  <c r="AG27" i="15"/>
  <c r="AH27" i="15"/>
  <c r="H25" i="55" s="1"/>
  <c r="B23" i="2"/>
  <c r="AH25" i="15"/>
  <c r="H23" i="55" s="1"/>
  <c r="AG25" i="15"/>
  <c r="B19" i="2"/>
  <c r="AH21" i="15"/>
  <c r="H19" i="55" s="1"/>
  <c r="AG21" i="15"/>
  <c r="B15" i="2"/>
  <c r="AH17" i="15"/>
  <c r="H15" i="55" s="1"/>
  <c r="AG17" i="15"/>
  <c r="B11" i="2"/>
  <c r="AG13" i="15"/>
  <c r="AH13" i="15"/>
  <c r="H11" i="55" s="1"/>
  <c r="B9" i="2"/>
  <c r="AG11" i="15"/>
  <c r="AH11" i="15"/>
  <c r="H9" i="55" s="1"/>
  <c r="B24" i="63"/>
  <c r="AG26" i="62"/>
  <c r="AI26" i="62" s="1"/>
  <c r="B20" i="63"/>
  <c r="AG22" i="62"/>
  <c r="AI22" i="62" s="1"/>
  <c r="AH44" i="62"/>
  <c r="B16" i="63"/>
  <c r="AG18" i="62"/>
  <c r="AI18" i="62" s="1"/>
  <c r="AG40" i="62"/>
  <c r="B12" i="63"/>
  <c r="AG14" i="62"/>
  <c r="AI14" i="62" s="1"/>
  <c r="B8" i="63"/>
  <c r="AG10" i="62"/>
  <c r="AI10" i="62" s="1"/>
  <c r="C20" i="3"/>
  <c r="N20" i="3" s="1"/>
  <c r="AH22" i="14"/>
  <c r="E20" i="55" s="1"/>
  <c r="AG22" i="14"/>
  <c r="C18" i="3"/>
  <c r="AG20" i="14"/>
  <c r="AH20" i="14"/>
  <c r="E18" i="55" s="1"/>
  <c r="C16" i="3"/>
  <c r="AH18" i="14"/>
  <c r="E16" i="55" s="1"/>
  <c r="M23" i="3"/>
  <c r="M21" i="3"/>
  <c r="L25" i="7"/>
  <c r="L23" i="6"/>
  <c r="N23" i="6"/>
  <c r="N21" i="6"/>
  <c r="L21" i="6"/>
  <c r="L19" i="6"/>
  <c r="N19" i="6"/>
  <c r="L17" i="6"/>
  <c r="N17" i="6"/>
  <c r="L15" i="6"/>
  <c r="N15" i="6"/>
  <c r="L13" i="6"/>
  <c r="N13" i="6"/>
  <c r="L11" i="6"/>
  <c r="N11" i="6"/>
  <c r="N10" i="7"/>
  <c r="L10" i="7"/>
  <c r="L8" i="7"/>
  <c r="N8" i="7"/>
  <c r="N6" i="7"/>
  <c r="L6" i="7"/>
  <c r="L10" i="64"/>
  <c r="L6" i="64"/>
  <c r="N6" i="64"/>
  <c r="M25" i="7"/>
  <c r="M23" i="11"/>
  <c r="O23" i="11"/>
  <c r="M21" i="11"/>
  <c r="O21" i="11"/>
  <c r="M19" i="11"/>
  <c r="O19" i="11"/>
  <c r="M17" i="11"/>
  <c r="O17" i="11"/>
  <c r="M15" i="11"/>
  <c r="O15" i="11"/>
  <c r="O13" i="11"/>
  <c r="M13" i="11"/>
  <c r="M11" i="11"/>
  <c r="O11" i="11"/>
  <c r="O10" i="10"/>
  <c r="M10" i="10"/>
  <c r="O8" i="10"/>
  <c r="M8" i="10"/>
  <c r="O6" i="10"/>
  <c r="M6" i="10"/>
  <c r="M17" i="65"/>
  <c r="O17" i="65"/>
  <c r="O13" i="65"/>
  <c r="M13" i="65"/>
  <c r="M25" i="65"/>
  <c r="O25" i="65"/>
  <c r="AG28" i="14"/>
  <c r="AI28" i="14" s="1"/>
  <c r="AH23" i="14"/>
  <c r="E21" i="55" s="1"/>
  <c r="K143" i="19"/>
  <c r="O31" i="19"/>
  <c r="R53" i="19"/>
  <c r="R62" i="19"/>
  <c r="R201" i="19"/>
  <c r="B22" i="2"/>
  <c r="AG24" i="15"/>
  <c r="AH24" i="15"/>
  <c r="H22" i="55" s="1"/>
  <c r="B18" i="2"/>
  <c r="AG20" i="15"/>
  <c r="AH20" i="15"/>
  <c r="H18" i="55" s="1"/>
  <c r="B14" i="2"/>
  <c r="AG16" i="15"/>
  <c r="AH16" i="15"/>
  <c r="H14" i="55" s="1"/>
  <c r="B8" i="2"/>
  <c r="AH10" i="15"/>
  <c r="H8" i="55" s="1"/>
  <c r="AG10" i="15"/>
  <c r="B25" i="63"/>
  <c r="AG27" i="62"/>
  <c r="AI27" i="62" s="1"/>
  <c r="AH27" i="62"/>
  <c r="M25" i="55" s="1"/>
  <c r="B21" i="63"/>
  <c r="AG23" i="62"/>
  <c r="AI23" i="62" s="1"/>
  <c r="B17" i="63"/>
  <c r="AG19" i="62"/>
  <c r="AI19" i="62" s="1"/>
  <c r="AG41" i="62"/>
  <c r="AH41" i="62"/>
  <c r="B13" i="63"/>
  <c r="AG15" i="62"/>
  <c r="AI15" i="62" s="1"/>
  <c r="B9" i="63"/>
  <c r="AH11" i="62"/>
  <c r="M9" i="55" s="1"/>
  <c r="AG11" i="62"/>
  <c r="AI11" i="62" s="1"/>
  <c r="C9" i="3"/>
  <c r="L9" i="3" s="1"/>
  <c r="AH11" i="14"/>
  <c r="E9" i="55" s="1"/>
  <c r="AG11" i="14"/>
  <c r="C7" i="3"/>
  <c r="AG9" i="14"/>
  <c r="M25" i="3"/>
  <c r="M6" i="63"/>
  <c r="N25" i="6"/>
  <c r="L25" i="6"/>
  <c r="N24" i="7"/>
  <c r="L24" i="7"/>
  <c r="L22" i="7"/>
  <c r="N22" i="7"/>
  <c r="L20" i="7"/>
  <c r="N20" i="7"/>
  <c r="L18" i="7"/>
  <c r="N18" i="7"/>
  <c r="N16" i="7"/>
  <c r="L16" i="7"/>
  <c r="N14" i="7"/>
  <c r="L14" i="7"/>
  <c r="L12" i="7"/>
  <c r="N12" i="7"/>
  <c r="N10" i="6"/>
  <c r="L10" i="6"/>
  <c r="N8" i="6"/>
  <c r="L8" i="6"/>
  <c r="N6" i="6"/>
  <c r="L6" i="6"/>
  <c r="N19" i="64"/>
  <c r="L19" i="64"/>
  <c r="L11" i="64"/>
  <c r="M22" i="7"/>
  <c r="M20" i="7"/>
  <c r="M10" i="6"/>
  <c r="M8" i="6"/>
  <c r="M6" i="6"/>
  <c r="M23" i="64"/>
  <c r="M19" i="64"/>
  <c r="M7" i="64"/>
  <c r="O25" i="11"/>
  <c r="M25" i="11"/>
  <c r="O22" i="10"/>
  <c r="M22" i="10"/>
  <c r="O20" i="10"/>
  <c r="M20" i="10"/>
  <c r="O18" i="10"/>
  <c r="M18" i="10"/>
  <c r="O16" i="10"/>
  <c r="M16" i="10"/>
  <c r="O14" i="10"/>
  <c r="M14" i="10"/>
  <c r="O12" i="10"/>
  <c r="M12" i="10"/>
  <c r="O10" i="11"/>
  <c r="M10" i="11"/>
  <c r="M8" i="11"/>
  <c r="O8" i="11"/>
  <c r="O6" i="11"/>
  <c r="M6" i="11"/>
  <c r="O22" i="65"/>
  <c r="M22" i="65"/>
  <c r="M18" i="65"/>
  <c r="O10" i="65"/>
  <c r="M10" i="65"/>
  <c r="N21" i="10"/>
  <c r="AH28" i="14"/>
  <c r="AH27" i="14"/>
  <c r="E25" i="55" s="1"/>
  <c r="B23" i="3"/>
  <c r="AG25" i="14"/>
  <c r="AG23" i="14"/>
  <c r="AH17" i="14"/>
  <c r="E15" i="55" s="1"/>
  <c r="AG13" i="14"/>
  <c r="N9" i="3"/>
  <c r="B7" i="3"/>
  <c r="AH9" i="14"/>
  <c r="E7" i="55" s="1"/>
  <c r="AH8" i="14"/>
  <c r="E6" i="55" s="1"/>
  <c r="B24" i="4"/>
  <c r="L24" i="4" s="1"/>
  <c r="AG26" i="16"/>
  <c r="I24" i="55" s="1"/>
  <c r="AI24" i="16"/>
  <c r="M20" i="8"/>
  <c r="N18" i="12"/>
  <c r="M18" i="4"/>
  <c r="N17" i="12"/>
  <c r="AH19" i="16"/>
  <c r="J17" i="55" s="1"/>
  <c r="L15" i="3"/>
  <c r="N15" i="3"/>
  <c r="B12" i="3"/>
  <c r="AG14" i="14"/>
  <c r="M24" i="8"/>
  <c r="N22" i="12"/>
  <c r="M22" i="4"/>
  <c r="N21" i="12"/>
  <c r="G21" i="4"/>
  <c r="M21" i="4" s="1"/>
  <c r="AI23" i="16"/>
  <c r="AH23" i="16"/>
  <c r="J21" i="55" s="1"/>
  <c r="B19" i="3"/>
  <c r="AG21" i="14"/>
  <c r="L8" i="3"/>
  <c r="N8" i="3"/>
  <c r="N6" i="3"/>
  <c r="L6" i="3"/>
  <c r="N25" i="12"/>
  <c r="G25" i="4"/>
  <c r="M25" i="4" s="1"/>
  <c r="AI27" i="16"/>
  <c r="AH27" i="16"/>
  <c r="J25" i="55" s="1"/>
  <c r="O19" i="12"/>
  <c r="M19" i="12"/>
  <c r="B18" i="4"/>
  <c r="L18" i="4" s="1"/>
  <c r="N18" i="4" s="1"/>
  <c r="AH20" i="16"/>
  <c r="J18" i="55" s="1"/>
  <c r="N21" i="3"/>
  <c r="L21" i="3"/>
  <c r="N18" i="3"/>
  <c r="L18" i="3"/>
  <c r="B16" i="3"/>
  <c r="AG18" i="14"/>
  <c r="AG17" i="14"/>
  <c r="B14" i="3"/>
  <c r="AH16" i="14"/>
  <c r="E14" i="55" s="1"/>
  <c r="AH14" i="14"/>
  <c r="E12" i="55" s="1"/>
  <c r="L11" i="3"/>
  <c r="N11" i="3"/>
  <c r="AH10" i="14"/>
  <c r="E8" i="55" s="1"/>
  <c r="AH28" i="15"/>
  <c r="O23" i="12"/>
  <c r="M23" i="12"/>
  <c r="B22" i="4"/>
  <c r="L22" i="4" s="1"/>
  <c r="AH24" i="16"/>
  <c r="J22" i="55" s="1"/>
  <c r="B20" i="4"/>
  <c r="L20" i="4" s="1"/>
  <c r="AG22" i="16"/>
  <c r="I20" i="55" s="1"/>
  <c r="M25" i="8"/>
  <c r="AG27" i="16"/>
  <c r="I25" i="55" s="1"/>
  <c r="N24" i="12"/>
  <c r="M24" i="4"/>
  <c r="L23" i="8"/>
  <c r="L23" i="4"/>
  <c r="M22" i="8"/>
  <c r="M21" i="8"/>
  <c r="AG23" i="16"/>
  <c r="I21" i="55" s="1"/>
  <c r="N20" i="12"/>
  <c r="M20" i="4"/>
  <c r="L19" i="8"/>
  <c r="L19" i="4"/>
  <c r="M18" i="8"/>
  <c r="AI19" i="16"/>
  <c r="M17" i="12"/>
  <c r="O17" i="12"/>
  <c r="AG19" i="16"/>
  <c r="I17" i="55" s="1"/>
  <c r="L16" i="8"/>
  <c r="L16" i="4"/>
  <c r="O15" i="12"/>
  <c r="M15" i="12"/>
  <c r="M14" i="12"/>
  <c r="O14" i="12"/>
  <c r="AI15" i="16"/>
  <c r="M13" i="12"/>
  <c r="O13" i="12"/>
  <c r="AG15" i="16"/>
  <c r="I13" i="55" s="1"/>
  <c r="L12" i="8"/>
  <c r="L12" i="4"/>
  <c r="O11" i="12"/>
  <c r="M11" i="12"/>
  <c r="M10" i="12"/>
  <c r="O10" i="12"/>
  <c r="AI11" i="16"/>
  <c r="M9" i="12"/>
  <c r="O9" i="12"/>
  <c r="L8" i="8"/>
  <c r="L8" i="4"/>
  <c r="O7" i="12"/>
  <c r="M7" i="12"/>
  <c r="M6" i="8"/>
  <c r="L6" i="4"/>
  <c r="L24" i="3"/>
  <c r="N24" i="3"/>
  <c r="L17" i="3"/>
  <c r="N13" i="3"/>
  <c r="L13" i="3"/>
  <c r="L25" i="8"/>
  <c r="L25" i="4"/>
  <c r="O24" i="12"/>
  <c r="M24" i="12"/>
  <c r="N23" i="12"/>
  <c r="M23" i="4"/>
  <c r="AI25" i="16"/>
  <c r="L22" i="8"/>
  <c r="N22" i="8" s="1"/>
  <c r="L21" i="8"/>
  <c r="N21" i="8" s="1"/>
  <c r="L21" i="4"/>
  <c r="M20" i="12"/>
  <c r="O20" i="12"/>
  <c r="N19" i="12"/>
  <c r="M19" i="4"/>
  <c r="AI21" i="16"/>
  <c r="L18" i="8"/>
  <c r="M17" i="8"/>
  <c r="L17" i="4"/>
  <c r="N16" i="12"/>
  <c r="M16" i="4"/>
  <c r="AG17" i="16"/>
  <c r="I15" i="55" s="1"/>
  <c r="M15" i="8"/>
  <c r="AH17" i="16"/>
  <c r="J15" i="55" s="1"/>
  <c r="AI16" i="16"/>
  <c r="M14" i="8"/>
  <c r="AG16" i="16"/>
  <c r="I14" i="55" s="1"/>
  <c r="AH15" i="16"/>
  <c r="J13" i="55" s="1"/>
  <c r="M13" i="8"/>
  <c r="L13" i="4"/>
  <c r="N13" i="4" s="1"/>
  <c r="N12" i="12"/>
  <c r="M12" i="4"/>
  <c r="AG13" i="16"/>
  <c r="I11" i="55" s="1"/>
  <c r="M11" i="8"/>
  <c r="AH13" i="16"/>
  <c r="J11" i="55" s="1"/>
  <c r="AI12" i="16"/>
  <c r="M10" i="8"/>
  <c r="AG12" i="16"/>
  <c r="I10" i="55" s="1"/>
  <c r="M9" i="8"/>
  <c r="L9" i="4"/>
  <c r="N8" i="12"/>
  <c r="M8" i="4"/>
  <c r="AI9" i="16"/>
  <c r="M7" i="8"/>
  <c r="L7" i="4"/>
  <c r="N7" i="4" s="1"/>
  <c r="L6" i="8"/>
  <c r="AG53" i="62"/>
  <c r="AI53" i="62" s="1"/>
  <c r="L17" i="8"/>
  <c r="M16" i="12"/>
  <c r="O16" i="12"/>
  <c r="L15" i="8"/>
  <c r="N15" i="8" s="1"/>
  <c r="L14" i="8"/>
  <c r="L14" i="4"/>
  <c r="L13" i="8"/>
  <c r="M12" i="12"/>
  <c r="O12" i="12"/>
  <c r="L11" i="8"/>
  <c r="AI13" i="16"/>
  <c r="L10" i="8"/>
  <c r="AH12" i="16"/>
  <c r="J10" i="55" s="1"/>
  <c r="L9" i="8"/>
  <c r="M8" i="12"/>
  <c r="O8" i="12"/>
  <c r="L7" i="8"/>
  <c r="N7" i="8" s="1"/>
  <c r="N6" i="12"/>
  <c r="M6" i="4"/>
  <c r="M25" i="12"/>
  <c r="L24" i="8"/>
  <c r="AG25" i="16"/>
  <c r="I23" i="55" s="1"/>
  <c r="M23" i="8"/>
  <c r="M22" i="12"/>
  <c r="O22" i="12"/>
  <c r="M21" i="12"/>
  <c r="O21" i="12"/>
  <c r="L20" i="8"/>
  <c r="AG21" i="16"/>
  <c r="I19" i="55" s="1"/>
  <c r="M19" i="8"/>
  <c r="M18" i="12"/>
  <c r="O18" i="12"/>
  <c r="M17" i="4"/>
  <c r="AG18" i="16"/>
  <c r="I16" i="55" s="1"/>
  <c r="M16" i="8"/>
  <c r="AI18" i="16"/>
  <c r="N15" i="12"/>
  <c r="M15" i="4"/>
  <c r="AI17" i="16"/>
  <c r="L15" i="4"/>
  <c r="N14" i="12"/>
  <c r="M14" i="4"/>
  <c r="AH16" i="16"/>
  <c r="J14" i="55" s="1"/>
  <c r="N13" i="12"/>
  <c r="M13" i="4"/>
  <c r="AG14" i="16"/>
  <c r="I12" i="55" s="1"/>
  <c r="M12" i="8"/>
  <c r="AI14" i="16"/>
  <c r="N11" i="12"/>
  <c r="M11" i="4"/>
  <c r="L11" i="4"/>
  <c r="N10" i="12"/>
  <c r="M10" i="4"/>
  <c r="N10" i="4" s="1"/>
  <c r="N9" i="12"/>
  <c r="M9" i="4"/>
  <c r="AG11" i="16"/>
  <c r="I9" i="55" s="1"/>
  <c r="AG10" i="16"/>
  <c r="I8" i="55" s="1"/>
  <c r="M8" i="8"/>
  <c r="AI10" i="16"/>
  <c r="N7" i="12"/>
  <c r="M7" i="4"/>
  <c r="AH9" i="16"/>
  <c r="J7" i="55" s="1"/>
  <c r="AI8" i="16"/>
  <c r="M6" i="12"/>
  <c r="O6" i="12"/>
  <c r="AG8" i="16"/>
  <c r="I6" i="55" s="1"/>
  <c r="K16" i="40"/>
  <c r="R18" i="13" s="1"/>
  <c r="K22" i="40"/>
  <c r="R24" i="13" s="1"/>
  <c r="M29" i="1" l="1"/>
  <c r="M28" i="1"/>
  <c r="H24" i="5"/>
  <c r="AH26" i="13"/>
  <c r="B24" i="55" s="1"/>
  <c r="N19" i="4"/>
  <c r="M28" i="6"/>
  <c r="N14" i="65"/>
  <c r="L4" i="5"/>
  <c r="L20" i="3"/>
  <c r="N18" i="8"/>
  <c r="N20" i="4"/>
  <c r="N15" i="64"/>
  <c r="AH14" i="62"/>
  <c r="M12" i="55" s="1"/>
  <c r="AH26" i="62"/>
  <c r="M24" i="55" s="1"/>
  <c r="AG52" i="62"/>
  <c r="N24" i="64"/>
  <c r="AH20" i="62"/>
  <c r="M18" i="55" s="1"/>
  <c r="I51" i="23"/>
  <c r="I52" i="23" s="1"/>
  <c r="I53" i="23" s="1"/>
  <c r="I54" i="23" s="1"/>
  <c r="I55" i="23" s="1"/>
  <c r="I56" i="23" s="1"/>
  <c r="I57" i="23" s="1"/>
  <c r="I58" i="23" s="1"/>
  <c r="I59" i="23" s="1"/>
  <c r="I60" i="23" s="1"/>
  <c r="I61" i="23" s="1"/>
  <c r="I62" i="23" s="1"/>
  <c r="I63" i="23" s="1"/>
  <c r="I64" i="23" s="1"/>
  <c r="I65" i="23" s="1"/>
  <c r="I66" i="23" s="1"/>
  <c r="I67" i="23" s="1"/>
  <c r="I68" i="23" s="1"/>
  <c r="I69" i="23" s="1"/>
  <c r="I70" i="23" s="1"/>
  <c r="I71" i="23" s="1"/>
  <c r="I72" i="23" s="1"/>
  <c r="I73" i="23" s="1"/>
  <c r="I74" i="23" s="1"/>
  <c r="I75" i="23" s="1"/>
  <c r="I76" i="23" s="1"/>
  <c r="I77" i="23" s="1"/>
  <c r="I78" i="23" s="1"/>
  <c r="I79" i="23" s="1"/>
  <c r="I80" i="23" s="1"/>
  <c r="I81" i="23" s="1"/>
  <c r="I82" i="23" s="1"/>
  <c r="I83" i="23" s="1"/>
  <c r="I84" i="23" s="1"/>
  <c r="I85" i="23" s="1"/>
  <c r="I86" i="23" s="1"/>
  <c r="I87" i="23" s="1"/>
  <c r="I88" i="23" s="1"/>
  <c r="I89" i="23" s="1"/>
  <c r="I90" i="23" s="1"/>
  <c r="I91" i="23" s="1"/>
  <c r="I92" i="23" s="1"/>
  <c r="I93" i="23" s="1"/>
  <c r="I94" i="23" s="1"/>
  <c r="I95" i="23" s="1"/>
  <c r="I96" i="23" s="1"/>
  <c r="I97" i="23" s="1"/>
  <c r="I98" i="23" s="1"/>
  <c r="I99" i="23" s="1"/>
  <c r="I100" i="23" s="1"/>
  <c r="I101" i="23" s="1"/>
  <c r="I102" i="23" s="1"/>
  <c r="I103" i="23" s="1"/>
  <c r="I104" i="23" s="1"/>
  <c r="I105" i="23" s="1"/>
  <c r="I106" i="23" s="1"/>
  <c r="I107" i="23" s="1"/>
  <c r="I108" i="23" s="1"/>
  <c r="I109" i="23" s="1"/>
  <c r="I110" i="23" s="1"/>
  <c r="I111" i="23" s="1"/>
  <c r="I112" i="23" s="1"/>
  <c r="I113" i="23" s="1"/>
  <c r="I114" i="23" s="1"/>
  <c r="I115" i="23" s="1"/>
  <c r="I116" i="23" s="1"/>
  <c r="I117" i="23" s="1"/>
  <c r="I118" i="23" s="1"/>
  <c r="I119" i="23" s="1"/>
  <c r="I120" i="23" s="1"/>
  <c r="I121" i="23" s="1"/>
  <c r="I122" i="23" s="1"/>
  <c r="I123" i="23" s="1"/>
  <c r="I124" i="23" s="1"/>
  <c r="I125" i="23" s="1"/>
  <c r="I126" i="23" s="1"/>
  <c r="I127" i="23" s="1"/>
  <c r="I128" i="23" s="1"/>
  <c r="I129" i="23" s="1"/>
  <c r="I130" i="23" s="1"/>
  <c r="M20" i="5"/>
  <c r="N20" i="5"/>
  <c r="N15" i="5"/>
  <c r="M15" i="5"/>
  <c r="N10" i="5"/>
  <c r="M10" i="5"/>
  <c r="L29" i="7"/>
  <c r="H14" i="5"/>
  <c r="AH16" i="13"/>
  <c r="B14" i="55" s="1"/>
  <c r="N12" i="4"/>
  <c r="N23" i="4"/>
  <c r="AJ20" i="16"/>
  <c r="L18" i="55" s="1"/>
  <c r="N24" i="4"/>
  <c r="M29" i="64"/>
  <c r="N11" i="64"/>
  <c r="N23" i="64"/>
  <c r="M29" i="63"/>
  <c r="AH10" i="62"/>
  <c r="M8" i="55" s="1"/>
  <c r="AH22" i="62"/>
  <c r="M20" i="55" s="1"/>
  <c r="AH36" i="62"/>
  <c r="L17" i="64"/>
  <c r="AH21" i="62"/>
  <c r="M19" i="55" s="1"/>
  <c r="N12" i="64"/>
  <c r="W18" i="19"/>
  <c r="W19" i="19" s="1"/>
  <c r="W20" i="19" s="1"/>
  <c r="W21" i="19" s="1"/>
  <c r="W22" i="19" s="1"/>
  <c r="F5" i="55"/>
  <c r="N19" i="5"/>
  <c r="M19" i="5"/>
  <c r="N14" i="64"/>
  <c r="B7" i="64"/>
  <c r="AH9" i="62"/>
  <c r="M7" i="55" s="1"/>
  <c r="M22" i="63"/>
  <c r="AH52" i="62"/>
  <c r="N22" i="4"/>
  <c r="AH23" i="62"/>
  <c r="M21" i="55" s="1"/>
  <c r="N29" i="10"/>
  <c r="E18" i="23"/>
  <c r="E19" i="23" s="1"/>
  <c r="E20" i="23" s="1"/>
  <c r="E21" i="23" s="1"/>
  <c r="E22" i="23" s="1"/>
  <c r="E23" i="23" s="1"/>
  <c r="E24" i="23" s="1"/>
  <c r="E25" i="23" s="1"/>
  <c r="E26" i="23" s="1"/>
  <c r="E27" i="23" s="1"/>
  <c r="E28" i="23" s="1"/>
  <c r="E29" i="23" s="1"/>
  <c r="E30" i="23" s="1"/>
  <c r="E31" i="23" s="1"/>
  <c r="E32" i="23" s="1"/>
  <c r="E33" i="23" s="1"/>
  <c r="E34" i="23" s="1"/>
  <c r="E35" i="23" s="1"/>
  <c r="E36" i="23" s="1"/>
  <c r="E37" i="23" s="1"/>
  <c r="E38" i="23" s="1"/>
  <c r="E39" i="23" s="1"/>
  <c r="E40" i="23" s="1"/>
  <c r="E41" i="23" s="1"/>
  <c r="E42" i="23" s="1"/>
  <c r="E43" i="23" s="1"/>
  <c r="E44" i="23" s="1"/>
  <c r="E45" i="23" s="1"/>
  <c r="E46" i="23" s="1"/>
  <c r="E47" i="23" s="1"/>
  <c r="E48" i="23" s="1"/>
  <c r="E49" i="23" s="1"/>
  <c r="E50" i="23" s="1"/>
  <c r="E51" i="23" s="1"/>
  <c r="E52" i="23" s="1"/>
  <c r="E53" i="23" s="1"/>
  <c r="E54" i="23" s="1"/>
  <c r="E55" i="23" s="1"/>
  <c r="E56" i="23" s="1"/>
  <c r="E57" i="23" s="1"/>
  <c r="E58" i="23" s="1"/>
  <c r="E59" i="23" s="1"/>
  <c r="E60" i="23" s="1"/>
  <c r="E61" i="23" s="1"/>
  <c r="E62" i="23" s="1"/>
  <c r="E63" i="23" s="1"/>
  <c r="E64" i="23" s="1"/>
  <c r="E65" i="23" s="1"/>
  <c r="E66" i="23" s="1"/>
  <c r="E67" i="23" s="1"/>
  <c r="E68" i="23" s="1"/>
  <c r="E69" i="23" s="1"/>
  <c r="E70" i="23" s="1"/>
  <c r="E71" i="23" s="1"/>
  <c r="E72" i="23" s="1"/>
  <c r="E73" i="23" s="1"/>
  <c r="E74" i="23" s="1"/>
  <c r="E75" i="23" s="1"/>
  <c r="E76" i="23" s="1"/>
  <c r="E77" i="23" s="1"/>
  <c r="E78" i="23" s="1"/>
  <c r="E79" i="23" s="1"/>
  <c r="E80" i="23" s="1"/>
  <c r="E81" i="23" s="1"/>
  <c r="E82" i="23" s="1"/>
  <c r="E83" i="23" s="1"/>
  <c r="E84" i="23" s="1"/>
  <c r="E85" i="23" s="1"/>
  <c r="E86" i="23" s="1"/>
  <c r="E87" i="23" s="1"/>
  <c r="E88" i="23" s="1"/>
  <c r="E89" i="23" s="1"/>
  <c r="E90" i="23" s="1"/>
  <c r="E91" i="23" s="1"/>
  <c r="E92" i="23" s="1"/>
  <c r="E93" i="23" s="1"/>
  <c r="E94" i="23" s="1"/>
  <c r="E95" i="23" s="1"/>
  <c r="E96" i="23" s="1"/>
  <c r="E97" i="23" s="1"/>
  <c r="E98" i="23" s="1"/>
  <c r="E99" i="23" s="1"/>
  <c r="E100" i="23" s="1"/>
  <c r="E101" i="23" s="1"/>
  <c r="E102" i="23" s="1"/>
  <c r="E103" i="23" s="1"/>
  <c r="E104" i="23" s="1"/>
  <c r="E105" i="23" s="1"/>
  <c r="E106" i="23" s="1"/>
  <c r="E107" i="23" s="1"/>
  <c r="E108" i="23" s="1"/>
  <c r="E109" i="23" s="1"/>
  <c r="E110" i="23" s="1"/>
  <c r="E111" i="23" s="1"/>
  <c r="E112" i="23" s="1"/>
  <c r="E113" i="23" s="1"/>
  <c r="E114" i="23" s="1"/>
  <c r="E115" i="23" s="1"/>
  <c r="E116" i="23" s="1"/>
  <c r="E117" i="23" s="1"/>
  <c r="E118" i="23" s="1"/>
  <c r="E119" i="23" s="1"/>
  <c r="E120" i="23" s="1"/>
  <c r="E121" i="23" s="1"/>
  <c r="E122" i="23" s="1"/>
  <c r="E123" i="23" s="1"/>
  <c r="E124" i="23" s="1"/>
  <c r="E125" i="23" s="1"/>
  <c r="E126" i="23" s="1"/>
  <c r="E127" i="23" s="1"/>
  <c r="E128" i="23" s="1"/>
  <c r="E129" i="23" s="1"/>
  <c r="E130" i="23" s="1"/>
  <c r="N9" i="8"/>
  <c r="L10" i="3"/>
  <c r="N12" i="8"/>
  <c r="N23" i="8"/>
  <c r="O6" i="65"/>
  <c r="O18" i="65"/>
  <c r="AH15" i="62"/>
  <c r="M13" i="55" s="1"/>
  <c r="AH19" i="62"/>
  <c r="M17" i="55" s="1"/>
  <c r="M9" i="65"/>
  <c r="O21" i="65"/>
  <c r="O30" i="65" s="1"/>
  <c r="AH17" i="62"/>
  <c r="M15" i="55" s="1"/>
  <c r="M7" i="65"/>
  <c r="O23" i="65"/>
  <c r="AH12" i="62"/>
  <c r="M10" i="55" s="1"/>
  <c r="AH24" i="62"/>
  <c r="M22" i="55" s="1"/>
  <c r="AH28" i="13"/>
  <c r="L21" i="1"/>
  <c r="AI7" i="14"/>
  <c r="D5" i="55" s="1"/>
  <c r="N7" i="5"/>
  <c r="M7" i="5"/>
  <c r="N6" i="5"/>
  <c r="M6" i="5"/>
  <c r="N22" i="64"/>
  <c r="AH8" i="13"/>
  <c r="B6" i="55" s="1"/>
  <c r="M18" i="63"/>
  <c r="N11" i="8"/>
  <c r="N25" i="4"/>
  <c r="N29" i="7"/>
  <c r="N4" i="1"/>
  <c r="L29" i="6"/>
  <c r="AH18" i="62"/>
  <c r="M16" i="55" s="1"/>
  <c r="AG48" i="62"/>
  <c r="AD52" i="19"/>
  <c r="AD53" i="19" s="1"/>
  <c r="AD54" i="19" s="1"/>
  <c r="AD55" i="19" s="1"/>
  <c r="AH8" i="62"/>
  <c r="M6" i="55" s="1"/>
  <c r="W23" i="19"/>
  <c r="W24" i="19" s="1"/>
  <c r="W25" i="19" s="1"/>
  <c r="W26" i="19" s="1"/>
  <c r="W27" i="19" s="1"/>
  <c r="W28" i="19" s="1"/>
  <c r="W29" i="19" s="1"/>
  <c r="W30" i="19" s="1"/>
  <c r="W31" i="19" s="1"/>
  <c r="W32" i="19" s="1"/>
  <c r="W33" i="19" s="1"/>
  <c r="W34" i="19" s="1"/>
  <c r="W35" i="19" s="1"/>
  <c r="W36" i="19" s="1"/>
  <c r="W37" i="19" s="1"/>
  <c r="W38" i="19" s="1"/>
  <c r="W39" i="19" s="1"/>
  <c r="W40" i="19" s="1"/>
  <c r="W41" i="19" s="1"/>
  <c r="W42" i="19" s="1"/>
  <c r="W43" i="19" s="1"/>
  <c r="W44" i="19" s="1"/>
  <c r="W45" i="19" s="1"/>
  <c r="W46" i="19" s="1"/>
  <c r="W47" i="19" s="1"/>
  <c r="W48" i="19" s="1"/>
  <c r="W49" i="19" s="1"/>
  <c r="W50" i="19" s="1"/>
  <c r="W51" i="19" s="1"/>
  <c r="W52" i="19" s="1"/>
  <c r="W53" i="19" s="1"/>
  <c r="W54" i="19" s="1"/>
  <c r="W55" i="19" s="1"/>
  <c r="W56" i="19" s="1"/>
  <c r="W57" i="19" s="1"/>
  <c r="W58" i="19" s="1"/>
  <c r="W59" i="19" s="1"/>
  <c r="W60" i="19" s="1"/>
  <c r="W61" i="19" s="1"/>
  <c r="W62" i="19" s="1"/>
  <c r="W63" i="19" s="1"/>
  <c r="W64" i="19" s="1"/>
  <c r="W65" i="19" s="1"/>
  <c r="W66" i="19" s="1"/>
  <c r="W67" i="19" s="1"/>
  <c r="W68" i="19" s="1"/>
  <c r="W69" i="19" s="1"/>
  <c r="W70" i="19" s="1"/>
  <c r="W71" i="19" s="1"/>
  <c r="W72" i="19" s="1"/>
  <c r="W73" i="19" s="1"/>
  <c r="W74" i="19" s="1"/>
  <c r="W75" i="19" s="1"/>
  <c r="W76" i="19" s="1"/>
  <c r="W77" i="19" s="1"/>
  <c r="W78" i="19" s="1"/>
  <c r="W79" i="19" s="1"/>
  <c r="W80" i="19" s="1"/>
  <c r="W81" i="19" s="1"/>
  <c r="W82" i="19" s="1"/>
  <c r="W83" i="19" s="1"/>
  <c r="W84" i="19" s="1"/>
  <c r="W85" i="19" s="1"/>
  <c r="W86" i="19" s="1"/>
  <c r="W87" i="19" s="1"/>
  <c r="W88" i="19" s="1"/>
  <c r="W89" i="19" s="1"/>
  <c r="W90" i="19" s="1"/>
  <c r="W91" i="19" s="1"/>
  <c r="W92" i="19" s="1"/>
  <c r="W93" i="19" s="1"/>
  <c r="W94" i="19" s="1"/>
  <c r="W95" i="19" s="1"/>
  <c r="W96" i="19" s="1"/>
  <c r="W97" i="19" s="1"/>
  <c r="W98" i="19" s="1"/>
  <c r="W99" i="19" s="1"/>
  <c r="W100" i="19" s="1"/>
  <c r="W101" i="19" s="1"/>
  <c r="W102" i="19" s="1"/>
  <c r="W103" i="19" s="1"/>
  <c r="W104" i="19" s="1"/>
  <c r="W105" i="19" s="1"/>
  <c r="W106" i="19" s="1"/>
  <c r="W107" i="19" s="1"/>
  <c r="W108" i="19" s="1"/>
  <c r="W109" i="19" s="1"/>
  <c r="W110" i="19" s="1"/>
  <c r="W111" i="19" s="1"/>
  <c r="W112" i="19" s="1"/>
  <c r="W113" i="19" s="1"/>
  <c r="W114" i="19" s="1"/>
  <c r="W115" i="19" s="1"/>
  <c r="W116" i="19" s="1"/>
  <c r="W117" i="19" s="1"/>
  <c r="W118" i="19" s="1"/>
  <c r="W119" i="19" s="1"/>
  <c r="W120" i="19" s="1"/>
  <c r="W121" i="19" s="1"/>
  <c r="W122" i="19" s="1"/>
  <c r="W123" i="19" s="1"/>
  <c r="W124" i="19" s="1"/>
  <c r="W125" i="19" s="1"/>
  <c r="W126" i="19" s="1"/>
  <c r="W127" i="19" s="1"/>
  <c r="W128" i="19" s="1"/>
  <c r="W129" i="19" s="1"/>
  <c r="W130" i="19" s="1"/>
  <c r="W131" i="19" s="1"/>
  <c r="W132" i="19" s="1"/>
  <c r="W133" i="19" s="1"/>
  <c r="W134" i="19" s="1"/>
  <c r="W135" i="19" s="1"/>
  <c r="W136" i="19" s="1"/>
  <c r="W137" i="19" s="1"/>
  <c r="W138" i="19" s="1"/>
  <c r="W139" i="19" s="1"/>
  <c r="W140" i="19" s="1"/>
  <c r="W141" i="19" s="1"/>
  <c r="W142" i="19" s="1"/>
  <c r="W143" i="19" s="1"/>
  <c r="W144" i="19" s="1"/>
  <c r="W145" i="19" s="1"/>
  <c r="W146" i="19" s="1"/>
  <c r="W147" i="19" s="1"/>
  <c r="W148" i="19" s="1"/>
  <c r="W149" i="19" s="1"/>
  <c r="W150" i="19" s="1"/>
  <c r="W151" i="19" s="1"/>
  <c r="W152" i="19" s="1"/>
  <c r="W153" i="19" s="1"/>
  <c r="W154" i="19" s="1"/>
  <c r="W155" i="19" s="1"/>
  <c r="W156" i="19" s="1"/>
  <c r="W157" i="19" s="1"/>
  <c r="W158" i="19" s="1"/>
  <c r="W159" i="19" s="1"/>
  <c r="W160" i="19" s="1"/>
  <c r="W161" i="19" s="1"/>
  <c r="W162" i="19" s="1"/>
  <c r="W163" i="19" s="1"/>
  <c r="W164" i="19" s="1"/>
  <c r="W165" i="19" s="1"/>
  <c r="W166" i="19" s="1"/>
  <c r="W167" i="19" s="1"/>
  <c r="W168" i="19" s="1"/>
  <c r="W169" i="19" s="1"/>
  <c r="W170" i="19" s="1"/>
  <c r="W171" i="19" s="1"/>
  <c r="W172" i="19" s="1"/>
  <c r="W173" i="19" s="1"/>
  <c r="W174" i="19" s="1"/>
  <c r="W175" i="19" s="1"/>
  <c r="W176" i="19" s="1"/>
  <c r="W177" i="19" s="1"/>
  <c r="W178" i="19" s="1"/>
  <c r="W179" i="19" s="1"/>
  <c r="W180" i="19" s="1"/>
  <c r="W181" i="19" s="1"/>
  <c r="W182" i="19" s="1"/>
  <c r="W183" i="19" s="1"/>
  <c r="W184" i="19" s="1"/>
  <c r="W185" i="19" s="1"/>
  <c r="W186" i="19" s="1"/>
  <c r="W187" i="19" s="1"/>
  <c r="W188" i="19" s="1"/>
  <c r="W189" i="19" s="1"/>
  <c r="W190" i="19" s="1"/>
  <c r="W191" i="19" s="1"/>
  <c r="W192" i="19" s="1"/>
  <c r="W193" i="19" s="1"/>
  <c r="W194" i="19" s="1"/>
  <c r="W195" i="19" s="1"/>
  <c r="W196" i="19" s="1"/>
  <c r="W197" i="19" s="1"/>
  <c r="W198" i="19" s="1"/>
  <c r="W199" i="19" s="1"/>
  <c r="W200" i="19" s="1"/>
  <c r="W201" i="19" s="1"/>
  <c r="W202" i="19" s="1"/>
  <c r="W203" i="19" s="1"/>
  <c r="W204" i="19" s="1"/>
  <c r="W205" i="19" s="1"/>
  <c r="W206" i="19" s="1"/>
  <c r="W207" i="19" s="1"/>
  <c r="W208" i="19" s="1"/>
  <c r="W209" i="19" s="1"/>
  <c r="W210" i="19" s="1"/>
  <c r="W211" i="19" s="1"/>
  <c r="W212" i="19" s="1"/>
  <c r="W213" i="19" s="1"/>
  <c r="W214" i="19" s="1"/>
  <c r="W215" i="19" s="1"/>
  <c r="W216" i="19" s="1"/>
  <c r="W217" i="19" s="1"/>
  <c r="W218" i="19" s="1"/>
  <c r="W219" i="19" s="1"/>
  <c r="W220" i="19" s="1"/>
  <c r="W221" i="19" s="1"/>
  <c r="W222" i="19" s="1"/>
  <c r="W223" i="19" s="1"/>
  <c r="W224" i="19" s="1"/>
  <c r="W225" i="19" s="1"/>
  <c r="W226" i="19" s="1"/>
  <c r="W227" i="19" s="1"/>
  <c r="W228" i="19" s="1"/>
  <c r="W229" i="19" s="1"/>
  <c r="W230" i="19" s="1"/>
  <c r="W231" i="19" s="1"/>
  <c r="W232" i="19" s="1"/>
  <c r="W233" i="19" s="1"/>
  <c r="W234" i="19" s="1"/>
  <c r="W235" i="19" s="1"/>
  <c r="W236" i="19" s="1"/>
  <c r="W237" i="19" s="1"/>
  <c r="W238" i="19" s="1"/>
  <c r="W239" i="19" s="1"/>
  <c r="W240" i="19" s="1"/>
  <c r="W241" i="19" s="1"/>
  <c r="W242" i="19" s="1"/>
  <c r="W243" i="19" s="1"/>
  <c r="W244" i="19" s="1"/>
  <c r="W245" i="19" s="1"/>
  <c r="W246" i="19" s="1"/>
  <c r="W247" i="19" s="1"/>
  <c r="W248" i="19" s="1"/>
  <c r="W249" i="19" s="1"/>
  <c r="W250" i="19" s="1"/>
  <c r="W251" i="19" s="1"/>
  <c r="W252" i="19" s="1"/>
  <c r="W253" i="19" s="1"/>
  <c r="W254" i="19" s="1"/>
  <c r="W255" i="19" s="1"/>
  <c r="W256" i="19" s="1"/>
  <c r="W257" i="19" s="1"/>
  <c r="W258" i="19" s="1"/>
  <c r="AH7" i="13"/>
  <c r="B5" i="55" s="1"/>
  <c r="W119" i="23"/>
  <c r="W120" i="23" s="1"/>
  <c r="W121" i="23" s="1"/>
  <c r="W122" i="23" s="1"/>
  <c r="W123" i="23" s="1"/>
  <c r="W124" i="23" s="1"/>
  <c r="W125" i="23" s="1"/>
  <c r="W126" i="23" s="1"/>
  <c r="W127" i="23" s="1"/>
  <c r="W128" i="23" s="1"/>
  <c r="W129" i="23" s="1"/>
  <c r="W130" i="23" s="1"/>
  <c r="L16" i="19"/>
  <c r="L17" i="19" s="1"/>
  <c r="L18" i="19" s="1"/>
  <c r="L19" i="19" s="1"/>
  <c r="L20" i="19" s="1"/>
  <c r="L21" i="19" s="1"/>
  <c r="L22" i="19" s="1"/>
  <c r="L23" i="19" s="1"/>
  <c r="L24" i="19" s="1"/>
  <c r="L25" i="19" s="1"/>
  <c r="L26" i="19" s="1"/>
  <c r="L27" i="19" s="1"/>
  <c r="L28" i="19" s="1"/>
  <c r="L29" i="19" s="1"/>
  <c r="L30" i="19" s="1"/>
  <c r="L31" i="19" s="1"/>
  <c r="L32" i="19" s="1"/>
  <c r="L33" i="19" s="1"/>
  <c r="L34" i="19" s="1"/>
  <c r="L35" i="19" s="1"/>
  <c r="L36" i="19" s="1"/>
  <c r="L37" i="19" s="1"/>
  <c r="L38" i="19" s="1"/>
  <c r="L39" i="19" s="1"/>
  <c r="L40" i="19" s="1"/>
  <c r="L41" i="19" s="1"/>
  <c r="L42" i="19" s="1"/>
  <c r="L43" i="19" s="1"/>
  <c r="L44" i="19" s="1"/>
  <c r="L45" i="19" s="1"/>
  <c r="L46" i="19" s="1"/>
  <c r="L47" i="19" s="1"/>
  <c r="L48" i="19" s="1"/>
  <c r="L49" i="19" s="1"/>
  <c r="L50" i="19" s="1"/>
  <c r="L51" i="19" s="1"/>
  <c r="L52" i="19" s="1"/>
  <c r="L53" i="19" s="1"/>
  <c r="L54" i="19" s="1"/>
  <c r="L55" i="19" s="1"/>
  <c r="L56" i="19" s="1"/>
  <c r="L57" i="19" s="1"/>
  <c r="L58" i="19" s="1"/>
  <c r="L59" i="19" s="1"/>
  <c r="L60" i="19" s="1"/>
  <c r="L61" i="19" s="1"/>
  <c r="L62" i="19" s="1"/>
  <c r="L63" i="19" s="1"/>
  <c r="L64" i="19" s="1"/>
  <c r="L65" i="19" s="1"/>
  <c r="L66" i="19" s="1"/>
  <c r="L67" i="19" s="1"/>
  <c r="L68" i="19" s="1"/>
  <c r="L69" i="19" s="1"/>
  <c r="L70" i="19" s="1"/>
  <c r="L71" i="19" s="1"/>
  <c r="L72" i="19" s="1"/>
  <c r="L73" i="19" s="1"/>
  <c r="L74" i="19" s="1"/>
  <c r="L75" i="19" s="1"/>
  <c r="L76" i="19" s="1"/>
  <c r="L77" i="19" s="1"/>
  <c r="L78" i="19" s="1"/>
  <c r="L79" i="19" s="1"/>
  <c r="L80" i="19" s="1"/>
  <c r="L81" i="19" s="1"/>
  <c r="L82" i="19" s="1"/>
  <c r="L83" i="19" s="1"/>
  <c r="L84" i="19" s="1"/>
  <c r="L85" i="19" s="1"/>
  <c r="L86" i="19" s="1"/>
  <c r="L87" i="19" s="1"/>
  <c r="L88" i="19" s="1"/>
  <c r="L89" i="19" s="1"/>
  <c r="L90" i="19" s="1"/>
  <c r="L91" i="19" s="1"/>
  <c r="L92" i="19" s="1"/>
  <c r="L93" i="19" s="1"/>
  <c r="L94" i="19" s="1"/>
  <c r="L95" i="19" s="1"/>
  <c r="L96" i="19" s="1"/>
  <c r="L97" i="19" s="1"/>
  <c r="L98" i="19" s="1"/>
  <c r="L99" i="19" s="1"/>
  <c r="L100" i="19" s="1"/>
  <c r="L101" i="19" s="1"/>
  <c r="L102" i="19" s="1"/>
  <c r="L103" i="19" s="1"/>
  <c r="L104" i="19" s="1"/>
  <c r="L105" i="19" s="1"/>
  <c r="L106" i="19" s="1"/>
  <c r="L107" i="19" s="1"/>
  <c r="L108" i="19" s="1"/>
  <c r="L109" i="19" s="1"/>
  <c r="L110" i="19" s="1"/>
  <c r="L111" i="19" s="1"/>
  <c r="L112" i="19" s="1"/>
  <c r="L113" i="19" s="1"/>
  <c r="L114" i="19" s="1"/>
  <c r="L115" i="19" s="1"/>
  <c r="L116" i="19" s="1"/>
  <c r="L117" i="19" s="1"/>
  <c r="L118" i="19" s="1"/>
  <c r="L119" i="19" s="1"/>
  <c r="L120" i="19" s="1"/>
  <c r="L121" i="19" s="1"/>
  <c r="L122" i="19" s="1"/>
  <c r="L123" i="19" s="1"/>
  <c r="L124" i="19" s="1"/>
  <c r="L125" i="19" s="1"/>
  <c r="L126" i="19" s="1"/>
  <c r="L127" i="19" s="1"/>
  <c r="L128" i="19" s="1"/>
  <c r="L129" i="19" s="1"/>
  <c r="L130" i="19" s="1"/>
  <c r="L131" i="19" s="1"/>
  <c r="L132" i="19" s="1"/>
  <c r="L133" i="19" s="1"/>
  <c r="L134" i="19" s="1"/>
  <c r="L135" i="19" s="1"/>
  <c r="L136" i="19" s="1"/>
  <c r="L137" i="19" s="1"/>
  <c r="L138" i="19" s="1"/>
  <c r="L139" i="19" s="1"/>
  <c r="L140" i="19" s="1"/>
  <c r="L141" i="19" s="1"/>
  <c r="L142" i="19" s="1"/>
  <c r="L143" i="19" s="1"/>
  <c r="L144" i="19" s="1"/>
  <c r="L145" i="19" s="1"/>
  <c r="L146" i="19" s="1"/>
  <c r="L147" i="19" s="1"/>
  <c r="L148" i="19" s="1"/>
  <c r="L149" i="19" s="1"/>
  <c r="L150" i="19" s="1"/>
  <c r="L151" i="19" s="1"/>
  <c r="L152" i="19" s="1"/>
  <c r="L153" i="19" s="1"/>
  <c r="L154" i="19" s="1"/>
  <c r="L155" i="19" s="1"/>
  <c r="L156" i="19" s="1"/>
  <c r="L157" i="19" s="1"/>
  <c r="L158" i="19" s="1"/>
  <c r="L159" i="19" s="1"/>
  <c r="L160" i="19" s="1"/>
  <c r="L161" i="19" s="1"/>
  <c r="L162" i="19" s="1"/>
  <c r="L163" i="19" s="1"/>
  <c r="L164" i="19" s="1"/>
  <c r="L165" i="19" s="1"/>
  <c r="L166" i="19" s="1"/>
  <c r="L167" i="19" s="1"/>
  <c r="L168" i="19" s="1"/>
  <c r="L169" i="19" s="1"/>
  <c r="L170" i="19" s="1"/>
  <c r="L171" i="19" s="1"/>
  <c r="L172" i="19" s="1"/>
  <c r="L173" i="19" s="1"/>
  <c r="L174" i="19" s="1"/>
  <c r="L175" i="19" s="1"/>
  <c r="L176" i="19" s="1"/>
  <c r="L177" i="19" s="1"/>
  <c r="L178" i="19" s="1"/>
  <c r="L179" i="19" s="1"/>
  <c r="L180" i="19" s="1"/>
  <c r="L181" i="19" s="1"/>
  <c r="L182" i="19" s="1"/>
  <c r="L183" i="19" s="1"/>
  <c r="L184" i="19" s="1"/>
  <c r="L185" i="19" s="1"/>
  <c r="L186" i="19" s="1"/>
  <c r="L187" i="19" s="1"/>
  <c r="L188" i="19" s="1"/>
  <c r="L189" i="19" s="1"/>
  <c r="L190" i="19" s="1"/>
  <c r="L191" i="19" s="1"/>
  <c r="L192" i="19" s="1"/>
  <c r="L193" i="19" s="1"/>
  <c r="L194" i="19" s="1"/>
  <c r="L195" i="19" s="1"/>
  <c r="L196" i="19" s="1"/>
  <c r="L197" i="19" s="1"/>
  <c r="L198" i="19" s="1"/>
  <c r="L199" i="19" s="1"/>
  <c r="L200" i="19" s="1"/>
  <c r="L201" i="19" s="1"/>
  <c r="L202" i="19" s="1"/>
  <c r="L203" i="19" s="1"/>
  <c r="L204" i="19" s="1"/>
  <c r="L205" i="19" s="1"/>
  <c r="L206" i="19" s="1"/>
  <c r="L207" i="19" s="1"/>
  <c r="L208" i="19" s="1"/>
  <c r="L209" i="19" s="1"/>
  <c r="L210" i="19" s="1"/>
  <c r="L211" i="19" s="1"/>
  <c r="L212" i="19" s="1"/>
  <c r="L213" i="19" s="1"/>
  <c r="L214" i="19" s="1"/>
  <c r="L215" i="19" s="1"/>
  <c r="L216" i="19" s="1"/>
  <c r="L217" i="19" s="1"/>
  <c r="L218" i="19" s="1"/>
  <c r="L219" i="19" s="1"/>
  <c r="L220" i="19" s="1"/>
  <c r="L221" i="19" s="1"/>
  <c r="L222" i="19" s="1"/>
  <c r="L223" i="19" s="1"/>
  <c r="L224" i="19" s="1"/>
  <c r="L225" i="19" s="1"/>
  <c r="L226" i="19" s="1"/>
  <c r="L227" i="19" s="1"/>
  <c r="L228" i="19" s="1"/>
  <c r="L229" i="19" s="1"/>
  <c r="L230" i="19" s="1"/>
  <c r="L231" i="19" s="1"/>
  <c r="L232" i="19" s="1"/>
  <c r="L233" i="19" s="1"/>
  <c r="L234" i="19" s="1"/>
  <c r="L235" i="19" s="1"/>
  <c r="L236" i="19" s="1"/>
  <c r="L237" i="19" s="1"/>
  <c r="L238" i="19" s="1"/>
  <c r="L239" i="19" s="1"/>
  <c r="L240" i="19" s="1"/>
  <c r="L241" i="19" s="1"/>
  <c r="L242" i="19" s="1"/>
  <c r="L243" i="19" s="1"/>
  <c r="L244" i="19" s="1"/>
  <c r="L245" i="19" s="1"/>
  <c r="L246" i="19" s="1"/>
  <c r="L247" i="19" s="1"/>
  <c r="L248" i="19" s="1"/>
  <c r="L249" i="19" s="1"/>
  <c r="L250" i="19" s="1"/>
  <c r="L251" i="19" s="1"/>
  <c r="L252" i="19" s="1"/>
  <c r="L253" i="19" s="1"/>
  <c r="L254" i="19" s="1"/>
  <c r="L255" i="19" s="1"/>
  <c r="L256" i="19" s="1"/>
  <c r="L257" i="19" s="1"/>
  <c r="L258" i="19" s="1"/>
  <c r="M11" i="5"/>
  <c r="N11" i="5"/>
  <c r="M9" i="5"/>
  <c r="N9" i="5"/>
  <c r="N18" i="64"/>
  <c r="N20" i="1"/>
  <c r="L20" i="1"/>
  <c r="N25" i="1"/>
  <c r="L25" i="1"/>
  <c r="L18" i="1"/>
  <c r="N18" i="1"/>
  <c r="N12" i="1"/>
  <c r="L12" i="1"/>
  <c r="N5" i="55"/>
  <c r="AI32" i="62"/>
  <c r="O5" i="55" s="1"/>
  <c r="S19" i="19"/>
  <c r="S20" i="19" s="1"/>
  <c r="S21" i="19" s="1"/>
  <c r="S22" i="19" s="1"/>
  <c r="S23" i="19" s="1"/>
  <c r="S24" i="19" s="1"/>
  <c r="S25" i="19" s="1"/>
  <c r="S26" i="19" s="1"/>
  <c r="S27" i="19" s="1"/>
  <c r="S28" i="19" s="1"/>
  <c r="S29" i="19" s="1"/>
  <c r="S30" i="19" s="1"/>
  <c r="S31" i="19" s="1"/>
  <c r="S32" i="19" s="1"/>
  <c r="S33" i="19" s="1"/>
  <c r="S34" i="19" s="1"/>
  <c r="S35" i="19" s="1"/>
  <c r="P23" i="19"/>
  <c r="P24" i="19" s="1"/>
  <c r="P25" i="19" s="1"/>
  <c r="P26" i="19" s="1"/>
  <c r="P27" i="19" s="1"/>
  <c r="P28" i="19" s="1"/>
  <c r="P29" i="19" s="1"/>
  <c r="P30" i="19" s="1"/>
  <c r="P31" i="19" s="1"/>
  <c r="P32" i="19" s="1"/>
  <c r="P33" i="19" s="1"/>
  <c r="P34" i="19" s="1"/>
  <c r="P35" i="19" s="1"/>
  <c r="P36" i="19" s="1"/>
  <c r="P37" i="19" s="1"/>
  <c r="P38" i="19" s="1"/>
  <c r="P39" i="19" s="1"/>
  <c r="P40" i="19" s="1"/>
  <c r="P41" i="19" s="1"/>
  <c r="P42" i="19" s="1"/>
  <c r="P43" i="19" s="1"/>
  <c r="P44" i="19" s="1"/>
  <c r="P45" i="19" s="1"/>
  <c r="P46" i="19" s="1"/>
  <c r="P47" i="19" s="1"/>
  <c r="P48" i="19" s="1"/>
  <c r="P49" i="19" s="1"/>
  <c r="P50" i="19" s="1"/>
  <c r="P51" i="19" s="1"/>
  <c r="P52" i="19" s="1"/>
  <c r="P53" i="19" s="1"/>
  <c r="P54" i="19" s="1"/>
  <c r="P55" i="19" s="1"/>
  <c r="P56" i="19" s="1"/>
  <c r="P57" i="19" s="1"/>
  <c r="P58" i="19" s="1"/>
  <c r="P59" i="19" s="1"/>
  <c r="P60" i="19" s="1"/>
  <c r="P61" i="19" s="1"/>
  <c r="P62" i="19" s="1"/>
  <c r="P63" i="19" s="1"/>
  <c r="P64" i="19" s="1"/>
  <c r="P65" i="19" s="1"/>
  <c r="P66" i="19" s="1"/>
  <c r="P67" i="19" s="1"/>
  <c r="P68" i="19" s="1"/>
  <c r="P69" i="19" s="1"/>
  <c r="P70" i="19" s="1"/>
  <c r="P71" i="19" s="1"/>
  <c r="P72" i="19" s="1"/>
  <c r="P73" i="19" s="1"/>
  <c r="P74" i="19" s="1"/>
  <c r="P75" i="19" s="1"/>
  <c r="P76" i="19" s="1"/>
  <c r="P77" i="19" s="1"/>
  <c r="P78" i="19" s="1"/>
  <c r="P79" i="19" s="1"/>
  <c r="P80" i="19" s="1"/>
  <c r="P81" i="19" s="1"/>
  <c r="P82" i="19" s="1"/>
  <c r="P83" i="19" s="1"/>
  <c r="P84" i="19" s="1"/>
  <c r="P85" i="19" s="1"/>
  <c r="P86" i="19" s="1"/>
  <c r="P87" i="19" s="1"/>
  <c r="P88" i="19" s="1"/>
  <c r="P89" i="19" s="1"/>
  <c r="P90" i="19" s="1"/>
  <c r="P91" i="19" s="1"/>
  <c r="P92" i="19" s="1"/>
  <c r="P93" i="19" s="1"/>
  <c r="P94" i="19" s="1"/>
  <c r="P95" i="19" s="1"/>
  <c r="P96" i="19" s="1"/>
  <c r="P97" i="19" s="1"/>
  <c r="P98" i="19" s="1"/>
  <c r="P99" i="19" s="1"/>
  <c r="P100" i="19" s="1"/>
  <c r="P101" i="19" s="1"/>
  <c r="P102" i="19" s="1"/>
  <c r="P103" i="19" s="1"/>
  <c r="P104" i="19" s="1"/>
  <c r="P105" i="19" s="1"/>
  <c r="P106" i="19" s="1"/>
  <c r="P107" i="19" s="1"/>
  <c r="P108" i="19" s="1"/>
  <c r="P109" i="19" s="1"/>
  <c r="P110" i="19" s="1"/>
  <c r="P111" i="19" s="1"/>
  <c r="P112" i="19" s="1"/>
  <c r="P113" i="19" s="1"/>
  <c r="P114" i="19" s="1"/>
  <c r="P115" i="19" s="1"/>
  <c r="P116" i="19" s="1"/>
  <c r="P117" i="19" s="1"/>
  <c r="P118" i="19" s="1"/>
  <c r="P119" i="19" s="1"/>
  <c r="P120" i="19" s="1"/>
  <c r="P121" i="19" s="1"/>
  <c r="P122" i="19" s="1"/>
  <c r="P123" i="19" s="1"/>
  <c r="P124" i="19" s="1"/>
  <c r="P125" i="19" s="1"/>
  <c r="P126" i="19" s="1"/>
  <c r="P127" i="19" s="1"/>
  <c r="P128" i="19" s="1"/>
  <c r="P129" i="19" s="1"/>
  <c r="P130" i="19" s="1"/>
  <c r="P131" i="19" s="1"/>
  <c r="P132" i="19" s="1"/>
  <c r="P133" i="19" s="1"/>
  <c r="P134" i="19" s="1"/>
  <c r="P135" i="19" s="1"/>
  <c r="P136" i="19" s="1"/>
  <c r="P137" i="19" s="1"/>
  <c r="P138" i="19" s="1"/>
  <c r="P139" i="19" s="1"/>
  <c r="P140" i="19" s="1"/>
  <c r="P141" i="19" s="1"/>
  <c r="P142" i="19" s="1"/>
  <c r="P143" i="19" s="1"/>
  <c r="P144" i="19" s="1"/>
  <c r="P145" i="19" s="1"/>
  <c r="P146" i="19" s="1"/>
  <c r="P147" i="19" s="1"/>
  <c r="P148" i="19" s="1"/>
  <c r="P149" i="19" s="1"/>
  <c r="P150" i="19" s="1"/>
  <c r="P151" i="19" s="1"/>
  <c r="P152" i="19" s="1"/>
  <c r="P153" i="19" s="1"/>
  <c r="P154" i="19" s="1"/>
  <c r="P155" i="19" s="1"/>
  <c r="P156" i="19" s="1"/>
  <c r="P157" i="19" s="1"/>
  <c r="P158" i="19" s="1"/>
  <c r="P159" i="19" s="1"/>
  <c r="P160" i="19" s="1"/>
  <c r="P161" i="19" s="1"/>
  <c r="P162" i="19" s="1"/>
  <c r="P163" i="19" s="1"/>
  <c r="P164" i="19" s="1"/>
  <c r="P165" i="19" s="1"/>
  <c r="P166" i="19" s="1"/>
  <c r="P167" i="19" s="1"/>
  <c r="P168" i="19" s="1"/>
  <c r="P169" i="19" s="1"/>
  <c r="P170" i="19" s="1"/>
  <c r="P171" i="19" s="1"/>
  <c r="P172" i="19" s="1"/>
  <c r="P173" i="19" s="1"/>
  <c r="P174" i="19" s="1"/>
  <c r="P175" i="19" s="1"/>
  <c r="P176" i="19" s="1"/>
  <c r="P177" i="19" s="1"/>
  <c r="P178" i="19" s="1"/>
  <c r="P179" i="19" s="1"/>
  <c r="P180" i="19" s="1"/>
  <c r="P181" i="19" s="1"/>
  <c r="P182" i="19" s="1"/>
  <c r="P183" i="19" s="1"/>
  <c r="P184" i="19" s="1"/>
  <c r="P185" i="19" s="1"/>
  <c r="P186" i="19" s="1"/>
  <c r="P187" i="19" s="1"/>
  <c r="P188" i="19" s="1"/>
  <c r="P189" i="19" s="1"/>
  <c r="P190" i="19" s="1"/>
  <c r="P191" i="19" s="1"/>
  <c r="P192" i="19" s="1"/>
  <c r="P193" i="19" s="1"/>
  <c r="P194" i="19" s="1"/>
  <c r="P195" i="19" s="1"/>
  <c r="P196" i="19" s="1"/>
  <c r="P197" i="19" s="1"/>
  <c r="P198" i="19" s="1"/>
  <c r="P199" i="19" s="1"/>
  <c r="P200" i="19" s="1"/>
  <c r="P201" i="19" s="1"/>
  <c r="P202" i="19" s="1"/>
  <c r="P203" i="19" s="1"/>
  <c r="P204" i="19" s="1"/>
  <c r="P205" i="19" s="1"/>
  <c r="P206" i="19" s="1"/>
  <c r="P207" i="19" s="1"/>
  <c r="P208" i="19" s="1"/>
  <c r="P209" i="19" s="1"/>
  <c r="P210" i="19" s="1"/>
  <c r="P211" i="19" s="1"/>
  <c r="P212" i="19" s="1"/>
  <c r="P213" i="19" s="1"/>
  <c r="P214" i="19" s="1"/>
  <c r="P215" i="19" s="1"/>
  <c r="P216" i="19" s="1"/>
  <c r="P217" i="19" s="1"/>
  <c r="P218" i="19" s="1"/>
  <c r="P219" i="19" s="1"/>
  <c r="P220" i="19" s="1"/>
  <c r="P221" i="19" s="1"/>
  <c r="P222" i="19" s="1"/>
  <c r="P223" i="19" s="1"/>
  <c r="P224" i="19" s="1"/>
  <c r="P225" i="19" s="1"/>
  <c r="P226" i="19" s="1"/>
  <c r="P227" i="19" s="1"/>
  <c r="P228" i="19" s="1"/>
  <c r="P229" i="19" s="1"/>
  <c r="P230" i="19" s="1"/>
  <c r="P231" i="19" s="1"/>
  <c r="P232" i="19" s="1"/>
  <c r="P233" i="19" s="1"/>
  <c r="P234" i="19" s="1"/>
  <c r="P235" i="19" s="1"/>
  <c r="P236" i="19" s="1"/>
  <c r="P237" i="19" s="1"/>
  <c r="P238" i="19" s="1"/>
  <c r="P239" i="19" s="1"/>
  <c r="P240" i="19" s="1"/>
  <c r="P241" i="19" s="1"/>
  <c r="P242" i="19" s="1"/>
  <c r="P243" i="19" s="1"/>
  <c r="P244" i="19" s="1"/>
  <c r="P245" i="19" s="1"/>
  <c r="P246" i="19" s="1"/>
  <c r="P247" i="19" s="1"/>
  <c r="P248" i="19" s="1"/>
  <c r="P249" i="19" s="1"/>
  <c r="P250" i="19" s="1"/>
  <c r="P251" i="19" s="1"/>
  <c r="P252" i="19" s="1"/>
  <c r="P253" i="19" s="1"/>
  <c r="P254" i="19" s="1"/>
  <c r="P255" i="19" s="1"/>
  <c r="P256" i="19" s="1"/>
  <c r="P257" i="19" s="1"/>
  <c r="P258" i="19" s="1"/>
  <c r="L13" i="1"/>
  <c r="N23" i="1"/>
  <c r="L23" i="1"/>
  <c r="N6" i="1"/>
  <c r="L6" i="1"/>
  <c r="S14" i="23"/>
  <c r="S15" i="23" s="1"/>
  <c r="S16" i="23" s="1"/>
  <c r="S17" i="23" s="1"/>
  <c r="S18" i="23" s="1"/>
  <c r="S19" i="23" s="1"/>
  <c r="S20" i="23" s="1"/>
  <c r="S21" i="23" s="1"/>
  <c r="S22" i="23" s="1"/>
  <c r="S23" i="23" s="1"/>
  <c r="S24" i="23" s="1"/>
  <c r="S25" i="23" s="1"/>
  <c r="S26" i="23" s="1"/>
  <c r="S27" i="23" s="1"/>
  <c r="S28" i="23" s="1"/>
  <c r="S29" i="23" s="1"/>
  <c r="S30" i="23" s="1"/>
  <c r="S31" i="23" s="1"/>
  <c r="S32" i="23" s="1"/>
  <c r="S33" i="23" s="1"/>
  <c r="S34" i="23" s="1"/>
  <c r="S35" i="23" s="1"/>
  <c r="S36" i="23" s="1"/>
  <c r="S37" i="23" s="1"/>
  <c r="S38" i="23" s="1"/>
  <c r="S39" i="23" s="1"/>
  <c r="S40" i="23" s="1"/>
  <c r="S41" i="23" s="1"/>
  <c r="S42" i="23" s="1"/>
  <c r="S43" i="23" s="1"/>
  <c r="S44" i="23" s="1"/>
  <c r="S45" i="23" s="1"/>
  <c r="S46" i="23" s="1"/>
  <c r="S47" i="23" s="1"/>
  <c r="S48" i="23" s="1"/>
  <c r="S49" i="23" s="1"/>
  <c r="S50" i="23" s="1"/>
  <c r="S51" i="23" s="1"/>
  <c r="S52" i="23" s="1"/>
  <c r="S53" i="23" s="1"/>
  <c r="S54" i="23" s="1"/>
  <c r="S55" i="23" s="1"/>
  <c r="S56" i="23" s="1"/>
  <c r="S57" i="23" s="1"/>
  <c r="S58" i="23" s="1"/>
  <c r="S59" i="23" s="1"/>
  <c r="S60" i="23" s="1"/>
  <c r="S61" i="23" s="1"/>
  <c r="S62" i="23" s="1"/>
  <c r="S63" i="23" s="1"/>
  <c r="S64" i="23" s="1"/>
  <c r="S65" i="23" s="1"/>
  <c r="S66" i="23" s="1"/>
  <c r="S67" i="23" s="1"/>
  <c r="S68" i="23" s="1"/>
  <c r="S69" i="23" s="1"/>
  <c r="S70" i="23" s="1"/>
  <c r="S71" i="23" s="1"/>
  <c r="S72" i="23" s="1"/>
  <c r="S73" i="23" s="1"/>
  <c r="S74" i="23" s="1"/>
  <c r="S75" i="23" s="1"/>
  <c r="S76" i="23" s="1"/>
  <c r="S77" i="23" s="1"/>
  <c r="S78" i="23" s="1"/>
  <c r="S79" i="23" s="1"/>
  <c r="S80" i="23" s="1"/>
  <c r="S81" i="23" s="1"/>
  <c r="S82" i="23" s="1"/>
  <c r="S83" i="23" s="1"/>
  <c r="S84" i="23" s="1"/>
  <c r="S85" i="23" s="1"/>
  <c r="S86" i="23" s="1"/>
  <c r="S87" i="23" s="1"/>
  <c r="S88" i="23" s="1"/>
  <c r="S89" i="23" s="1"/>
  <c r="S90" i="23" s="1"/>
  <c r="S91" i="23" s="1"/>
  <c r="S92" i="23" s="1"/>
  <c r="S93" i="23" s="1"/>
  <c r="S94" i="23" s="1"/>
  <c r="S95" i="23" s="1"/>
  <c r="S96" i="23" s="1"/>
  <c r="S97" i="23" s="1"/>
  <c r="S98" i="23" s="1"/>
  <c r="S99" i="23" s="1"/>
  <c r="S100" i="23" s="1"/>
  <c r="S101" i="23" s="1"/>
  <c r="S102" i="23" s="1"/>
  <c r="S103" i="23" s="1"/>
  <c r="S104" i="23" s="1"/>
  <c r="S105" i="23" s="1"/>
  <c r="S106" i="23" s="1"/>
  <c r="S107" i="23" s="1"/>
  <c r="S108" i="23" s="1"/>
  <c r="S109" i="23" s="1"/>
  <c r="S110" i="23" s="1"/>
  <c r="S111" i="23" s="1"/>
  <c r="S112" i="23" s="1"/>
  <c r="S113" i="23" s="1"/>
  <c r="S114" i="23" s="1"/>
  <c r="S115" i="23" s="1"/>
  <c r="S116" i="23" s="1"/>
  <c r="S117" i="23" s="1"/>
  <c r="S118" i="23" s="1"/>
  <c r="S119" i="23" s="1"/>
  <c r="S120" i="23" s="1"/>
  <c r="S121" i="23" s="1"/>
  <c r="S122" i="23" s="1"/>
  <c r="S123" i="23" s="1"/>
  <c r="S124" i="23" s="1"/>
  <c r="S125" i="23" s="1"/>
  <c r="S126" i="23" s="1"/>
  <c r="S127" i="23" s="1"/>
  <c r="S128" i="23" s="1"/>
  <c r="S129" i="23" s="1"/>
  <c r="S130" i="23" s="1"/>
  <c r="E67" i="19"/>
  <c r="E68" i="19" s="1"/>
  <c r="E69" i="19" s="1"/>
  <c r="E70" i="19" s="1"/>
  <c r="E71" i="19" s="1"/>
  <c r="E72" i="19" s="1"/>
  <c r="E73" i="19" s="1"/>
  <c r="E74" i="19" s="1"/>
  <c r="E75" i="19" s="1"/>
  <c r="E76" i="19" s="1"/>
  <c r="E77" i="19" s="1"/>
  <c r="E78" i="19" s="1"/>
  <c r="E79" i="19" s="1"/>
  <c r="E80" i="19" s="1"/>
  <c r="E81" i="19" s="1"/>
  <c r="E82" i="19" s="1"/>
  <c r="E83" i="19" s="1"/>
  <c r="E84" i="19" s="1"/>
  <c r="E85" i="19" s="1"/>
  <c r="E86" i="19" s="1"/>
  <c r="E87" i="19" s="1"/>
  <c r="E88" i="19" s="1"/>
  <c r="E89" i="19" s="1"/>
  <c r="E90" i="19" s="1"/>
  <c r="E91" i="19" s="1"/>
  <c r="E92" i="19" s="1"/>
  <c r="E93" i="19" s="1"/>
  <c r="E94" i="19" s="1"/>
  <c r="E95" i="19" s="1"/>
  <c r="E96" i="19" s="1"/>
  <c r="E97" i="19" s="1"/>
  <c r="E98" i="19" s="1"/>
  <c r="E99" i="19" s="1"/>
  <c r="E100" i="19" s="1"/>
  <c r="E101" i="19" s="1"/>
  <c r="E102" i="19" s="1"/>
  <c r="E103" i="19" s="1"/>
  <c r="E104" i="19" s="1"/>
  <c r="E105" i="19" s="1"/>
  <c r="E106" i="19" s="1"/>
  <c r="E107" i="19" s="1"/>
  <c r="E108" i="19" s="1"/>
  <c r="E109" i="19" s="1"/>
  <c r="E110" i="19" s="1"/>
  <c r="E111" i="19" s="1"/>
  <c r="E112" i="19" s="1"/>
  <c r="E113" i="19" s="1"/>
  <c r="E114" i="19" s="1"/>
  <c r="E115" i="19" s="1"/>
  <c r="E116" i="19" s="1"/>
  <c r="E117" i="19" s="1"/>
  <c r="E118" i="19" s="1"/>
  <c r="E119" i="19" s="1"/>
  <c r="E120" i="19" s="1"/>
  <c r="E121" i="19" s="1"/>
  <c r="E122" i="19" s="1"/>
  <c r="E123" i="19" s="1"/>
  <c r="E124" i="19" s="1"/>
  <c r="E125" i="19" s="1"/>
  <c r="E126" i="19" s="1"/>
  <c r="E127" i="19" s="1"/>
  <c r="E128" i="19" s="1"/>
  <c r="E129" i="19" s="1"/>
  <c r="E130" i="19" s="1"/>
  <c r="E131" i="19" s="1"/>
  <c r="E132" i="19" s="1"/>
  <c r="E133" i="19" s="1"/>
  <c r="E134" i="19" s="1"/>
  <c r="E135" i="19" s="1"/>
  <c r="E136" i="19" s="1"/>
  <c r="E137" i="19" s="1"/>
  <c r="E138" i="19" s="1"/>
  <c r="E139" i="19" s="1"/>
  <c r="E140" i="19" s="1"/>
  <c r="E141" i="19" s="1"/>
  <c r="E142" i="19" s="1"/>
  <c r="E143" i="19" s="1"/>
  <c r="E144" i="19" s="1"/>
  <c r="E145" i="19" s="1"/>
  <c r="E146" i="19" s="1"/>
  <c r="E147" i="19" s="1"/>
  <c r="E148" i="19" s="1"/>
  <c r="E149" i="19" s="1"/>
  <c r="E150" i="19" s="1"/>
  <c r="E151" i="19" s="1"/>
  <c r="E152" i="19" s="1"/>
  <c r="E153" i="19" s="1"/>
  <c r="E154" i="19" s="1"/>
  <c r="E155" i="19" s="1"/>
  <c r="E156" i="19" s="1"/>
  <c r="E157" i="19" s="1"/>
  <c r="E158" i="19" s="1"/>
  <c r="E159" i="19" s="1"/>
  <c r="E160" i="19" s="1"/>
  <c r="E161" i="19" s="1"/>
  <c r="E162" i="19" s="1"/>
  <c r="E163" i="19" s="1"/>
  <c r="E164" i="19" s="1"/>
  <c r="E165" i="19" s="1"/>
  <c r="E166" i="19" s="1"/>
  <c r="E167" i="19" s="1"/>
  <c r="E168" i="19" s="1"/>
  <c r="E169" i="19" s="1"/>
  <c r="E170" i="19" s="1"/>
  <c r="E171" i="19" s="1"/>
  <c r="E172" i="19" s="1"/>
  <c r="E173" i="19" s="1"/>
  <c r="E174" i="19" s="1"/>
  <c r="E175" i="19" s="1"/>
  <c r="E176" i="19" s="1"/>
  <c r="E177" i="19" s="1"/>
  <c r="E178" i="19" s="1"/>
  <c r="E179" i="19" s="1"/>
  <c r="E180" i="19" s="1"/>
  <c r="E181" i="19" s="1"/>
  <c r="E182" i="19" s="1"/>
  <c r="E183" i="19" s="1"/>
  <c r="E184" i="19" s="1"/>
  <c r="E185" i="19" s="1"/>
  <c r="E186" i="19" s="1"/>
  <c r="E187" i="19" s="1"/>
  <c r="E188" i="19" s="1"/>
  <c r="E189" i="19" s="1"/>
  <c r="E190" i="19" s="1"/>
  <c r="E191" i="19" s="1"/>
  <c r="E192" i="19" s="1"/>
  <c r="E193" i="19" s="1"/>
  <c r="E194" i="19" s="1"/>
  <c r="E195" i="19" s="1"/>
  <c r="E196" i="19" s="1"/>
  <c r="E197" i="19" s="1"/>
  <c r="E198" i="19" s="1"/>
  <c r="E199" i="19" s="1"/>
  <c r="E200" i="19" s="1"/>
  <c r="E201" i="19" s="1"/>
  <c r="E202" i="19" s="1"/>
  <c r="E203" i="19" s="1"/>
  <c r="E204" i="19" s="1"/>
  <c r="E205" i="19" s="1"/>
  <c r="E206" i="19" s="1"/>
  <c r="E207" i="19" s="1"/>
  <c r="E208" i="19" s="1"/>
  <c r="E209" i="19" s="1"/>
  <c r="E210" i="19" s="1"/>
  <c r="E211" i="19" s="1"/>
  <c r="E212" i="19" s="1"/>
  <c r="E213" i="19" s="1"/>
  <c r="E214" i="19" s="1"/>
  <c r="E215" i="19" s="1"/>
  <c r="E216" i="19" s="1"/>
  <c r="E217" i="19" s="1"/>
  <c r="E218" i="19" s="1"/>
  <c r="E219" i="19" s="1"/>
  <c r="E220" i="19" s="1"/>
  <c r="E221" i="19" s="1"/>
  <c r="E222" i="19" s="1"/>
  <c r="E223" i="19" s="1"/>
  <c r="E224" i="19" s="1"/>
  <c r="E225" i="19" s="1"/>
  <c r="E226" i="19" s="1"/>
  <c r="E227" i="19" s="1"/>
  <c r="E228" i="19" s="1"/>
  <c r="E229" i="19" s="1"/>
  <c r="E230" i="19" s="1"/>
  <c r="E231" i="19" s="1"/>
  <c r="E232" i="19" s="1"/>
  <c r="E233" i="19" s="1"/>
  <c r="E234" i="19" s="1"/>
  <c r="E235" i="19" s="1"/>
  <c r="E236" i="19" s="1"/>
  <c r="E237" i="19" s="1"/>
  <c r="E238" i="19" s="1"/>
  <c r="E239" i="19" s="1"/>
  <c r="E240" i="19" s="1"/>
  <c r="E241" i="19" s="1"/>
  <c r="E242" i="19" s="1"/>
  <c r="E243" i="19" s="1"/>
  <c r="E244" i="19" s="1"/>
  <c r="E245" i="19" s="1"/>
  <c r="E246" i="19" s="1"/>
  <c r="E247" i="19" s="1"/>
  <c r="E248" i="19" s="1"/>
  <c r="E249" i="19" s="1"/>
  <c r="E250" i="19" s="1"/>
  <c r="E251" i="19" s="1"/>
  <c r="E252" i="19" s="1"/>
  <c r="E253" i="19" s="1"/>
  <c r="E254" i="19" s="1"/>
  <c r="E255" i="19" s="1"/>
  <c r="E256" i="19" s="1"/>
  <c r="E257" i="19" s="1"/>
  <c r="E258" i="19" s="1"/>
  <c r="P11" i="23"/>
  <c r="P12" i="23" s="1"/>
  <c r="P13" i="23" s="1"/>
  <c r="P14" i="23" s="1"/>
  <c r="P15" i="23" s="1"/>
  <c r="P16" i="23" s="1"/>
  <c r="P17" i="23" s="1"/>
  <c r="P18" i="23" s="1"/>
  <c r="P19" i="23" s="1"/>
  <c r="P20" i="23" s="1"/>
  <c r="P21" i="23" s="1"/>
  <c r="P22" i="23" s="1"/>
  <c r="P23" i="23" s="1"/>
  <c r="P24" i="23" s="1"/>
  <c r="P25" i="23" s="1"/>
  <c r="P26" i="23" s="1"/>
  <c r="P27" i="23" s="1"/>
  <c r="P28" i="23" s="1"/>
  <c r="P29" i="23" s="1"/>
  <c r="P30" i="23" s="1"/>
  <c r="P31" i="23" s="1"/>
  <c r="P32" i="23" s="1"/>
  <c r="P33" i="23" s="1"/>
  <c r="P34" i="23" s="1"/>
  <c r="P35" i="23" s="1"/>
  <c r="P36" i="23" s="1"/>
  <c r="P37" i="23" s="1"/>
  <c r="P38" i="23" s="1"/>
  <c r="P39" i="23" s="1"/>
  <c r="P40" i="23" s="1"/>
  <c r="P41" i="23" s="1"/>
  <c r="P42" i="23" s="1"/>
  <c r="P43" i="23" s="1"/>
  <c r="P44" i="23" s="1"/>
  <c r="P45" i="23" s="1"/>
  <c r="P46" i="23" s="1"/>
  <c r="P47" i="23" s="1"/>
  <c r="P48" i="23" s="1"/>
  <c r="P49" i="23" s="1"/>
  <c r="P50" i="23" s="1"/>
  <c r="P51" i="23" s="1"/>
  <c r="P52" i="23" s="1"/>
  <c r="P53" i="23" s="1"/>
  <c r="P54" i="23" s="1"/>
  <c r="P55" i="23" s="1"/>
  <c r="P56" i="23" s="1"/>
  <c r="P57" i="23" s="1"/>
  <c r="P58" i="23" s="1"/>
  <c r="P59" i="23" s="1"/>
  <c r="P60" i="23" s="1"/>
  <c r="P61" i="23" s="1"/>
  <c r="P62" i="23" s="1"/>
  <c r="P63" i="23" s="1"/>
  <c r="P64" i="23" s="1"/>
  <c r="P65" i="23" s="1"/>
  <c r="P66" i="23" s="1"/>
  <c r="P67" i="23" s="1"/>
  <c r="P68" i="23" s="1"/>
  <c r="P69" i="23" s="1"/>
  <c r="P70" i="23" s="1"/>
  <c r="P71" i="23" s="1"/>
  <c r="P72" i="23" s="1"/>
  <c r="P73" i="23" s="1"/>
  <c r="P74" i="23" s="1"/>
  <c r="P75" i="23" s="1"/>
  <c r="P76" i="23" s="1"/>
  <c r="P77" i="23" s="1"/>
  <c r="P78" i="23" s="1"/>
  <c r="P79" i="23" s="1"/>
  <c r="P80" i="23" s="1"/>
  <c r="P81" i="23" s="1"/>
  <c r="P82" i="23" s="1"/>
  <c r="P83" i="23" s="1"/>
  <c r="P84" i="23" s="1"/>
  <c r="P85" i="23" s="1"/>
  <c r="P86" i="23" s="1"/>
  <c r="P87" i="23" s="1"/>
  <c r="P88" i="23" s="1"/>
  <c r="P89" i="23" s="1"/>
  <c r="P90" i="23" s="1"/>
  <c r="P91" i="23" s="1"/>
  <c r="P92" i="23" s="1"/>
  <c r="P93" i="23" s="1"/>
  <c r="P94" i="23" s="1"/>
  <c r="P95" i="23" s="1"/>
  <c r="P96" i="23" s="1"/>
  <c r="P97" i="23" s="1"/>
  <c r="P98" i="23" s="1"/>
  <c r="P99" i="23" s="1"/>
  <c r="P100" i="23" s="1"/>
  <c r="P101" i="23" s="1"/>
  <c r="P102" i="23" s="1"/>
  <c r="P103" i="23" s="1"/>
  <c r="P104" i="23" s="1"/>
  <c r="P105" i="23" s="1"/>
  <c r="P106" i="23" s="1"/>
  <c r="P107" i="23" s="1"/>
  <c r="P108" i="23" s="1"/>
  <c r="P109" i="23" s="1"/>
  <c r="P110" i="23" s="1"/>
  <c r="P111" i="23" s="1"/>
  <c r="P112" i="23" s="1"/>
  <c r="P113" i="23" s="1"/>
  <c r="P114" i="23" s="1"/>
  <c r="P115" i="23" s="1"/>
  <c r="P116" i="23" s="1"/>
  <c r="P117" i="23" s="1"/>
  <c r="P118" i="23" s="1"/>
  <c r="P119" i="23" s="1"/>
  <c r="P120" i="23" s="1"/>
  <c r="P121" i="23" s="1"/>
  <c r="P122" i="23" s="1"/>
  <c r="P123" i="23" s="1"/>
  <c r="P124" i="23" s="1"/>
  <c r="P125" i="23" s="1"/>
  <c r="P126" i="23" s="1"/>
  <c r="P127" i="23" s="1"/>
  <c r="P128" i="23" s="1"/>
  <c r="P129" i="23" s="1"/>
  <c r="P130" i="23" s="1"/>
  <c r="N21" i="55"/>
  <c r="AI48" i="62"/>
  <c r="O21" i="55" s="1"/>
  <c r="N18" i="55"/>
  <c r="AI45" i="62"/>
  <c r="O18" i="55" s="1"/>
  <c r="N10" i="55"/>
  <c r="AI37" i="62"/>
  <c r="O10" i="55" s="1"/>
  <c r="N17" i="55"/>
  <c r="AI44" i="62"/>
  <c r="O17" i="55" s="1"/>
  <c r="N9" i="55"/>
  <c r="AI36" i="62"/>
  <c r="O9" i="55" s="1"/>
  <c r="N6" i="55"/>
  <c r="AI33" i="62"/>
  <c r="O6" i="55" s="1"/>
  <c r="N22" i="55"/>
  <c r="AI49" i="62"/>
  <c r="O22" i="55" s="1"/>
  <c r="N25" i="55"/>
  <c r="AI52" i="62"/>
  <c r="O25" i="55" s="1"/>
  <c r="O28" i="12"/>
  <c r="N24" i="8"/>
  <c r="N14" i="8"/>
  <c r="N17" i="8"/>
  <c r="N9" i="4"/>
  <c r="K10" i="55"/>
  <c r="AJ12" i="16"/>
  <c r="L10" i="55" s="1"/>
  <c r="K19" i="55"/>
  <c r="AJ21" i="16"/>
  <c r="L19" i="55" s="1"/>
  <c r="K23" i="55"/>
  <c r="AJ25" i="16"/>
  <c r="L23" i="55" s="1"/>
  <c r="N16" i="4"/>
  <c r="N19" i="8"/>
  <c r="C16" i="55"/>
  <c r="AI18" i="14"/>
  <c r="D16" i="55" s="1"/>
  <c r="L12" i="3"/>
  <c r="N12" i="3"/>
  <c r="K22" i="55"/>
  <c r="AJ24" i="16"/>
  <c r="L22" i="55" s="1"/>
  <c r="C11" i="55"/>
  <c r="AI13" i="14"/>
  <c r="D11" i="55" s="1"/>
  <c r="L23" i="3"/>
  <c r="N23" i="3"/>
  <c r="AH33" i="62"/>
  <c r="L9" i="63"/>
  <c r="N9" i="63"/>
  <c r="AH49" i="62"/>
  <c r="L25" i="63"/>
  <c r="N25" i="63"/>
  <c r="F18" i="55"/>
  <c r="AI20" i="15"/>
  <c r="G18" i="55" s="1"/>
  <c r="L22" i="2"/>
  <c r="N22" i="2"/>
  <c r="L8" i="63"/>
  <c r="N8" i="63"/>
  <c r="AH48" i="62"/>
  <c r="L24" i="63"/>
  <c r="N24" i="63"/>
  <c r="F9" i="55"/>
  <c r="AI11" i="15"/>
  <c r="G9" i="55" s="1"/>
  <c r="L11" i="2"/>
  <c r="N11" i="2"/>
  <c r="F19" i="55"/>
  <c r="AI21" i="15"/>
  <c r="G19" i="55" s="1"/>
  <c r="N25" i="2"/>
  <c r="L25" i="2"/>
  <c r="M29" i="3"/>
  <c r="M28" i="3"/>
  <c r="F6" i="55"/>
  <c r="AI8" i="15"/>
  <c r="G6" i="55" s="1"/>
  <c r="N10" i="2"/>
  <c r="L10" i="2"/>
  <c r="F20" i="55"/>
  <c r="AI22" i="15"/>
  <c r="G20" i="55" s="1"/>
  <c r="F24" i="55"/>
  <c r="AI26" i="15"/>
  <c r="G24" i="55" s="1"/>
  <c r="M28" i="7"/>
  <c r="N6" i="63"/>
  <c r="L6" i="63"/>
  <c r="N10" i="63"/>
  <c r="L10" i="63"/>
  <c r="N14" i="63"/>
  <c r="L14" i="63"/>
  <c r="N18" i="63"/>
  <c r="L18" i="63"/>
  <c r="N22" i="63"/>
  <c r="L22" i="63"/>
  <c r="L7" i="2"/>
  <c r="N7" i="2"/>
  <c r="F17" i="55"/>
  <c r="AI19" i="15"/>
  <c r="G17" i="55" s="1"/>
  <c r="S36" i="19"/>
  <c r="S37" i="19" s="1"/>
  <c r="S38" i="19" s="1"/>
  <c r="S39" i="19" s="1"/>
  <c r="S40" i="19" s="1"/>
  <c r="S41" i="19" s="1"/>
  <c r="S42" i="19" s="1"/>
  <c r="S43" i="19" s="1"/>
  <c r="S44" i="19" s="1"/>
  <c r="S45" i="19" s="1"/>
  <c r="S46" i="19" s="1"/>
  <c r="S47" i="19" s="1"/>
  <c r="S48" i="19" s="1"/>
  <c r="S49" i="19" s="1"/>
  <c r="S50" i="19" s="1"/>
  <c r="S51" i="19" s="1"/>
  <c r="S52" i="19" s="1"/>
  <c r="S53" i="19" s="1"/>
  <c r="S54" i="19" s="1"/>
  <c r="S55" i="19" s="1"/>
  <c r="S56" i="19" s="1"/>
  <c r="S57" i="19" s="1"/>
  <c r="S58" i="19" s="1"/>
  <c r="S59" i="19" s="1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4" i="19" s="1"/>
  <c r="S85" i="19" s="1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S111" i="19" s="1"/>
  <c r="S112" i="19" s="1"/>
  <c r="S113" i="19" s="1"/>
  <c r="S114" i="19" s="1"/>
  <c r="S115" i="19" s="1"/>
  <c r="S116" i="19" s="1"/>
  <c r="S117" i="19" s="1"/>
  <c r="S118" i="19" s="1"/>
  <c r="S119" i="19" s="1"/>
  <c r="S120" i="19" s="1"/>
  <c r="S121" i="19" s="1"/>
  <c r="S122" i="19" s="1"/>
  <c r="S123" i="19" s="1"/>
  <c r="S124" i="19" s="1"/>
  <c r="S125" i="19" s="1"/>
  <c r="S126" i="19" s="1"/>
  <c r="S127" i="19" s="1"/>
  <c r="S128" i="19" s="1"/>
  <c r="S129" i="19" s="1"/>
  <c r="S130" i="19" s="1"/>
  <c r="S131" i="19" s="1"/>
  <c r="S132" i="19" s="1"/>
  <c r="S133" i="19" s="1"/>
  <c r="S134" i="19" s="1"/>
  <c r="S135" i="19" s="1"/>
  <c r="S136" i="19" s="1"/>
  <c r="S137" i="19" s="1"/>
  <c r="S138" i="19" s="1"/>
  <c r="S139" i="19" s="1"/>
  <c r="S140" i="19" s="1"/>
  <c r="S141" i="19" s="1"/>
  <c r="S142" i="19" s="1"/>
  <c r="S143" i="19" s="1"/>
  <c r="S144" i="19" s="1"/>
  <c r="S145" i="19" s="1"/>
  <c r="S146" i="19" s="1"/>
  <c r="S147" i="19" s="1"/>
  <c r="S148" i="19" s="1"/>
  <c r="S149" i="19" s="1"/>
  <c r="S150" i="19" s="1"/>
  <c r="S151" i="19" s="1"/>
  <c r="S152" i="19" s="1"/>
  <c r="S153" i="19" s="1"/>
  <c r="S154" i="19" s="1"/>
  <c r="S155" i="19" s="1"/>
  <c r="S156" i="19" s="1"/>
  <c r="S157" i="19" s="1"/>
  <c r="S158" i="19" s="1"/>
  <c r="S159" i="19" s="1"/>
  <c r="S160" i="19" s="1"/>
  <c r="S161" i="19" s="1"/>
  <c r="S162" i="19" s="1"/>
  <c r="S163" i="19" s="1"/>
  <c r="S164" i="19" s="1"/>
  <c r="S165" i="19" s="1"/>
  <c r="S166" i="19" s="1"/>
  <c r="S167" i="19" s="1"/>
  <c r="S168" i="19" s="1"/>
  <c r="S169" i="19" s="1"/>
  <c r="S170" i="19" s="1"/>
  <c r="S171" i="19" s="1"/>
  <c r="S172" i="19" s="1"/>
  <c r="S173" i="19" s="1"/>
  <c r="S174" i="19" s="1"/>
  <c r="S175" i="19" s="1"/>
  <c r="S176" i="19" s="1"/>
  <c r="S177" i="19" s="1"/>
  <c r="S178" i="19" s="1"/>
  <c r="S179" i="19" s="1"/>
  <c r="S180" i="19" s="1"/>
  <c r="S181" i="19" s="1"/>
  <c r="S182" i="19" s="1"/>
  <c r="S183" i="19" s="1"/>
  <c r="S184" i="19" s="1"/>
  <c r="S185" i="19" s="1"/>
  <c r="S186" i="19" s="1"/>
  <c r="S187" i="19" s="1"/>
  <c r="S188" i="19" s="1"/>
  <c r="S189" i="19" s="1"/>
  <c r="S190" i="19" s="1"/>
  <c r="S191" i="19" s="1"/>
  <c r="S192" i="19" s="1"/>
  <c r="S193" i="19" s="1"/>
  <c r="S194" i="19" s="1"/>
  <c r="S195" i="19" s="1"/>
  <c r="S196" i="19" s="1"/>
  <c r="S197" i="19" s="1"/>
  <c r="S198" i="19" s="1"/>
  <c r="S199" i="19" s="1"/>
  <c r="S200" i="19" s="1"/>
  <c r="S201" i="19" s="1"/>
  <c r="S202" i="19" s="1"/>
  <c r="S203" i="19" s="1"/>
  <c r="S204" i="19" s="1"/>
  <c r="S205" i="19" s="1"/>
  <c r="S206" i="19" s="1"/>
  <c r="S207" i="19" s="1"/>
  <c r="S208" i="19" s="1"/>
  <c r="S209" i="19" s="1"/>
  <c r="S210" i="19" s="1"/>
  <c r="S211" i="19" s="1"/>
  <c r="S212" i="19" s="1"/>
  <c r="S213" i="19" s="1"/>
  <c r="S214" i="19" s="1"/>
  <c r="S215" i="19" s="1"/>
  <c r="S216" i="19" s="1"/>
  <c r="S217" i="19" s="1"/>
  <c r="S218" i="19" s="1"/>
  <c r="S219" i="19" s="1"/>
  <c r="S220" i="19" s="1"/>
  <c r="S221" i="19" s="1"/>
  <c r="S222" i="19" s="1"/>
  <c r="S223" i="19" s="1"/>
  <c r="S224" i="19" s="1"/>
  <c r="S225" i="19" s="1"/>
  <c r="S226" i="19" s="1"/>
  <c r="S227" i="19" s="1"/>
  <c r="S228" i="19" s="1"/>
  <c r="S229" i="19" s="1"/>
  <c r="S230" i="19" s="1"/>
  <c r="S231" i="19" s="1"/>
  <c r="S232" i="19" s="1"/>
  <c r="S233" i="19" s="1"/>
  <c r="S234" i="19" s="1"/>
  <c r="S235" i="19" s="1"/>
  <c r="S236" i="19" s="1"/>
  <c r="S237" i="19" s="1"/>
  <c r="S238" i="19" s="1"/>
  <c r="S239" i="19" s="1"/>
  <c r="S240" i="19" s="1"/>
  <c r="S241" i="19" s="1"/>
  <c r="S242" i="19" s="1"/>
  <c r="S243" i="19" s="1"/>
  <c r="S244" i="19" s="1"/>
  <c r="S245" i="19" s="1"/>
  <c r="S246" i="19" s="1"/>
  <c r="S247" i="19" s="1"/>
  <c r="S248" i="19" s="1"/>
  <c r="S249" i="19" s="1"/>
  <c r="S250" i="19" s="1"/>
  <c r="S251" i="19" s="1"/>
  <c r="S252" i="19" s="1"/>
  <c r="S253" i="19" s="1"/>
  <c r="S254" i="19" s="1"/>
  <c r="S255" i="19" s="1"/>
  <c r="S256" i="19" s="1"/>
  <c r="S257" i="19" s="1"/>
  <c r="S258" i="19" s="1"/>
  <c r="M29" i="7"/>
  <c r="L28" i="5"/>
  <c r="L29" i="5"/>
  <c r="N28" i="7"/>
  <c r="H22" i="5"/>
  <c r="AH24" i="13"/>
  <c r="B22" i="55" s="1"/>
  <c r="M28" i="12"/>
  <c r="K12" i="55"/>
  <c r="AJ14" i="16"/>
  <c r="L12" i="55" s="1"/>
  <c r="N15" i="4"/>
  <c r="K16" i="55"/>
  <c r="AJ18" i="16"/>
  <c r="L16" i="55" s="1"/>
  <c r="N20" i="8"/>
  <c r="N10" i="8"/>
  <c r="K7" i="55"/>
  <c r="AJ9" i="16"/>
  <c r="L7" i="55" s="1"/>
  <c r="N17" i="4"/>
  <c r="N21" i="4"/>
  <c r="N6" i="4"/>
  <c r="N8" i="4"/>
  <c r="K9" i="55"/>
  <c r="AJ11" i="16"/>
  <c r="L9" i="55" s="1"/>
  <c r="N16" i="8"/>
  <c r="K17" i="55"/>
  <c r="AJ19" i="16"/>
  <c r="L17" i="55" s="1"/>
  <c r="L16" i="3"/>
  <c r="N16" i="3"/>
  <c r="K21" i="55"/>
  <c r="AJ23" i="16"/>
  <c r="L21" i="55" s="1"/>
  <c r="L7" i="3"/>
  <c r="N7" i="3"/>
  <c r="M28" i="65"/>
  <c r="M28" i="11"/>
  <c r="M29" i="11"/>
  <c r="L28" i="6"/>
  <c r="C9" i="55"/>
  <c r="AI11" i="14"/>
  <c r="D9" i="55" s="1"/>
  <c r="L13" i="63"/>
  <c r="N13" i="63"/>
  <c r="F8" i="55"/>
  <c r="AI10" i="15"/>
  <c r="G8" i="55" s="1"/>
  <c r="F14" i="55"/>
  <c r="AI16" i="15"/>
  <c r="G14" i="55" s="1"/>
  <c r="L18" i="2"/>
  <c r="N18" i="2"/>
  <c r="C18" i="55"/>
  <c r="AI20" i="14"/>
  <c r="D18" i="55" s="1"/>
  <c r="L12" i="63"/>
  <c r="N12" i="63"/>
  <c r="L9" i="2"/>
  <c r="N9" i="2"/>
  <c r="F15" i="55"/>
  <c r="AI17" i="15"/>
  <c r="G15" i="55" s="1"/>
  <c r="N23" i="2"/>
  <c r="L23" i="2"/>
  <c r="N22" i="3"/>
  <c r="L22" i="3"/>
  <c r="C6" i="55"/>
  <c r="AI8" i="14"/>
  <c r="D6" i="55" s="1"/>
  <c r="C10" i="55"/>
  <c r="AI12" i="14"/>
  <c r="D10" i="55" s="1"/>
  <c r="L7" i="63"/>
  <c r="N7" i="63"/>
  <c r="N11" i="63"/>
  <c r="L11" i="63"/>
  <c r="N15" i="63"/>
  <c r="L15" i="63"/>
  <c r="N19" i="63"/>
  <c r="L19" i="63"/>
  <c r="N23" i="63"/>
  <c r="L23" i="63"/>
  <c r="N6" i="2"/>
  <c r="L6" i="2"/>
  <c r="F16" i="55"/>
  <c r="AI18" i="15"/>
  <c r="G16" i="55" s="1"/>
  <c r="L20" i="2"/>
  <c r="N20" i="2"/>
  <c r="N28" i="10"/>
  <c r="AH34" i="62"/>
  <c r="AG34" i="62"/>
  <c r="AG38" i="62"/>
  <c r="AH38" i="62"/>
  <c r="AG42" i="62"/>
  <c r="AH42" i="62"/>
  <c r="AG46" i="62"/>
  <c r="AH46" i="62"/>
  <c r="AG50" i="62"/>
  <c r="AH50" i="62"/>
  <c r="F13" i="55"/>
  <c r="AI15" i="15"/>
  <c r="G13" i="55" s="1"/>
  <c r="N21" i="2"/>
  <c r="L21" i="2"/>
  <c r="Z56" i="19"/>
  <c r="Z57" i="19" s="1"/>
  <c r="Z58" i="19" s="1"/>
  <c r="Z59" i="19" s="1"/>
  <c r="Z60" i="19" s="1"/>
  <c r="Z61" i="19" s="1"/>
  <c r="Z62" i="19" s="1"/>
  <c r="Z63" i="19" s="1"/>
  <c r="Z64" i="19" s="1"/>
  <c r="Z65" i="19" s="1"/>
  <c r="Z66" i="19" s="1"/>
  <c r="Z67" i="19" s="1"/>
  <c r="Z68" i="19" s="1"/>
  <c r="Z69" i="19" s="1"/>
  <c r="Z70" i="19" s="1"/>
  <c r="Z71" i="19" s="1"/>
  <c r="Z72" i="19" s="1"/>
  <c r="Z73" i="19" s="1"/>
  <c r="Z74" i="19" s="1"/>
  <c r="Z75" i="19" s="1"/>
  <c r="Z76" i="19" s="1"/>
  <c r="Z77" i="19" s="1"/>
  <c r="Z78" i="19" s="1"/>
  <c r="L89" i="23"/>
  <c r="L90" i="23" s="1"/>
  <c r="L91" i="23" s="1"/>
  <c r="L92" i="23" s="1"/>
  <c r="L93" i="23" s="1"/>
  <c r="L94" i="23" s="1"/>
  <c r="L95" i="23" s="1"/>
  <c r="L96" i="23" s="1"/>
  <c r="L97" i="23" s="1"/>
  <c r="L98" i="23" s="1"/>
  <c r="L99" i="23" s="1"/>
  <c r="L100" i="23" s="1"/>
  <c r="L101" i="23" s="1"/>
  <c r="L102" i="23" s="1"/>
  <c r="L103" i="23" s="1"/>
  <c r="L104" i="23" s="1"/>
  <c r="L105" i="23" s="1"/>
  <c r="L106" i="23" s="1"/>
  <c r="L107" i="23" s="1"/>
  <c r="L108" i="23" s="1"/>
  <c r="L109" i="23" s="1"/>
  <c r="L110" i="23" s="1"/>
  <c r="L111" i="23" s="1"/>
  <c r="L112" i="23" s="1"/>
  <c r="L113" i="23" s="1"/>
  <c r="L114" i="23" s="1"/>
  <c r="L115" i="23" s="1"/>
  <c r="L116" i="23" s="1"/>
  <c r="L117" i="23" s="1"/>
  <c r="L118" i="23" s="1"/>
  <c r="L119" i="23" s="1"/>
  <c r="L120" i="23" s="1"/>
  <c r="L121" i="23" s="1"/>
  <c r="L122" i="23" s="1"/>
  <c r="L123" i="23" s="1"/>
  <c r="L124" i="23" s="1"/>
  <c r="L125" i="23" s="1"/>
  <c r="L126" i="23" s="1"/>
  <c r="L127" i="23" s="1"/>
  <c r="L128" i="23" s="1"/>
  <c r="L129" i="23" s="1"/>
  <c r="L130" i="23" s="1"/>
  <c r="N29" i="9"/>
  <c r="N28" i="9"/>
  <c r="L5" i="1"/>
  <c r="L28" i="1" s="1"/>
  <c r="N5" i="1"/>
  <c r="N29" i="1" s="1"/>
  <c r="H16" i="5"/>
  <c r="AH18" i="13"/>
  <c r="B16" i="55" s="1"/>
  <c r="K6" i="55"/>
  <c r="AJ8" i="16"/>
  <c r="L6" i="55" s="1"/>
  <c r="K8" i="55"/>
  <c r="AJ10" i="16"/>
  <c r="L8" i="55" s="1"/>
  <c r="N11" i="4"/>
  <c r="K15" i="55"/>
  <c r="AJ17" i="16"/>
  <c r="L15" i="55" s="1"/>
  <c r="M28" i="4"/>
  <c r="K11" i="55"/>
  <c r="AJ13" i="16"/>
  <c r="L11" i="55" s="1"/>
  <c r="N13" i="8"/>
  <c r="N6" i="8"/>
  <c r="L28" i="8"/>
  <c r="N25" i="8"/>
  <c r="M28" i="8"/>
  <c r="N8" i="8"/>
  <c r="N14" i="3"/>
  <c r="L14" i="3"/>
  <c r="C19" i="55"/>
  <c r="AI21" i="14"/>
  <c r="D19" i="55" s="1"/>
  <c r="C21" i="55"/>
  <c r="AI23" i="14"/>
  <c r="D21" i="55" s="1"/>
  <c r="O29" i="11"/>
  <c r="O28" i="11"/>
  <c r="M29" i="6"/>
  <c r="N28" i="6"/>
  <c r="N29" i="6"/>
  <c r="L17" i="63"/>
  <c r="N17" i="63"/>
  <c r="N14" i="2"/>
  <c r="L14" i="2"/>
  <c r="L16" i="63"/>
  <c r="N16" i="63"/>
  <c r="N19" i="2"/>
  <c r="L19" i="2"/>
  <c r="C14" i="55"/>
  <c r="AI16" i="14"/>
  <c r="D14" i="55" s="1"/>
  <c r="C25" i="55"/>
  <c r="AI27" i="14"/>
  <c r="D25" i="55" s="1"/>
  <c r="AH35" i="62"/>
  <c r="AG35" i="62"/>
  <c r="AG39" i="62"/>
  <c r="AH39" i="62"/>
  <c r="AG43" i="62"/>
  <c r="AH43" i="62"/>
  <c r="AG47" i="62"/>
  <c r="AH47" i="62"/>
  <c r="AG51" i="62"/>
  <c r="AH51" i="62"/>
  <c r="F10" i="55"/>
  <c r="AI12" i="15"/>
  <c r="G10" i="55" s="1"/>
  <c r="F12" i="55"/>
  <c r="AI14" i="15"/>
  <c r="G12" i="55" s="1"/>
  <c r="L16" i="2"/>
  <c r="N16" i="2"/>
  <c r="M29" i="2"/>
  <c r="C13" i="55"/>
  <c r="AI15" i="14"/>
  <c r="D13" i="55" s="1"/>
  <c r="C17" i="55"/>
  <c r="AI19" i="14"/>
  <c r="D17" i="55" s="1"/>
  <c r="N17" i="2"/>
  <c r="L17" i="2"/>
  <c r="Z79" i="19"/>
  <c r="Z80" i="19" s="1"/>
  <c r="Z81" i="19" s="1"/>
  <c r="Z82" i="19" s="1"/>
  <c r="Z83" i="19" s="1"/>
  <c r="Z84" i="19" s="1"/>
  <c r="Z85" i="19" s="1"/>
  <c r="Z86" i="19" s="1"/>
  <c r="Z87" i="19" s="1"/>
  <c r="Z88" i="19" s="1"/>
  <c r="Z89" i="19" s="1"/>
  <c r="Z90" i="19" s="1"/>
  <c r="Z91" i="19" s="1"/>
  <c r="Z92" i="19" s="1"/>
  <c r="Z93" i="19" s="1"/>
  <c r="Z94" i="19" s="1"/>
  <c r="Z95" i="19" s="1"/>
  <c r="Z96" i="19" s="1"/>
  <c r="Z97" i="19" s="1"/>
  <c r="Z98" i="19" s="1"/>
  <c r="Z99" i="19" s="1"/>
  <c r="Z100" i="19" s="1"/>
  <c r="Z101" i="19" s="1"/>
  <c r="Z102" i="19" s="1"/>
  <c r="Z103" i="19" s="1"/>
  <c r="Z104" i="19" s="1"/>
  <c r="Z105" i="19" s="1"/>
  <c r="Z106" i="19" s="1"/>
  <c r="Z107" i="19" s="1"/>
  <c r="Z108" i="19" s="1"/>
  <c r="Z109" i="19" s="1"/>
  <c r="Z110" i="19" s="1"/>
  <c r="AD56" i="19"/>
  <c r="AD57" i="19" s="1"/>
  <c r="AD58" i="19" s="1"/>
  <c r="AD59" i="19" s="1"/>
  <c r="AD60" i="19" s="1"/>
  <c r="AD61" i="19" s="1"/>
  <c r="AD62" i="19" s="1"/>
  <c r="AD63" i="19" s="1"/>
  <c r="AD64" i="19" s="1"/>
  <c r="AD65" i="19" s="1"/>
  <c r="AD66" i="19" s="1"/>
  <c r="AD67" i="19" s="1"/>
  <c r="AD68" i="19" s="1"/>
  <c r="AD69" i="19" s="1"/>
  <c r="AD70" i="19" s="1"/>
  <c r="AD71" i="19" s="1"/>
  <c r="AD72" i="19" s="1"/>
  <c r="AD73" i="19" s="1"/>
  <c r="AD74" i="19" s="1"/>
  <c r="AD75" i="19" s="1"/>
  <c r="AD76" i="19" s="1"/>
  <c r="AD77" i="19" s="1"/>
  <c r="AD78" i="19" s="1"/>
  <c r="AD79" i="19" s="1"/>
  <c r="AD80" i="19" s="1"/>
  <c r="AD81" i="19" s="1"/>
  <c r="AD82" i="19" s="1"/>
  <c r="AD83" i="19" s="1"/>
  <c r="AD84" i="19" s="1"/>
  <c r="AD85" i="19" s="1"/>
  <c r="AD86" i="19" s="1"/>
  <c r="AD87" i="19" s="1"/>
  <c r="AD88" i="19" s="1"/>
  <c r="AD89" i="19" s="1"/>
  <c r="AD90" i="19" s="1"/>
  <c r="AD91" i="19" s="1"/>
  <c r="AD92" i="19" s="1"/>
  <c r="AD93" i="19" s="1"/>
  <c r="AD94" i="19" s="1"/>
  <c r="AD95" i="19" s="1"/>
  <c r="AD96" i="19" s="1"/>
  <c r="AD97" i="19" s="1"/>
  <c r="AD98" i="19" s="1"/>
  <c r="AD99" i="19" s="1"/>
  <c r="AD100" i="19" s="1"/>
  <c r="AD101" i="19" s="1"/>
  <c r="AD102" i="19" s="1"/>
  <c r="AD103" i="19" s="1"/>
  <c r="AD104" i="19" s="1"/>
  <c r="AD105" i="19" s="1"/>
  <c r="AD106" i="19" s="1"/>
  <c r="AD107" i="19" s="1"/>
  <c r="AD108" i="19" s="1"/>
  <c r="AD109" i="19" s="1"/>
  <c r="AD110" i="19" s="1"/>
  <c r="AD111" i="19" s="1"/>
  <c r="AD112" i="19" s="1"/>
  <c r="AD113" i="19" s="1"/>
  <c r="AD114" i="19" s="1"/>
  <c r="AD115" i="19" s="1"/>
  <c r="AD116" i="19" s="1"/>
  <c r="AD117" i="19" s="1"/>
  <c r="AD118" i="19" s="1"/>
  <c r="AD119" i="19" s="1"/>
  <c r="AD120" i="19" s="1"/>
  <c r="AD121" i="19" s="1"/>
  <c r="AD122" i="19" s="1"/>
  <c r="AD123" i="19" s="1"/>
  <c r="AD124" i="19" s="1"/>
  <c r="AD125" i="19" s="1"/>
  <c r="AD126" i="19" s="1"/>
  <c r="AD127" i="19" s="1"/>
  <c r="AD128" i="19" s="1"/>
  <c r="AD129" i="19" s="1"/>
  <c r="AD130" i="19" s="1"/>
  <c r="AD131" i="19" s="1"/>
  <c r="AD132" i="19" s="1"/>
  <c r="AD133" i="19" s="1"/>
  <c r="AD134" i="19" s="1"/>
  <c r="AD135" i="19" s="1"/>
  <c r="AD136" i="19" s="1"/>
  <c r="AD137" i="19" s="1"/>
  <c r="AD138" i="19" s="1"/>
  <c r="AD139" i="19" s="1"/>
  <c r="AD140" i="19" s="1"/>
  <c r="AD141" i="19" s="1"/>
  <c r="AD142" i="19" s="1"/>
  <c r="AD143" i="19" s="1"/>
  <c r="AD144" i="19" s="1"/>
  <c r="AD145" i="19" s="1"/>
  <c r="AD146" i="19" s="1"/>
  <c r="AD147" i="19" s="1"/>
  <c r="AD148" i="19" s="1"/>
  <c r="AD149" i="19" s="1"/>
  <c r="AD150" i="19" s="1"/>
  <c r="AD151" i="19" s="1"/>
  <c r="AD152" i="19" s="1"/>
  <c r="AD153" i="19" s="1"/>
  <c r="AD154" i="19" s="1"/>
  <c r="AD155" i="19" s="1"/>
  <c r="AD156" i="19" s="1"/>
  <c r="AD157" i="19" s="1"/>
  <c r="AD158" i="19" s="1"/>
  <c r="AD159" i="19" s="1"/>
  <c r="AD160" i="19" s="1"/>
  <c r="AD161" i="19" s="1"/>
  <c r="AD162" i="19" s="1"/>
  <c r="AD163" i="19" s="1"/>
  <c r="AD164" i="19" s="1"/>
  <c r="AD165" i="19" s="1"/>
  <c r="AD166" i="19" s="1"/>
  <c r="AD167" i="19" s="1"/>
  <c r="AD168" i="19" s="1"/>
  <c r="AD169" i="19" s="1"/>
  <c r="AD170" i="19" s="1"/>
  <c r="AD171" i="19" s="1"/>
  <c r="AD172" i="19" s="1"/>
  <c r="AD173" i="19" s="1"/>
  <c r="AD174" i="19" s="1"/>
  <c r="AD175" i="19" s="1"/>
  <c r="AD176" i="19" s="1"/>
  <c r="AD177" i="19" s="1"/>
  <c r="AD178" i="19" s="1"/>
  <c r="AD179" i="19" s="1"/>
  <c r="AD180" i="19" s="1"/>
  <c r="AD181" i="19" s="1"/>
  <c r="AD182" i="19" s="1"/>
  <c r="AD183" i="19" s="1"/>
  <c r="AD184" i="19" s="1"/>
  <c r="AD185" i="19" s="1"/>
  <c r="AD186" i="19" s="1"/>
  <c r="AD187" i="19" s="1"/>
  <c r="AD188" i="19" s="1"/>
  <c r="AD189" i="19" s="1"/>
  <c r="AD190" i="19" s="1"/>
  <c r="AD191" i="19" s="1"/>
  <c r="AD192" i="19" s="1"/>
  <c r="AD193" i="19" s="1"/>
  <c r="AD194" i="19" s="1"/>
  <c r="AD195" i="19" s="1"/>
  <c r="AD196" i="19" s="1"/>
  <c r="AD197" i="19" s="1"/>
  <c r="AD198" i="19" s="1"/>
  <c r="AD199" i="19" s="1"/>
  <c r="AD200" i="19" s="1"/>
  <c r="AD201" i="19" s="1"/>
  <c r="AD202" i="19" s="1"/>
  <c r="AD203" i="19" s="1"/>
  <c r="AD204" i="19" s="1"/>
  <c r="AD205" i="19" s="1"/>
  <c r="AD206" i="19" s="1"/>
  <c r="AD207" i="19" s="1"/>
  <c r="AD208" i="19" s="1"/>
  <c r="AD209" i="19" s="1"/>
  <c r="AD210" i="19" s="1"/>
  <c r="AD211" i="19" s="1"/>
  <c r="AD212" i="19" s="1"/>
  <c r="AD213" i="19" s="1"/>
  <c r="AD214" i="19" s="1"/>
  <c r="AD215" i="19" s="1"/>
  <c r="AD216" i="19" s="1"/>
  <c r="AD217" i="19" s="1"/>
  <c r="AD218" i="19" s="1"/>
  <c r="AD219" i="19" s="1"/>
  <c r="AD220" i="19" s="1"/>
  <c r="AD221" i="19" s="1"/>
  <c r="AD222" i="19" s="1"/>
  <c r="AD223" i="19" s="1"/>
  <c r="AD224" i="19" s="1"/>
  <c r="AD225" i="19" s="1"/>
  <c r="AD226" i="19" s="1"/>
  <c r="AD227" i="19" s="1"/>
  <c r="AD228" i="19" s="1"/>
  <c r="AD229" i="19" s="1"/>
  <c r="AD230" i="19" s="1"/>
  <c r="AD231" i="19" s="1"/>
  <c r="AD232" i="19" s="1"/>
  <c r="AD233" i="19" s="1"/>
  <c r="AD234" i="19" s="1"/>
  <c r="AD235" i="19" s="1"/>
  <c r="AD236" i="19" s="1"/>
  <c r="AD237" i="19" s="1"/>
  <c r="AD238" i="19" s="1"/>
  <c r="AD239" i="19" s="1"/>
  <c r="AD240" i="19" s="1"/>
  <c r="AD241" i="19" s="1"/>
  <c r="AD242" i="19" s="1"/>
  <c r="AD243" i="19" s="1"/>
  <c r="AD244" i="19" s="1"/>
  <c r="AD245" i="19" s="1"/>
  <c r="AD246" i="19" s="1"/>
  <c r="AD247" i="19" s="1"/>
  <c r="AD248" i="19" s="1"/>
  <c r="AD249" i="19" s="1"/>
  <c r="AD250" i="19" s="1"/>
  <c r="AD251" i="19" s="1"/>
  <c r="AD252" i="19" s="1"/>
  <c r="AD253" i="19" s="1"/>
  <c r="AD254" i="19" s="1"/>
  <c r="AD255" i="19" s="1"/>
  <c r="AD256" i="19" s="1"/>
  <c r="AD257" i="19" s="1"/>
  <c r="AD258" i="19" s="1"/>
  <c r="C24" i="55"/>
  <c r="AI26" i="14"/>
  <c r="D24" i="55" s="1"/>
  <c r="N29" i="11"/>
  <c r="N28" i="11"/>
  <c r="O29" i="9"/>
  <c r="O28" i="9"/>
  <c r="M28" i="2"/>
  <c r="N28" i="12"/>
  <c r="N14" i="4"/>
  <c r="K14" i="55"/>
  <c r="AJ16" i="16"/>
  <c r="L14" i="55" s="1"/>
  <c r="K13" i="55"/>
  <c r="AJ15" i="16"/>
  <c r="L13" i="55" s="1"/>
  <c r="C15" i="55"/>
  <c r="AI17" i="14"/>
  <c r="D15" i="55" s="1"/>
  <c r="K25" i="55"/>
  <c r="AJ27" i="16"/>
  <c r="L25" i="55" s="1"/>
  <c r="L19" i="3"/>
  <c r="N19" i="3"/>
  <c r="C12" i="55"/>
  <c r="AI14" i="14"/>
  <c r="D12" i="55" s="1"/>
  <c r="C23" i="55"/>
  <c r="AI25" i="14"/>
  <c r="D23" i="55" s="1"/>
  <c r="C7" i="55"/>
  <c r="AI9" i="14"/>
  <c r="D7" i="55" s="1"/>
  <c r="N14" i="55"/>
  <c r="AI41" i="62"/>
  <c r="O14" i="55" s="1"/>
  <c r="L21" i="63"/>
  <c r="N21" i="63"/>
  <c r="N8" i="2"/>
  <c r="L8" i="2"/>
  <c r="F22" i="55"/>
  <c r="AI24" i="15"/>
  <c r="G22" i="55" s="1"/>
  <c r="O29" i="10"/>
  <c r="O28" i="10"/>
  <c r="L28" i="7"/>
  <c r="C20" i="55"/>
  <c r="AI22" i="14"/>
  <c r="D20" i="55" s="1"/>
  <c r="N13" i="55"/>
  <c r="AI40" i="62"/>
  <c r="O13" i="55" s="1"/>
  <c r="L20" i="63"/>
  <c r="N20" i="63"/>
  <c r="F11" i="55"/>
  <c r="AI13" i="15"/>
  <c r="G11" i="55" s="1"/>
  <c r="N15" i="2"/>
  <c r="L15" i="2"/>
  <c r="F23" i="55"/>
  <c r="AI25" i="15"/>
  <c r="G23" i="55" s="1"/>
  <c r="F25" i="55"/>
  <c r="AI27" i="15"/>
  <c r="G25" i="55" s="1"/>
  <c r="C22" i="55"/>
  <c r="AI24" i="14"/>
  <c r="D22" i="55" s="1"/>
  <c r="N25" i="3"/>
  <c r="L25" i="3"/>
  <c r="C8" i="55"/>
  <c r="AI10" i="14"/>
  <c r="D8" i="55" s="1"/>
  <c r="N12" i="2"/>
  <c r="L12" i="2"/>
  <c r="L24" i="2"/>
  <c r="N24" i="2"/>
  <c r="Z111" i="19"/>
  <c r="Z112" i="19" s="1"/>
  <c r="Z113" i="19" s="1"/>
  <c r="Z114" i="19" s="1"/>
  <c r="Z115" i="19" s="1"/>
  <c r="Z116" i="19" s="1"/>
  <c r="Z117" i="19" s="1"/>
  <c r="Z118" i="19" s="1"/>
  <c r="Z119" i="19" s="1"/>
  <c r="Z120" i="19" s="1"/>
  <c r="Z121" i="19" s="1"/>
  <c r="Z122" i="19" s="1"/>
  <c r="Z123" i="19" s="1"/>
  <c r="Z124" i="19" s="1"/>
  <c r="Z125" i="19" s="1"/>
  <c r="Z126" i="19" s="1"/>
  <c r="Z127" i="19" s="1"/>
  <c r="Z128" i="19" s="1"/>
  <c r="Z129" i="19" s="1"/>
  <c r="Z130" i="19" s="1"/>
  <c r="Z131" i="19" s="1"/>
  <c r="Z132" i="19" s="1"/>
  <c r="Z133" i="19" s="1"/>
  <c r="Z134" i="19" s="1"/>
  <c r="Z135" i="19" s="1"/>
  <c r="Z136" i="19" s="1"/>
  <c r="Z137" i="19" s="1"/>
  <c r="Z138" i="19" s="1"/>
  <c r="Z139" i="19" s="1"/>
  <c r="Z140" i="19" s="1"/>
  <c r="Z141" i="19" s="1"/>
  <c r="Z142" i="19" s="1"/>
  <c r="Z143" i="19" s="1"/>
  <c r="Z144" i="19" s="1"/>
  <c r="Z145" i="19" s="1"/>
  <c r="Z146" i="19" s="1"/>
  <c r="Z147" i="19" s="1"/>
  <c r="Z148" i="19" s="1"/>
  <c r="Z149" i="19" s="1"/>
  <c r="Z150" i="19" s="1"/>
  <c r="Z151" i="19" s="1"/>
  <c r="Z152" i="19" s="1"/>
  <c r="Z153" i="19" s="1"/>
  <c r="Z154" i="19" s="1"/>
  <c r="Z155" i="19" s="1"/>
  <c r="Z156" i="19" s="1"/>
  <c r="Z157" i="19" s="1"/>
  <c r="Z158" i="19" s="1"/>
  <c r="Z159" i="19" s="1"/>
  <c r="Z160" i="19" s="1"/>
  <c r="Z161" i="19" s="1"/>
  <c r="Z162" i="19" s="1"/>
  <c r="Z163" i="19" s="1"/>
  <c r="Z164" i="19" s="1"/>
  <c r="Z165" i="19" s="1"/>
  <c r="Z166" i="19" s="1"/>
  <c r="Z167" i="19" s="1"/>
  <c r="Z168" i="19" s="1"/>
  <c r="Z169" i="19" s="1"/>
  <c r="Z170" i="19" s="1"/>
  <c r="Z171" i="19" s="1"/>
  <c r="Z172" i="19" s="1"/>
  <c r="Z173" i="19" s="1"/>
  <c r="Z174" i="19" s="1"/>
  <c r="Z175" i="19" s="1"/>
  <c r="Z176" i="19" s="1"/>
  <c r="Z177" i="19" s="1"/>
  <c r="Z178" i="19" s="1"/>
  <c r="Z179" i="19" s="1"/>
  <c r="Z180" i="19" s="1"/>
  <c r="Z181" i="19" s="1"/>
  <c r="Z182" i="19" s="1"/>
  <c r="Z183" i="19" s="1"/>
  <c r="Z184" i="19" s="1"/>
  <c r="Z185" i="19" s="1"/>
  <c r="Z186" i="19" s="1"/>
  <c r="Z187" i="19" s="1"/>
  <c r="Z188" i="19" s="1"/>
  <c r="Z189" i="19" s="1"/>
  <c r="Z190" i="19" s="1"/>
  <c r="Z191" i="19" s="1"/>
  <c r="Z192" i="19" s="1"/>
  <c r="Z193" i="19" s="1"/>
  <c r="Z194" i="19" s="1"/>
  <c r="Z195" i="19" s="1"/>
  <c r="Z196" i="19" s="1"/>
  <c r="Z197" i="19" s="1"/>
  <c r="Z198" i="19" s="1"/>
  <c r="Z199" i="19" s="1"/>
  <c r="Z200" i="19" s="1"/>
  <c r="Z201" i="19" s="1"/>
  <c r="Z202" i="19" s="1"/>
  <c r="Z203" i="19" s="1"/>
  <c r="Z204" i="19" s="1"/>
  <c r="Z205" i="19" s="1"/>
  <c r="Z206" i="19" s="1"/>
  <c r="Z207" i="19" s="1"/>
  <c r="Z208" i="19" s="1"/>
  <c r="Z209" i="19" s="1"/>
  <c r="Z210" i="19" s="1"/>
  <c r="Z211" i="19" s="1"/>
  <c r="Z212" i="19" s="1"/>
  <c r="Z213" i="19" s="1"/>
  <c r="Z214" i="19" s="1"/>
  <c r="Z215" i="19" s="1"/>
  <c r="Z216" i="19" s="1"/>
  <c r="Z217" i="19" s="1"/>
  <c r="Z218" i="19" s="1"/>
  <c r="Z219" i="19" s="1"/>
  <c r="Z220" i="19" s="1"/>
  <c r="Z221" i="19" s="1"/>
  <c r="Z222" i="19" s="1"/>
  <c r="Z223" i="19" s="1"/>
  <c r="Z224" i="19" s="1"/>
  <c r="Z225" i="19" s="1"/>
  <c r="Z226" i="19" s="1"/>
  <c r="Z227" i="19" s="1"/>
  <c r="Z228" i="19" s="1"/>
  <c r="Z229" i="19" s="1"/>
  <c r="Z230" i="19" s="1"/>
  <c r="Z231" i="19" s="1"/>
  <c r="Z232" i="19" s="1"/>
  <c r="Z233" i="19" s="1"/>
  <c r="Z234" i="19" s="1"/>
  <c r="Z235" i="19" s="1"/>
  <c r="Z236" i="19" s="1"/>
  <c r="Z237" i="19" s="1"/>
  <c r="Z238" i="19" s="1"/>
  <c r="Z239" i="19" s="1"/>
  <c r="Z240" i="19" s="1"/>
  <c r="Z241" i="19" s="1"/>
  <c r="Z242" i="19" s="1"/>
  <c r="Z243" i="19" s="1"/>
  <c r="Z244" i="19" s="1"/>
  <c r="Z245" i="19" s="1"/>
  <c r="Z246" i="19" s="1"/>
  <c r="Z247" i="19" s="1"/>
  <c r="Z248" i="19" s="1"/>
  <c r="Z249" i="19" s="1"/>
  <c r="Z250" i="19" s="1"/>
  <c r="Z251" i="19" s="1"/>
  <c r="Z252" i="19" s="1"/>
  <c r="Z253" i="19" s="1"/>
  <c r="Z254" i="19" s="1"/>
  <c r="Z255" i="19" s="1"/>
  <c r="Z256" i="19" s="1"/>
  <c r="Z257" i="19" s="1"/>
  <c r="Z258" i="19" s="1"/>
  <c r="N29" i="65"/>
  <c r="F7" i="55"/>
  <c r="AI9" i="15"/>
  <c r="G7" i="55" s="1"/>
  <c r="L13" i="2"/>
  <c r="N13" i="2"/>
  <c r="F21" i="55"/>
  <c r="AI23" i="15"/>
  <c r="G21" i="55" s="1"/>
  <c r="M29" i="10"/>
  <c r="M28" i="10"/>
  <c r="N4" i="55"/>
  <c r="AI31" i="62"/>
  <c r="O4" i="55" s="1"/>
  <c r="M28" i="9"/>
  <c r="M29" i="9"/>
  <c r="L28" i="4"/>
  <c r="N7" i="64" l="1"/>
  <c r="N30" i="64" s="1"/>
  <c r="L7" i="64"/>
  <c r="L28" i="64" s="1"/>
  <c r="M14" i="5"/>
  <c r="N14" i="5"/>
  <c r="M24" i="5"/>
  <c r="N24" i="5"/>
  <c r="N28" i="1"/>
  <c r="L28" i="3"/>
  <c r="N29" i="3"/>
  <c r="L29" i="1"/>
  <c r="N20" i="55"/>
  <c r="AI47" i="62"/>
  <c r="O20" i="55" s="1"/>
  <c r="N12" i="55"/>
  <c r="AI39" i="62"/>
  <c r="O12" i="55" s="1"/>
  <c r="N19" i="55"/>
  <c r="AI46" i="62"/>
  <c r="O19" i="55" s="1"/>
  <c r="N11" i="55"/>
  <c r="AI38" i="62"/>
  <c r="O11" i="55" s="1"/>
  <c r="N22" i="5"/>
  <c r="M22" i="5"/>
  <c r="N30" i="63"/>
  <c r="N28" i="3"/>
  <c r="N8" i="55"/>
  <c r="AI35" i="62"/>
  <c r="O8" i="55" s="1"/>
  <c r="L29" i="3"/>
  <c r="N28" i="8"/>
  <c r="N7" i="55"/>
  <c r="AI34" i="62"/>
  <c r="O7" i="55" s="1"/>
  <c r="L29" i="2"/>
  <c r="L28" i="2"/>
  <c r="N24" i="55"/>
  <c r="AI51" i="62"/>
  <c r="O24" i="55" s="1"/>
  <c r="N16" i="55"/>
  <c r="AI43" i="62"/>
  <c r="O16" i="55" s="1"/>
  <c r="N16" i="5"/>
  <c r="M16" i="5"/>
  <c r="N23" i="55"/>
  <c r="AI50" i="62"/>
  <c r="O23" i="55" s="1"/>
  <c r="N15" i="55"/>
  <c r="AI42" i="62"/>
  <c r="O15" i="55" s="1"/>
  <c r="N28" i="2"/>
  <c r="N29" i="2"/>
  <c r="N28" i="4"/>
  <c r="L28" i="63"/>
  <c r="M28" i="5" l="1"/>
  <c r="M29" i="5"/>
  <c r="N29" i="5"/>
  <c r="N28" i="5"/>
</calcChain>
</file>

<file path=xl/sharedStrings.xml><?xml version="1.0" encoding="utf-8"?>
<sst xmlns="http://schemas.openxmlformats.org/spreadsheetml/2006/main" count="2904" uniqueCount="212">
  <si>
    <t>Tr¹m</t>
  </si>
  <si>
    <t>TB        5ngµy ®Çu</t>
  </si>
  <si>
    <t>TB           5 ngay cuèi</t>
  </si>
  <si>
    <t xml:space="preserve">TB           10 ngµy  </t>
  </si>
  <si>
    <t>NhiÖt ®é cao nhÊt :</t>
  </si>
  <si>
    <t>NhiÖt ®é thÊp nhÊt :</t>
  </si>
  <si>
    <t>Tm        5ngµy ®Çu</t>
  </si>
  <si>
    <t>Tm           5 ngay cuèi</t>
  </si>
  <si>
    <t xml:space="preserve">Tm TB           10 ngµy  </t>
  </si>
  <si>
    <t>Tx        5ngµy ®Çu</t>
  </si>
  <si>
    <t>Tx           5 ngay cuèi</t>
  </si>
  <si>
    <t xml:space="preserve">Tx TB           10 ngµy  </t>
  </si>
  <si>
    <t>5ng ®Çu</t>
  </si>
  <si>
    <t>5ng sau</t>
  </si>
  <si>
    <t>Tæng 10 ngµy</t>
  </si>
  <si>
    <t>L­îng m­a cao nhÊt :</t>
  </si>
  <si>
    <t xml:space="preserve">TmTB           10 ngµy  </t>
  </si>
  <si>
    <t xml:space="preserve">Tx  TB         10 ngµy  </t>
  </si>
  <si>
    <t>TB thang</t>
  </si>
  <si>
    <t>Tram</t>
  </si>
  <si>
    <t>NhiÖt ®é trung b×nh</t>
  </si>
  <si>
    <t xml:space="preserve">NhiÖt ®é tèi cao </t>
  </si>
  <si>
    <t>Tèi cao th¸ng</t>
  </si>
  <si>
    <t>Tx thang</t>
  </si>
  <si>
    <t>Tx TB thang</t>
  </si>
  <si>
    <t xml:space="preserve">NhiÖt ®é tèi thÊp </t>
  </si>
  <si>
    <t>Tm thang</t>
  </si>
  <si>
    <t>Tm TB thang</t>
  </si>
  <si>
    <t xml:space="preserve">L­îng m­a </t>
  </si>
  <si>
    <t>R thang</t>
  </si>
  <si>
    <t>songay</t>
  </si>
  <si>
    <t>mua</t>
  </si>
  <si>
    <t>Ngµy</t>
  </si>
  <si>
    <t xml:space="preserve">giê </t>
  </si>
  <si>
    <t>SumP</t>
  </si>
  <si>
    <t xml:space="preserve">P </t>
  </si>
  <si>
    <t>dP</t>
  </si>
  <si>
    <t>T</t>
  </si>
  <si>
    <t>dT</t>
  </si>
  <si>
    <t>SumT</t>
  </si>
  <si>
    <t>R</t>
  </si>
  <si>
    <t>Bso</t>
  </si>
  <si>
    <t>tb</t>
  </si>
  <si>
    <t>tm</t>
  </si>
  <si>
    <t>tx</t>
  </si>
  <si>
    <t>R24</t>
  </si>
  <si>
    <t>TRUNG GIAN</t>
  </si>
  <si>
    <t>Tm</t>
  </si>
  <si>
    <t>Tx</t>
  </si>
  <si>
    <t xml:space="preserve">Sè liÖu quan tr¾c ngµy 2 </t>
  </si>
  <si>
    <t>Sè liÖu quan tr¾c ngµy 3</t>
  </si>
  <si>
    <t xml:space="preserve">Sè liÖu quan tr¾c ngµy 4 </t>
  </si>
  <si>
    <t xml:space="preserve">Sè liÖu quan tr¾c ngµy 5 </t>
  </si>
  <si>
    <t xml:space="preserve">Sè liÖu quan tr¾c ngµy 6 </t>
  </si>
  <si>
    <t xml:space="preserve">Sè liÖu quan tr¾c ngµy 7 </t>
  </si>
  <si>
    <t xml:space="preserve">Sè liÖu quan tr¾c ngµy 8 </t>
  </si>
  <si>
    <t xml:space="preserve">Sè liÖu quan tr¾c ngµy 9 </t>
  </si>
  <si>
    <t xml:space="preserve">Sè liÖu quan tr¾c ngµy 10 </t>
  </si>
  <si>
    <t xml:space="preserve">Sè liÖu quan tr¾c ngµy 11 </t>
  </si>
  <si>
    <t xml:space="preserve">Sè liÖu quan tr¾c ngµy 12 </t>
  </si>
  <si>
    <t xml:space="preserve">Sè liÖu quan tr¾c ngµy 13 </t>
  </si>
  <si>
    <t xml:space="preserve">Sè liÖu quan tr¾c ngµy 14 </t>
  </si>
  <si>
    <t xml:space="preserve">Sè liÖu quan tr¾c ngµy 15 </t>
  </si>
  <si>
    <t xml:space="preserve">Sè liÖu quan tr¾c ngµy 16 </t>
  </si>
  <si>
    <t xml:space="preserve">Sè liÖu quan tr¾c ngµy 17 </t>
  </si>
  <si>
    <t xml:space="preserve">Sè liÖu quan tr¾c ngµy 18 </t>
  </si>
  <si>
    <t>Sè liÖu quan tr¾c ngµy 19</t>
  </si>
  <si>
    <t>Sè liÖu quan tr¾c ngµy 20</t>
  </si>
  <si>
    <t>Sè liÖu quan tr¾c ngµy 21</t>
  </si>
  <si>
    <t xml:space="preserve">Sè liÖu quan tr¾c ngµy 22 </t>
  </si>
  <si>
    <t xml:space="preserve">Sè liÖu quan tr¾c ngµy 23 </t>
  </si>
  <si>
    <t xml:space="preserve">Sè liÖu quan tr¾c ngµy 24 </t>
  </si>
  <si>
    <t xml:space="preserve">Sè liÖu quan tr¾c ngµy 25 </t>
  </si>
  <si>
    <t xml:space="preserve">Sè liÖu quan tr¾c ngµy 26 </t>
  </si>
  <si>
    <t xml:space="preserve">Sè liÖu quan tr¾c ngµy 27 </t>
  </si>
  <si>
    <t>Sè liÖu quan tr¾c ngµy 28</t>
  </si>
  <si>
    <t xml:space="preserve">Sè liÖu quan tr¾c ngµy 29 </t>
  </si>
  <si>
    <t xml:space="preserve">Sè liÖu quan tr¾c ngµy 30 </t>
  </si>
  <si>
    <t xml:space="preserve">Sè liÖu quan tr¾c ngµy 31 </t>
  </si>
  <si>
    <t>T tb</t>
  </si>
  <si>
    <t>Tx tb</t>
  </si>
  <si>
    <t>Tm tb</t>
  </si>
  <si>
    <t xml:space="preserve">sè ngµy
m­a </t>
  </si>
  <si>
    <t>dd-ff</t>
  </si>
  <si>
    <t>ng Tx</t>
  </si>
  <si>
    <t>ng Tm</t>
  </si>
  <si>
    <t>Rx</t>
  </si>
  <si>
    <t>ng Rx</t>
  </si>
  <si>
    <t>ngay</t>
  </si>
  <si>
    <t>Um</t>
  </si>
  <si>
    <t>Utb</t>
  </si>
  <si>
    <t>Dé am tuong doi</t>
  </si>
  <si>
    <t>U thang</t>
  </si>
  <si>
    <t>U tb</t>
  </si>
  <si>
    <t>Dé am tuong doi thap nhat</t>
  </si>
  <si>
    <t>Um tb</t>
  </si>
  <si>
    <t>UTBm</t>
  </si>
  <si>
    <t>ng Utbm</t>
  </si>
  <si>
    <t>Um TB</t>
  </si>
  <si>
    <t>ng Um</t>
  </si>
  <si>
    <t>Um        5ngµy ®Çu</t>
  </si>
  <si>
    <t>Um           5 ngay cuèi</t>
  </si>
  <si>
    <t xml:space="preserve">U TB           10 ngµy  </t>
  </si>
  <si>
    <t>§é Èm thÊp nhÊt tuyÖt ®èi :</t>
  </si>
  <si>
    <t>§é Èm trung b×nh thÊp nhÊt :</t>
  </si>
  <si>
    <t>Ap Cao Bang</t>
  </si>
  <si>
    <t>Ap That Khe</t>
  </si>
  <si>
    <t>Ap Lang Son</t>
  </si>
  <si>
    <t>Ap Bac Giang</t>
  </si>
  <si>
    <t>Ap Mong Cai</t>
  </si>
  <si>
    <t>Ap Bai Chay</t>
  </si>
  <si>
    <t>Ap Phu Lien</t>
  </si>
  <si>
    <t>NhiÖt ®é trung b×nh tõ ngµy  1 - 10</t>
  </si>
  <si>
    <t>NhiÖt ®é trung b×nh tõ ngµy  11 - 20</t>
  </si>
  <si>
    <t>NhiÖt ®é thÊp nhÊt tõ ngµy  1 - 10</t>
  </si>
  <si>
    <t>NhiÖt ®é thÊp nhÊt tõ ngµy  11 - 20</t>
  </si>
  <si>
    <t>NhiÖt ®é cao nhÊt tõ ngµy  1 - 10</t>
  </si>
  <si>
    <t>NhiÖt ®é cao nhÊt tõ ngµy  11 - 20</t>
  </si>
  <si>
    <t>L­îng m­a tõ ngµy  1 - 10</t>
  </si>
  <si>
    <t>L­îng m­a tõ ngµy  11 - 20</t>
  </si>
  <si>
    <t>®é Èm trung b×nh tõ ngµy  1 - 10</t>
  </si>
  <si>
    <t>®é Èm trung b×nh tõ ngµy  11 - 20</t>
  </si>
  <si>
    <t>§Æc tr­ng c¸c yÕu tè khÝ t­îng t¹i c¸c tr¹m</t>
  </si>
  <si>
    <t>P</t>
  </si>
  <si>
    <t>U %</t>
  </si>
  <si>
    <t>V V</t>
  </si>
  <si>
    <t xml:space="preserve"> Tm</t>
  </si>
  <si>
    <t>Nh / N</t>
  </si>
  <si>
    <t>Thanh Hoá</t>
  </si>
  <si>
    <t>Yên Định</t>
  </si>
  <si>
    <t>Hồi Xuân</t>
  </si>
  <si>
    <t>Như Xuân</t>
  </si>
  <si>
    <t>Tĩnh Gia</t>
  </si>
  <si>
    <t>Bái Thượng</t>
  </si>
  <si>
    <t>Sầm Sơn</t>
  </si>
  <si>
    <t>Vinh</t>
  </si>
  <si>
    <t>Đô Lương</t>
  </si>
  <si>
    <t>Tây Hiếu</t>
  </si>
  <si>
    <t>Quỳ Châu</t>
  </si>
  <si>
    <t>Quỳ Hợp</t>
  </si>
  <si>
    <t>Quỳnh Lưu</t>
  </si>
  <si>
    <t>Con Cuông</t>
  </si>
  <si>
    <t>Hòn Ngư</t>
  </si>
  <si>
    <t>Tương Dương</t>
  </si>
  <si>
    <t>Hà Tĩnh</t>
  </si>
  <si>
    <t>Kỳ Anh</t>
  </si>
  <si>
    <t>Hương Sơn</t>
  </si>
  <si>
    <t>Hương Khê</t>
  </si>
  <si>
    <t>48/67</t>
  </si>
  <si>
    <t>48/70</t>
  </si>
  <si>
    <t>48/72</t>
  </si>
  <si>
    <t>48/69</t>
  </si>
  <si>
    <t>48/68</t>
  </si>
  <si>
    <t>48/80</t>
  </si>
  <si>
    <t>48/76</t>
  </si>
  <si>
    <t>48/74</t>
  </si>
  <si>
    <t>48/75</t>
  </si>
  <si>
    <t>48/77</t>
  </si>
  <si>
    <t>48/79</t>
  </si>
  <si>
    <t>48/81</t>
  </si>
  <si>
    <t>48/86</t>
  </si>
  <si>
    <t>48/82</t>
  </si>
  <si>
    <t>48/84</t>
  </si>
  <si>
    <t>Tg.Dương</t>
  </si>
  <si>
    <t>Sè liÖu Èm, ¸p</t>
  </si>
  <si>
    <t>1. Thanh Hoa</t>
  </si>
  <si>
    <t>2. Hoi Xuan</t>
  </si>
  <si>
    <t>2, Hoi Xuan</t>
  </si>
  <si>
    <t>3, Vinh</t>
  </si>
  <si>
    <t>4, HaTinh</t>
  </si>
  <si>
    <t xml:space="preserve">  Tx           5 ngµy ®Çu</t>
  </si>
  <si>
    <t xml:space="preserve">  Tm           5 ngµy ®Çu</t>
  </si>
  <si>
    <t xml:space="preserve">  Ttb           5 ngµy ®Çu</t>
  </si>
  <si>
    <t xml:space="preserve">  Um           5 ngµy ®Çu</t>
  </si>
  <si>
    <t>NhiÖt ®é trung b×nh tõ ngµy 21 - 31</t>
  </si>
  <si>
    <t>NhiÖt ®é thÊp nhÊt tõ ngµy  21 - 31</t>
  </si>
  <si>
    <t>NhiÖt ®é cao nhÊt tõ ngµy  21 - 31</t>
  </si>
  <si>
    <t>L­îng m­a tõ ngµy  21 - 31</t>
  </si>
  <si>
    <t>®é Èm trung b×nh tõ ngµy  21 - 31</t>
  </si>
  <si>
    <t xml:space="preserve">  Ttb           6 ngµy cuèi</t>
  </si>
  <si>
    <t xml:space="preserve">T tb           11 ngµy  </t>
  </si>
  <si>
    <t xml:space="preserve">  Tm           6 ngµy cuèi</t>
  </si>
  <si>
    <t xml:space="preserve">Tm TB           11 ngµy  </t>
  </si>
  <si>
    <t xml:space="preserve">  Tx           6 ngµy cuèi</t>
  </si>
  <si>
    <t xml:space="preserve">Tx TB           11 ngµy  </t>
  </si>
  <si>
    <t>6ng sau</t>
  </si>
  <si>
    <t>Tæng 11 ngµy</t>
  </si>
  <si>
    <t xml:space="preserve">  Um           6 ngµy cuèi</t>
  </si>
  <si>
    <t xml:space="preserve">U TB           11 ngµy  </t>
  </si>
  <si>
    <t>48/66</t>
  </si>
  <si>
    <t>48/73</t>
  </si>
  <si>
    <t>Hoành Sơn</t>
  </si>
  <si>
    <t>Nga Sơn</t>
  </si>
  <si>
    <t>Số liệu ẩm, áp</t>
  </si>
  <si>
    <t>Số Liệu Quan Trắc Ngày 1</t>
  </si>
  <si>
    <t>Trạm</t>
  </si>
  <si>
    <t>Mã Số</t>
  </si>
  <si>
    <t>48842</t>
  </si>
  <si>
    <t>Thanh Hóa</t>
  </si>
  <si>
    <t>48840</t>
  </si>
  <si>
    <t>Qùy Châu</t>
  </si>
  <si>
    <t>48844</t>
  </si>
  <si>
    <t>Qùy Hợp</t>
  </si>
  <si>
    <t>48845</t>
  </si>
  <si>
    <t>48846</t>
  </si>
  <si>
    <t>Nhiệt độ</t>
  </si>
  <si>
    <t>Lượng mưa</t>
  </si>
  <si>
    <t>Hướng Gió và Tốc Độ Gió</t>
  </si>
  <si>
    <t>Tb</t>
  </si>
  <si>
    <t>Độ Ẩm</t>
  </si>
  <si>
    <t>Phần mây</t>
  </si>
  <si>
    <t>Áp suất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</si>
</sst>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5">
    <font>
      <sz val="8"/>
      <name val=".VnArial"/>
    </font>
    <font>
      <sz val="8"/>
      <name val=".VnArial"/>
      <family val="2"/>
    </font>
    <font>
      <sz val="10"/>
      <name val=".VnArial"/>
      <family val="2"/>
    </font>
    <font>
      <sz val="8"/>
      <name val=".VnArialH"/>
      <family val="2"/>
    </font>
    <font>
      <sz val="10"/>
      <name val=".VnTime"/>
      <family val="2"/>
    </font>
    <font>
      <b/>
      <sz val="12"/>
      <name val=".VnAvantH"/>
    </font>
    <font>
      <sz val="11"/>
      <name val=".VnArial"/>
      <family val="2"/>
    </font>
    <font>
      <sz val="12"/>
      <name val=".VnArial"/>
      <family val="2"/>
    </font>
    <font>
      <b/>
      <sz val="12"/>
      <name val=".VnAvantH"/>
      <family val="2"/>
    </font>
    <font>
      <b/>
      <sz val="10"/>
      <name val=".VnAvantH"/>
    </font>
    <font>
      <b/>
      <sz val="8"/>
      <name val=".VnArial"/>
      <family val="2"/>
    </font>
    <font>
      <b/>
      <sz val="11"/>
      <color indexed="12"/>
      <name val=".VnAvantH"/>
      <family val="2"/>
    </font>
    <font>
      <sz val="12"/>
      <name val="Times New Roman"/>
      <family val="1"/>
    </font>
    <font>
      <sz val="13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8"/>
      <name val="Arial"/>
      <family val="2"/>
    </font>
    <font>
      <b/>
      <sz val="11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color indexed="8"/>
      <name val="Arial"/>
      <family val="2"/>
    </font>
    <font>
      <b/>
      <sz val="8"/>
      <color indexed="8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1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/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ouble">
        <color indexed="64"/>
      </right>
      <top style="hair">
        <color indexed="64"/>
      </top>
      <bottom style="double">
        <color indexed="64"/>
      </bottom>
      <diagonal/>
    </border>
  </borders>
  <cellStyleXfs count="6">
    <xf numFmtId="164" fontId="0" fillId="0" borderId="0">
      <alignment horizontal="right" vertical="center"/>
    </xf>
    <xf numFmtId="0" fontId="1" fillId="0" borderId="0"/>
    <xf numFmtId="0" fontId="1" fillId="0" borderId="0"/>
    <xf numFmtId="164" fontId="1" fillId="0" borderId="0">
      <alignment horizontal="center" vertical="center"/>
    </xf>
    <xf numFmtId="0" fontId="1" fillId="0" borderId="0"/>
    <xf numFmtId="0" fontId="1" fillId="0" borderId="0"/>
  </cellStyleXfs>
  <cellXfs count="538">
    <xf numFmtId="164" fontId="0" fillId="0" borderId="0" xfId="0">
      <alignment horizontal="right" vertical="center"/>
    </xf>
    <xf numFmtId="0" fontId="1" fillId="0" borderId="0" xfId="4"/>
    <xf numFmtId="0" fontId="1" fillId="0" borderId="0" xfId="2"/>
    <xf numFmtId="0" fontId="1" fillId="0" borderId="0" xfId="2" applyNumberFormat="1"/>
    <xf numFmtId="164" fontId="2" fillId="0" borderId="0" xfId="3" applyFont="1" applyAlignment="1">
      <alignment horizontal="centerContinuous"/>
    </xf>
    <xf numFmtId="164" fontId="1" fillId="0" borderId="0" xfId="3">
      <alignment horizontal="center" vertical="center"/>
    </xf>
    <xf numFmtId="164" fontId="2" fillId="0" borderId="0" xfId="3" applyFont="1">
      <alignment horizontal="center" vertical="center"/>
    </xf>
    <xf numFmtId="164" fontId="1" fillId="0" borderId="0" xfId="5" quotePrefix="1" applyNumberFormat="1" applyFont="1" applyBorder="1"/>
    <xf numFmtId="0" fontId="3" fillId="0" borderId="0" xfId="5" applyFont="1"/>
    <xf numFmtId="0" fontId="1" fillId="0" borderId="0" xfId="5"/>
    <xf numFmtId="0" fontId="1" fillId="0" borderId="0" xfId="5" applyBorder="1"/>
    <xf numFmtId="0" fontId="1" fillId="0" borderId="1" xfId="5" applyBorder="1" applyAlignment="1">
      <alignment horizontal="center"/>
    </xf>
    <xf numFmtId="0" fontId="1" fillId="0" borderId="2" xfId="5" applyBorder="1" applyAlignment="1">
      <alignment horizontal="center"/>
    </xf>
    <xf numFmtId="0" fontId="1" fillId="0" borderId="3" xfId="5" applyBorder="1" applyAlignment="1">
      <alignment horizontal="center"/>
    </xf>
    <xf numFmtId="0" fontId="1" fillId="0" borderId="4" xfId="5" applyBorder="1" applyAlignment="1">
      <alignment horizontal="center"/>
    </xf>
    <xf numFmtId="0" fontId="1" fillId="0" borderId="0" xfId="5" applyBorder="1" applyAlignment="1">
      <alignment horizontal="center"/>
    </xf>
    <xf numFmtId="0" fontId="1" fillId="0" borderId="0" xfId="5" applyFont="1" applyBorder="1" applyAlignment="1">
      <alignment horizontal="center"/>
    </xf>
    <xf numFmtId="0" fontId="1" fillId="0" borderId="5" xfId="5" applyBorder="1" applyAlignment="1">
      <alignment horizontal="center"/>
    </xf>
    <xf numFmtId="0" fontId="1" fillId="0" borderId="6" xfId="5" applyBorder="1" applyAlignment="1">
      <alignment horizontal="centerContinuous"/>
    </xf>
    <xf numFmtId="0" fontId="1" fillId="0" borderId="7" xfId="5" applyBorder="1" applyAlignment="1">
      <alignment horizontal="centerContinuous"/>
    </xf>
    <xf numFmtId="0" fontId="1" fillId="0" borderId="0" xfId="5" applyBorder="1" applyAlignment="1">
      <alignment horizontal="centerContinuous"/>
    </xf>
    <xf numFmtId="0" fontId="1" fillId="0" borderId="0" xfId="5" applyAlignment="1">
      <alignment horizontal="center"/>
    </xf>
    <xf numFmtId="164" fontId="1" fillId="0" borderId="0" xfId="5" applyNumberFormat="1" applyBorder="1"/>
    <xf numFmtId="164" fontId="1" fillId="0" borderId="0" xfId="5" applyNumberFormat="1" applyFont="1" applyBorder="1"/>
    <xf numFmtId="0" fontId="1" fillId="0" borderId="8" xfId="5" applyBorder="1" applyAlignment="1">
      <alignment horizontal="centerContinuous"/>
    </xf>
    <xf numFmtId="0" fontId="1" fillId="0" borderId="9" xfId="5" applyBorder="1"/>
    <xf numFmtId="0" fontId="1" fillId="0" borderId="0" xfId="5" applyBorder="1" applyAlignment="1"/>
    <xf numFmtId="0" fontId="3" fillId="0" borderId="0" xfId="5" applyFont="1" applyBorder="1"/>
    <xf numFmtId="0" fontId="1" fillId="0" borderId="10" xfId="5" applyBorder="1" applyAlignment="1">
      <alignment horizontal="center"/>
    </xf>
    <xf numFmtId="0" fontId="1" fillId="0" borderId="8" xfId="5" applyFont="1" applyBorder="1" applyAlignment="1">
      <alignment horizontal="centerContinuous"/>
    </xf>
    <xf numFmtId="0" fontId="1" fillId="0" borderId="11" xfId="5" applyFont="1" applyBorder="1" applyAlignment="1">
      <alignment horizontal="centerContinuous"/>
    </xf>
    <xf numFmtId="164" fontId="1" fillId="0" borderId="0" xfId="3" applyFont="1">
      <alignment horizontal="center" vertical="center"/>
    </xf>
    <xf numFmtId="0" fontId="1" fillId="0" borderId="12" xfId="5" applyFont="1" applyBorder="1" applyAlignment="1">
      <alignment horizontal="center"/>
    </xf>
    <xf numFmtId="0" fontId="1" fillId="0" borderId="13" xfId="5" applyFont="1" applyBorder="1" applyAlignment="1">
      <alignment horizontal="center"/>
    </xf>
    <xf numFmtId="0" fontId="1" fillId="0" borderId="14" xfId="2" applyBorder="1"/>
    <xf numFmtId="0" fontId="1" fillId="0" borderId="14" xfId="2" applyNumberFormat="1" applyBorder="1"/>
    <xf numFmtId="0" fontId="1" fillId="0" borderId="14" xfId="2" applyBorder="1" applyAlignment="1">
      <alignment horizontal="center"/>
    </xf>
    <xf numFmtId="164" fontId="0" fillId="0" borderId="14" xfId="0" applyBorder="1">
      <alignment horizontal="right" vertical="center"/>
    </xf>
    <xf numFmtId="0" fontId="1" fillId="0" borderId="15" xfId="2" applyBorder="1"/>
    <xf numFmtId="0" fontId="1" fillId="0" borderId="9" xfId="1" applyBorder="1"/>
    <xf numFmtId="16" fontId="1" fillId="0" borderId="9" xfId="2" applyNumberFormat="1" applyFont="1" applyBorder="1"/>
    <xf numFmtId="0" fontId="1" fillId="0" borderId="9" xfId="2" applyBorder="1"/>
    <xf numFmtId="0" fontId="1" fillId="0" borderId="16" xfId="2" applyBorder="1" applyAlignment="1">
      <alignment horizontal="center"/>
    </xf>
    <xf numFmtId="0" fontId="1" fillId="0" borderId="17" xfId="2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7" xfId="2" applyNumberFormat="1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Border="1" applyAlignment="1">
      <alignment horizontal="center"/>
    </xf>
    <xf numFmtId="0" fontId="1" fillId="0" borderId="20" xfId="1" applyBorder="1"/>
    <xf numFmtId="0" fontId="1" fillId="0" borderId="20" xfId="2" applyBorder="1"/>
    <xf numFmtId="0" fontId="1" fillId="0" borderId="19" xfId="2" applyFont="1" applyBorder="1" applyAlignment="1">
      <alignment horizontal="center"/>
    </xf>
    <xf numFmtId="0" fontId="1" fillId="0" borderId="0" xfId="4" applyBorder="1"/>
    <xf numFmtId="1" fontId="1" fillId="0" borderId="9" xfId="1" applyNumberFormat="1" applyBorder="1"/>
    <xf numFmtId="164" fontId="0" fillId="0" borderId="0" xfId="0" applyProtection="1">
      <alignment horizontal="right" vertical="center"/>
      <protection locked="0"/>
    </xf>
    <xf numFmtId="0" fontId="1" fillId="0" borderId="0" xfId="4" applyProtection="1">
      <protection locked="0"/>
    </xf>
    <xf numFmtId="0" fontId="4" fillId="0" borderId="9" xfId="4" quotePrefix="1" applyFont="1" applyBorder="1" applyAlignment="1">
      <alignment horizontal="left"/>
    </xf>
    <xf numFmtId="0" fontId="4" fillId="0" borderId="9" xfId="4" applyFont="1" applyBorder="1"/>
    <xf numFmtId="0" fontId="1" fillId="0" borderId="21" xfId="5" applyBorder="1"/>
    <xf numFmtId="0" fontId="1" fillId="0" borderId="12" xfId="5" applyBorder="1" applyAlignment="1">
      <alignment horizontal="center"/>
    </xf>
    <xf numFmtId="0" fontId="1" fillId="0" borderId="22" xfId="5" applyBorder="1" applyAlignment="1">
      <alignment horizontal="center"/>
    </xf>
    <xf numFmtId="0" fontId="6" fillId="0" borderId="23" xfId="3" applyNumberFormat="1" applyFont="1" applyBorder="1" applyAlignment="1" applyProtection="1">
      <alignment horizontal="center" vertical="center"/>
      <protection hidden="1"/>
    </xf>
    <xf numFmtId="0" fontId="2" fillId="0" borderId="24" xfId="3" applyNumberFormat="1" applyFont="1" applyBorder="1" applyAlignment="1" applyProtection="1">
      <alignment horizontal="center" vertical="center"/>
      <protection hidden="1"/>
    </xf>
    <xf numFmtId="0" fontId="1" fillId="0" borderId="24" xfId="3" applyNumberFormat="1" applyFont="1" applyBorder="1" applyAlignment="1" applyProtection="1">
      <alignment horizontal="center" vertical="center" wrapText="1"/>
      <protection hidden="1"/>
    </xf>
    <xf numFmtId="0" fontId="1" fillId="0" borderId="25" xfId="3" quotePrefix="1" applyNumberFormat="1" applyFont="1" applyBorder="1" applyAlignment="1" applyProtection="1">
      <alignment horizontal="center" vertical="center" wrapText="1"/>
      <protection hidden="1"/>
    </xf>
    <xf numFmtId="164" fontId="1" fillId="0" borderId="0" xfId="3" applyProtection="1">
      <alignment horizontal="center" vertical="center"/>
      <protection hidden="1"/>
    </xf>
    <xf numFmtId="164" fontId="2" fillId="0" borderId="26" xfId="3" applyFont="1" applyBorder="1" applyProtection="1">
      <alignment horizontal="center" vertical="center"/>
      <protection hidden="1"/>
    </xf>
    <xf numFmtId="164" fontId="2" fillId="0" borderId="0" xfId="3" applyFont="1" applyProtection="1">
      <alignment horizontal="center" vertical="center"/>
      <protection hidden="1"/>
    </xf>
    <xf numFmtId="164" fontId="7" fillId="0" borderId="0" xfId="3" applyFont="1" applyProtection="1">
      <alignment horizontal="center" vertical="center"/>
      <protection hidden="1"/>
    </xf>
    <xf numFmtId="164" fontId="2" fillId="0" borderId="0" xfId="3" applyNumberFormat="1" applyFont="1" applyProtection="1">
      <alignment horizontal="center" vertical="center"/>
      <protection hidden="1"/>
    </xf>
    <xf numFmtId="0" fontId="1" fillId="0" borderId="24" xfId="3" applyNumberFormat="1" applyFont="1" applyBorder="1" applyAlignment="1" applyProtection="1">
      <alignment horizontal="center" vertical="center"/>
      <protection hidden="1"/>
    </xf>
    <xf numFmtId="0" fontId="1" fillId="0" borderId="24" xfId="3" quotePrefix="1" applyNumberFormat="1" applyFont="1" applyBorder="1" applyAlignment="1" applyProtection="1">
      <alignment horizontal="center" vertical="center" wrapText="1"/>
      <protection hidden="1"/>
    </xf>
    <xf numFmtId="164" fontId="1" fillId="0" borderId="0" xfId="3" applyFont="1" applyProtection="1">
      <alignment horizontal="center" vertical="center"/>
      <protection hidden="1"/>
    </xf>
    <xf numFmtId="164" fontId="1" fillId="0" borderId="0" xfId="0" applyFont="1" applyProtection="1">
      <alignment horizontal="right" vertical="center"/>
      <protection hidden="1"/>
    </xf>
    <xf numFmtId="164" fontId="7" fillId="0" borderId="0" xfId="0" applyFont="1" applyAlignment="1" applyProtection="1">
      <alignment horizontal="left" vertical="center"/>
      <protection hidden="1"/>
    </xf>
    <xf numFmtId="164" fontId="2" fillId="0" borderId="0" xfId="0" applyFont="1" applyProtection="1">
      <alignment horizontal="right" vertical="center"/>
      <protection hidden="1"/>
    </xf>
    <xf numFmtId="164" fontId="1" fillId="0" borderId="0" xfId="3" applyNumberFormat="1" applyFont="1" applyBorder="1" applyProtection="1">
      <alignment horizontal="center" vertical="center"/>
      <protection hidden="1"/>
    </xf>
    <xf numFmtId="164" fontId="1" fillId="0" borderId="0" xfId="3" applyFont="1" applyBorder="1" applyProtection="1">
      <alignment horizontal="center" vertical="center"/>
      <protection hidden="1"/>
    </xf>
    <xf numFmtId="0" fontId="1" fillId="0" borderId="27" xfId="3" applyNumberFormat="1" applyFont="1" applyBorder="1" applyAlignment="1" applyProtection="1">
      <alignment horizontal="center" vertical="center"/>
      <protection hidden="1"/>
    </xf>
    <xf numFmtId="164" fontId="1" fillId="0" borderId="28" xfId="3" quotePrefix="1" applyFont="1" applyBorder="1" applyAlignment="1" applyProtection="1">
      <alignment horizontal="center" vertical="center" wrapText="1"/>
      <protection hidden="1"/>
    </xf>
    <xf numFmtId="164" fontId="7" fillId="0" borderId="0" xfId="3" applyFont="1" applyBorder="1" applyProtection="1">
      <alignment horizontal="center" vertical="center"/>
      <protection hidden="1"/>
    </xf>
    <xf numFmtId="164" fontId="2" fillId="0" borderId="0" xfId="3" applyNumberFormat="1" applyFont="1" applyBorder="1" applyProtection="1">
      <alignment horizontal="center" vertical="center"/>
      <protection hidden="1"/>
    </xf>
    <xf numFmtId="0" fontId="1" fillId="0" borderId="25" xfId="3" applyNumberFormat="1" applyFont="1" applyBorder="1" applyAlignment="1" applyProtection="1">
      <alignment horizontal="center" vertical="center" wrapText="1"/>
      <protection hidden="1"/>
    </xf>
    <xf numFmtId="164" fontId="2" fillId="0" borderId="29" xfId="3" applyFont="1" applyBorder="1" applyProtection="1">
      <alignment horizontal="center" vertical="center"/>
      <protection hidden="1"/>
    </xf>
    <xf numFmtId="164" fontId="1" fillId="0" borderId="29" xfId="3" applyBorder="1" applyProtection="1">
      <alignment horizontal="center" vertical="center"/>
      <protection hidden="1"/>
    </xf>
    <xf numFmtId="164" fontId="2" fillId="0" borderId="0" xfId="3" applyFont="1" applyBorder="1" applyProtection="1">
      <alignment horizontal="center" vertical="center"/>
      <protection hidden="1"/>
    </xf>
    <xf numFmtId="164" fontId="0" fillId="0" borderId="0" xfId="0" applyProtection="1">
      <alignment horizontal="right" vertical="center"/>
      <protection hidden="1"/>
    </xf>
    <xf numFmtId="0" fontId="2" fillId="0" borderId="27" xfId="3" applyNumberFormat="1" applyFont="1" applyBorder="1" applyAlignment="1" applyProtection="1">
      <alignment horizontal="center" vertical="center"/>
      <protection hidden="1"/>
    </xf>
    <xf numFmtId="164" fontId="1" fillId="0" borderId="28" xfId="3" applyFont="1" applyBorder="1" applyAlignment="1" applyProtection="1">
      <alignment horizontal="center" vertical="center" wrapText="1"/>
      <protection hidden="1"/>
    </xf>
    <xf numFmtId="0" fontId="1" fillId="0" borderId="27" xfId="3" applyNumberFormat="1" applyFont="1" applyBorder="1" applyAlignment="1" applyProtection="1">
      <alignment horizontal="center" vertical="center" wrapText="1"/>
      <protection hidden="1"/>
    </xf>
    <xf numFmtId="0" fontId="1" fillId="0" borderId="28" xfId="3" applyNumberFormat="1" applyFont="1" applyBorder="1" applyAlignment="1" applyProtection="1">
      <alignment horizontal="center" vertical="center" wrapText="1"/>
      <protection hidden="1"/>
    </xf>
    <xf numFmtId="164" fontId="1" fillId="0" borderId="30" xfId="5" quotePrefix="1" applyNumberFormat="1" applyFont="1" applyBorder="1" applyAlignment="1" applyProtection="1">
      <alignment horizontal="right"/>
      <protection hidden="1"/>
    </xf>
    <xf numFmtId="164" fontId="6" fillId="0" borderId="26" xfId="3" applyFont="1" applyBorder="1" applyProtection="1">
      <alignment horizontal="center" vertical="center"/>
      <protection hidden="1"/>
    </xf>
    <xf numFmtId="164" fontId="7" fillId="0" borderId="0" xfId="5" quotePrefix="1" applyNumberFormat="1" applyFont="1" applyBorder="1" applyProtection="1">
      <protection hidden="1"/>
    </xf>
    <xf numFmtId="164" fontId="1" fillId="0" borderId="0" xfId="5" quotePrefix="1" applyNumberFormat="1" applyFont="1" applyBorder="1" applyProtection="1">
      <protection hidden="1"/>
    </xf>
    <xf numFmtId="164" fontId="1" fillId="0" borderId="0" xfId="3" applyBorder="1" applyProtection="1">
      <alignment horizontal="center" vertical="center"/>
      <protection hidden="1"/>
    </xf>
    <xf numFmtId="164" fontId="0" fillId="0" borderId="0" xfId="0" applyBorder="1" applyAlignment="1" applyProtection="1">
      <alignment vertical="center"/>
      <protection hidden="1"/>
    </xf>
    <xf numFmtId="0" fontId="4" fillId="0" borderId="0" xfId="4" quotePrefix="1" applyFont="1" applyBorder="1" applyAlignment="1" applyProtection="1">
      <alignment horizontal="left"/>
      <protection hidden="1"/>
    </xf>
    <xf numFmtId="0" fontId="4" fillId="0" borderId="0" xfId="4" applyFont="1" applyBorder="1" applyAlignment="1" applyProtection="1">
      <alignment horizontal="left"/>
      <protection hidden="1"/>
    </xf>
    <xf numFmtId="0" fontId="1" fillId="0" borderId="1" xfId="5" applyBorder="1" applyAlignment="1" applyProtection="1">
      <alignment horizontal="center"/>
      <protection hidden="1"/>
    </xf>
    <xf numFmtId="0" fontId="1" fillId="0" borderId="11" xfId="5" applyFont="1" applyBorder="1" applyAlignment="1" applyProtection="1">
      <alignment horizontal="centerContinuous"/>
      <protection hidden="1"/>
    </xf>
    <xf numFmtId="0" fontId="1" fillId="0" borderId="6" xfId="5" applyBorder="1" applyAlignment="1" applyProtection="1">
      <alignment horizontal="centerContinuous"/>
      <protection hidden="1"/>
    </xf>
    <xf numFmtId="0" fontId="1" fillId="0" borderId="7" xfId="5" applyBorder="1" applyAlignment="1" applyProtection="1">
      <alignment horizontal="centerContinuous"/>
      <protection hidden="1"/>
    </xf>
    <xf numFmtId="0" fontId="1" fillId="0" borderId="31" xfId="5" applyFont="1" applyBorder="1" applyAlignment="1" applyProtection="1">
      <alignment horizontal="center"/>
      <protection hidden="1"/>
    </xf>
    <xf numFmtId="0" fontId="1" fillId="0" borderId="0" xfId="5" applyFont="1" applyBorder="1" applyAlignment="1" applyProtection="1">
      <protection hidden="1"/>
    </xf>
    <xf numFmtId="0" fontId="1" fillId="0" borderId="0" xfId="5" applyProtection="1">
      <protection hidden="1"/>
    </xf>
    <xf numFmtId="0" fontId="1" fillId="0" borderId="0" xfId="5" applyBorder="1" applyAlignment="1" applyProtection="1">
      <alignment horizontal="center"/>
      <protection hidden="1"/>
    </xf>
    <xf numFmtId="0" fontId="1" fillId="0" borderId="0" xfId="5" applyAlignment="1" applyProtection="1">
      <alignment horizontal="center"/>
      <protection hidden="1"/>
    </xf>
    <xf numFmtId="0" fontId="1" fillId="0" borderId="5" xfId="5" applyBorder="1" applyAlignment="1" applyProtection="1">
      <alignment horizontal="center"/>
      <protection hidden="1"/>
    </xf>
    <xf numFmtId="0" fontId="1" fillId="0" borderId="2" xfId="5" applyBorder="1" applyAlignment="1" applyProtection="1">
      <alignment horizontal="center"/>
      <protection hidden="1"/>
    </xf>
    <xf numFmtId="0" fontId="1" fillId="0" borderId="3" xfId="5" applyBorder="1" applyAlignment="1" applyProtection="1">
      <alignment horizontal="center"/>
      <protection hidden="1"/>
    </xf>
    <xf numFmtId="0" fontId="1" fillId="0" borderId="4" xfId="5" applyBorder="1" applyAlignment="1" applyProtection="1">
      <alignment horizontal="center"/>
      <protection hidden="1"/>
    </xf>
    <xf numFmtId="0" fontId="1" fillId="0" borderId="32" xfId="5" applyBorder="1" applyAlignment="1" applyProtection="1">
      <alignment horizontal="center"/>
      <protection hidden="1"/>
    </xf>
    <xf numFmtId="0" fontId="1" fillId="0" borderId="0" xfId="5" applyFont="1" applyBorder="1" applyAlignment="1" applyProtection="1">
      <alignment horizontal="center"/>
      <protection hidden="1"/>
    </xf>
    <xf numFmtId="0" fontId="1" fillId="0" borderId="0" xfId="5" applyBorder="1" applyProtection="1">
      <protection hidden="1"/>
    </xf>
    <xf numFmtId="0" fontId="7" fillId="0" borderId="33" xfId="4" quotePrefix="1" applyFont="1" applyBorder="1" applyAlignment="1" applyProtection="1">
      <alignment horizontal="center" vertical="center"/>
      <protection hidden="1"/>
    </xf>
    <xf numFmtId="0" fontId="2" fillId="0" borderId="34" xfId="4" applyFont="1" applyBorder="1" applyAlignment="1" applyProtection="1">
      <alignment horizontal="center" vertical="center"/>
      <protection hidden="1"/>
    </xf>
    <xf numFmtId="0" fontId="2" fillId="0" borderId="35" xfId="4" quotePrefix="1" applyFont="1" applyBorder="1" applyAlignment="1" applyProtection="1">
      <alignment horizontal="center" vertical="center" wrapText="1"/>
      <protection hidden="1"/>
    </xf>
    <xf numFmtId="0" fontId="1" fillId="0" borderId="2" xfId="4" applyBorder="1" applyAlignment="1" applyProtection="1">
      <alignment horizontal="center"/>
      <protection hidden="1"/>
    </xf>
    <xf numFmtId="0" fontId="1" fillId="0" borderId="0" xfId="4" applyProtection="1">
      <protection hidden="1"/>
    </xf>
    <xf numFmtId="0" fontId="1" fillId="0" borderId="36" xfId="4" applyBorder="1" applyAlignment="1" applyProtection="1">
      <alignment horizontal="center"/>
      <protection hidden="1"/>
    </xf>
    <xf numFmtId="0" fontId="1" fillId="0" borderId="0" xfId="4" applyAlignment="1" applyProtection="1">
      <alignment horizontal="centerContinuous"/>
      <protection hidden="1"/>
    </xf>
    <xf numFmtId="164" fontId="2" fillId="0" borderId="0" xfId="3" applyFont="1" applyAlignment="1" applyProtection="1">
      <alignment horizontal="centerContinuous"/>
      <protection locked="0"/>
    </xf>
    <xf numFmtId="164" fontId="1" fillId="0" borderId="0" xfId="3" applyProtection="1">
      <alignment horizontal="center" vertical="center"/>
      <protection locked="0"/>
    </xf>
    <xf numFmtId="0" fontId="1" fillId="0" borderId="10" xfId="4" applyBorder="1" applyAlignment="1" applyProtection="1">
      <alignment horizontal="center"/>
      <protection hidden="1"/>
    </xf>
    <xf numFmtId="0" fontId="1" fillId="0" borderId="39" xfId="4" applyFont="1" applyBorder="1" applyAlignment="1" applyProtection="1">
      <alignment horizontal="centerContinuous"/>
      <protection hidden="1"/>
    </xf>
    <xf numFmtId="0" fontId="1" fillId="0" borderId="40" xfId="4" applyBorder="1" applyAlignment="1" applyProtection="1">
      <alignment horizontal="centerContinuous"/>
      <protection hidden="1"/>
    </xf>
    <xf numFmtId="0" fontId="1" fillId="0" borderId="41" xfId="4" applyBorder="1" applyAlignment="1" applyProtection="1">
      <alignment horizontal="centerContinuous"/>
      <protection hidden="1"/>
    </xf>
    <xf numFmtId="0" fontId="1" fillId="0" borderId="10" xfId="4" quotePrefix="1" applyBorder="1" applyAlignment="1" applyProtection="1">
      <alignment horizontal="center"/>
      <protection hidden="1"/>
    </xf>
    <xf numFmtId="0" fontId="1" fillId="0" borderId="0" xfId="4" applyBorder="1" applyProtection="1">
      <protection hidden="1"/>
    </xf>
    <xf numFmtId="0" fontId="1" fillId="2" borderId="43" xfId="4" applyFont="1" applyFill="1" applyBorder="1"/>
    <xf numFmtId="164" fontId="0" fillId="2" borderId="43" xfId="0" applyFill="1" applyBorder="1" applyAlignment="1">
      <alignment horizontal="left" vertical="center"/>
    </xf>
    <xf numFmtId="0" fontId="1" fillId="2" borderId="43" xfId="4" applyFill="1" applyBorder="1"/>
    <xf numFmtId="0" fontId="1" fillId="0" borderId="39" xfId="2" applyFont="1" applyBorder="1" applyAlignment="1">
      <alignment horizontal="centerContinuous"/>
    </xf>
    <xf numFmtId="0" fontId="1" fillId="0" borderId="40" xfId="2" applyNumberFormat="1" applyBorder="1" applyAlignment="1">
      <alignment horizontal="centerContinuous"/>
    </xf>
    <xf numFmtId="0" fontId="1" fillId="0" borderId="40" xfId="2" applyBorder="1" applyAlignment="1">
      <alignment horizontal="centerContinuous"/>
    </xf>
    <xf numFmtId="0" fontId="1" fillId="0" borderId="41" xfId="2" applyBorder="1" applyAlignment="1">
      <alignment horizontal="centerContinuous"/>
    </xf>
    <xf numFmtId="0" fontId="1" fillId="0" borderId="44" xfId="2" applyFont="1" applyBorder="1" applyAlignment="1">
      <alignment horizontal="center"/>
    </xf>
    <xf numFmtId="0" fontId="1" fillId="0" borderId="45" xfId="2" applyBorder="1"/>
    <xf numFmtId="0" fontId="1" fillId="2" borderId="9" xfId="2" applyNumberFormat="1" applyFont="1" applyFill="1" applyBorder="1"/>
    <xf numFmtId="0" fontId="1" fillId="2" borderId="20" xfId="1" applyFill="1" applyBorder="1"/>
    <xf numFmtId="0" fontId="1" fillId="2" borderId="14" xfId="2" applyFill="1" applyBorder="1"/>
    <xf numFmtId="164" fontId="0" fillId="2" borderId="14" xfId="0" applyFill="1" applyBorder="1">
      <alignment horizontal="right" vertical="center"/>
    </xf>
    <xf numFmtId="0" fontId="1" fillId="2" borderId="20" xfId="2" applyFill="1" applyBorder="1"/>
    <xf numFmtId="0" fontId="1" fillId="2" borderId="15" xfId="2" applyFill="1" applyBorder="1"/>
    <xf numFmtId="0" fontId="1" fillId="2" borderId="45" xfId="2" applyFill="1" applyBorder="1"/>
    <xf numFmtId="0" fontId="1" fillId="2" borderId="0" xfId="2" applyFill="1"/>
    <xf numFmtId="0" fontId="1" fillId="2" borderId="9" xfId="2" applyFill="1" applyBorder="1"/>
    <xf numFmtId="0" fontId="1" fillId="0" borderId="0" xfId="2" applyFill="1" applyBorder="1"/>
    <xf numFmtId="0" fontId="1" fillId="0" borderId="0" xfId="2" applyFill="1" applyBorder="1" applyAlignment="1">
      <alignment horizontal="centerContinuous"/>
    </xf>
    <xf numFmtId="0" fontId="1" fillId="0" borderId="0" xfId="2" applyFont="1" applyFill="1" applyBorder="1" applyAlignment="1">
      <alignment horizontal="center"/>
    </xf>
    <xf numFmtId="0" fontId="9" fillId="3" borderId="0" xfId="4" applyFont="1" applyFill="1" applyAlignment="1" applyProtection="1">
      <alignment horizontal="centerContinuous"/>
      <protection hidden="1"/>
    </xf>
    <xf numFmtId="164" fontId="1" fillId="0" borderId="0" xfId="4" applyNumberFormat="1" applyBorder="1" applyAlignment="1" applyProtection="1">
      <alignment horizontal="right"/>
      <protection locked="0"/>
    </xf>
    <xf numFmtId="0" fontId="1" fillId="0" borderId="0" xfId="4" quotePrefix="1" applyBorder="1" applyAlignment="1" applyProtection="1">
      <alignment horizontal="center"/>
      <protection hidden="1"/>
    </xf>
    <xf numFmtId="0" fontId="1" fillId="0" borderId="0" xfId="4" applyBorder="1" applyAlignment="1" applyProtection="1">
      <alignment horizontal="centerContinuous"/>
      <protection hidden="1"/>
    </xf>
    <xf numFmtId="0" fontId="1" fillId="0" borderId="0" xfId="4" applyBorder="1" applyAlignment="1" applyProtection="1">
      <alignment horizontal="center"/>
      <protection hidden="1"/>
    </xf>
    <xf numFmtId="164" fontId="0" fillId="0" borderId="0" xfId="0" applyBorder="1" applyProtection="1">
      <alignment horizontal="right" vertical="center"/>
      <protection hidden="1"/>
    </xf>
    <xf numFmtId="0" fontId="2" fillId="0" borderId="34" xfId="4" applyFont="1" applyBorder="1" applyAlignment="1" applyProtection="1">
      <alignment horizontal="center" vertical="center" wrapText="1"/>
      <protection hidden="1"/>
    </xf>
    <xf numFmtId="0" fontId="1" fillId="0" borderId="0" xfId="5" applyFont="1"/>
    <xf numFmtId="0" fontId="7" fillId="0" borderId="11" xfId="5" applyFont="1" applyBorder="1" applyAlignment="1">
      <alignment horizontal="centerContinuous"/>
    </xf>
    <xf numFmtId="0" fontId="1" fillId="0" borderId="0" xfId="4" applyBorder="1" applyProtection="1">
      <protection locked="0"/>
    </xf>
    <xf numFmtId="164" fontId="0" fillId="0" borderId="30" xfId="0" applyBorder="1" applyAlignment="1" applyProtection="1">
      <alignment horizontal="right"/>
      <protection locked="0"/>
    </xf>
    <xf numFmtId="164" fontId="1" fillId="0" borderId="0" xfId="3" applyAlignment="1" applyProtection="1">
      <alignment horizontal="center" vertical="center"/>
      <protection hidden="1"/>
    </xf>
    <xf numFmtId="164" fontId="6" fillId="0" borderId="23" xfId="3" applyFont="1" applyBorder="1" applyAlignment="1" applyProtection="1">
      <alignment horizontal="center" vertical="center"/>
      <protection hidden="1"/>
    </xf>
    <xf numFmtId="164" fontId="2" fillId="0" borderId="23" xfId="3" applyFont="1" applyBorder="1" applyAlignment="1" applyProtection="1">
      <alignment horizontal="center" vertical="center"/>
      <protection hidden="1"/>
    </xf>
    <xf numFmtId="164" fontId="1" fillId="0" borderId="27" xfId="3" applyFont="1" applyBorder="1" applyAlignment="1" applyProtection="1">
      <alignment horizontal="center" vertical="center" wrapText="1"/>
      <protection hidden="1"/>
    </xf>
    <xf numFmtId="164" fontId="1" fillId="0" borderId="27" xfId="3" quotePrefix="1" applyFont="1" applyBorder="1" applyAlignment="1" applyProtection="1">
      <alignment horizontal="center" vertical="center" wrapText="1"/>
      <protection hidden="1"/>
    </xf>
    <xf numFmtId="164" fontId="2" fillId="0" borderId="0" xfId="3" applyFont="1" applyAlignment="1" applyProtection="1">
      <alignment horizontal="centerContinuous"/>
      <protection hidden="1"/>
    </xf>
    <xf numFmtId="164" fontId="1" fillId="0" borderId="46" xfId="5" quotePrefix="1" applyNumberFormat="1" applyFont="1" applyBorder="1" applyAlignment="1" applyProtection="1">
      <alignment horizontal="right"/>
      <protection hidden="1"/>
    </xf>
    <xf numFmtId="0" fontId="7" fillId="0" borderId="47" xfId="4" applyFont="1" applyBorder="1" applyAlignment="1" applyProtection="1">
      <protection locked="0"/>
    </xf>
    <xf numFmtId="49" fontId="1" fillId="0" borderId="48" xfId="4" applyNumberFormat="1" applyBorder="1" applyAlignment="1" applyProtection="1">
      <alignment horizontal="center"/>
      <protection locked="0"/>
    </xf>
    <xf numFmtId="0" fontId="2" fillId="0" borderId="2" xfId="4" applyFont="1" applyBorder="1" applyAlignment="1" applyProtection="1">
      <alignment horizontal="center"/>
      <protection hidden="1"/>
    </xf>
    <xf numFmtId="0" fontId="2" fillId="0" borderId="49" xfId="4" quotePrefix="1" applyFont="1" applyBorder="1" applyAlignment="1" applyProtection="1">
      <alignment horizontal="center"/>
      <protection hidden="1"/>
    </xf>
    <xf numFmtId="0" fontId="7" fillId="0" borderId="0" xfId="4" applyFont="1" applyBorder="1" applyAlignment="1" applyProtection="1">
      <protection locked="0"/>
    </xf>
    <xf numFmtId="164" fontId="0" fillId="0" borderId="0" xfId="0" applyBorder="1" applyAlignment="1" applyProtection="1">
      <alignment horizontal="right" vertical="center"/>
      <protection locked="0"/>
    </xf>
    <xf numFmtId="164" fontId="0" fillId="0" borderId="0" xfId="0" quotePrefix="1" applyBorder="1" applyAlignment="1" applyProtection="1">
      <alignment horizontal="right" vertical="center"/>
      <protection locked="0"/>
    </xf>
    <xf numFmtId="164" fontId="1" fillId="0" borderId="30" xfId="4" applyNumberFormat="1" applyFill="1" applyBorder="1" applyAlignment="1" applyProtection="1">
      <alignment horizontal="right"/>
      <protection locked="0"/>
    </xf>
    <xf numFmtId="164" fontId="1" fillId="0" borderId="50" xfId="4" applyNumberFormat="1" applyFill="1" applyBorder="1" applyAlignment="1" applyProtection="1">
      <alignment horizontal="right"/>
      <protection locked="0"/>
    </xf>
    <xf numFmtId="164" fontId="1" fillId="0" borderId="51" xfId="4" applyNumberFormat="1" applyBorder="1" applyAlignment="1" applyProtection="1">
      <alignment horizontal="right"/>
      <protection hidden="1"/>
    </xf>
    <xf numFmtId="0" fontId="10" fillId="0" borderId="0" xfId="4" applyFont="1" applyBorder="1" applyAlignment="1" applyProtection="1">
      <protection hidden="1"/>
    </xf>
    <xf numFmtId="1" fontId="0" fillId="0" borderId="0" xfId="0" applyNumberFormat="1" applyBorder="1" applyAlignment="1" applyProtection="1">
      <alignment vertical="center"/>
      <protection hidden="1"/>
    </xf>
    <xf numFmtId="0" fontId="10" fillId="0" borderId="0" xfId="4" quotePrefix="1" applyFont="1" applyBorder="1" applyAlignment="1" applyProtection="1">
      <protection hidden="1"/>
    </xf>
    <xf numFmtId="0" fontId="1" fillId="0" borderId="48" xfId="4" applyBorder="1" applyAlignment="1" applyProtection="1">
      <alignment horizontal="center"/>
      <protection locked="0"/>
    </xf>
    <xf numFmtId="0" fontId="11" fillId="3" borderId="0" xfId="4" applyFont="1" applyFill="1" applyAlignment="1" applyProtection="1">
      <alignment horizontal="centerContinuous"/>
      <protection hidden="1"/>
    </xf>
    <xf numFmtId="0" fontId="4" fillId="0" borderId="52" xfId="4" applyFont="1" applyBorder="1" applyAlignment="1" applyProtection="1">
      <alignment horizontal="left"/>
      <protection locked="0"/>
    </xf>
    <xf numFmtId="0" fontId="4" fillId="0" borderId="52" xfId="4" applyFont="1" applyBorder="1" applyProtection="1">
      <protection locked="0"/>
    </xf>
    <xf numFmtId="0" fontId="4" fillId="0" borderId="55" xfId="4" applyFont="1" applyBorder="1" applyAlignment="1" applyProtection="1">
      <alignment horizontal="left"/>
      <protection locked="0"/>
    </xf>
    <xf numFmtId="164" fontId="0" fillId="0" borderId="0" xfId="0" applyAlignment="1" applyProtection="1">
      <alignment horizontal="centerContinuous" vertical="center"/>
      <protection locked="0"/>
    </xf>
    <xf numFmtId="0" fontId="1" fillId="0" borderId="0" xfId="4" applyAlignment="1" applyProtection="1">
      <alignment horizontal="centerContinuous"/>
      <protection locked="0"/>
    </xf>
    <xf numFmtId="49" fontId="10" fillId="0" borderId="56" xfId="4" applyNumberFormat="1" applyFont="1" applyBorder="1" applyProtection="1">
      <protection locked="0"/>
    </xf>
    <xf numFmtId="0" fontId="10" fillId="0" borderId="57" xfId="4" applyFont="1" applyBorder="1" applyAlignment="1" applyProtection="1">
      <alignment horizontal="centerContinuous"/>
      <protection locked="0"/>
    </xf>
    <xf numFmtId="0" fontId="10" fillId="0" borderId="58" xfId="4" applyFont="1" applyBorder="1" applyAlignment="1" applyProtection="1">
      <alignment horizontal="centerContinuous"/>
      <protection locked="0"/>
    </xf>
    <xf numFmtId="0" fontId="10" fillId="0" borderId="59" xfId="4" applyFont="1" applyBorder="1" applyAlignment="1" applyProtection="1">
      <alignment horizontal="centerContinuous"/>
      <protection locked="0"/>
    </xf>
    <xf numFmtId="0" fontId="1" fillId="0" borderId="60" xfId="4" applyBorder="1" applyAlignment="1" applyProtection="1">
      <alignment horizontal="center"/>
      <protection locked="0"/>
    </xf>
    <xf numFmtId="0" fontId="1" fillId="0" borderId="2" xfId="4" applyBorder="1" applyAlignment="1" applyProtection="1">
      <alignment horizontal="center"/>
      <protection locked="0"/>
    </xf>
    <xf numFmtId="0" fontId="1" fillId="0" borderId="10" xfId="4" applyBorder="1" applyAlignment="1" applyProtection="1">
      <alignment horizontal="center"/>
      <protection locked="0"/>
    </xf>
    <xf numFmtId="0" fontId="1" fillId="0" borderId="36" xfId="4" applyBorder="1" applyAlignment="1" applyProtection="1">
      <alignment horizontal="center"/>
      <protection locked="0"/>
    </xf>
    <xf numFmtId="0" fontId="1" fillId="0" borderId="0" xfId="4" applyBorder="1" applyAlignment="1" applyProtection="1">
      <alignment horizontal="centerContinuous"/>
      <protection locked="0"/>
    </xf>
    <xf numFmtId="0" fontId="1" fillId="0" borderId="62" xfId="4" applyBorder="1" applyAlignment="1" applyProtection="1">
      <alignment horizontal="center"/>
      <protection locked="0"/>
    </xf>
    <xf numFmtId="0" fontId="12" fillId="0" borderId="63" xfId="4" applyFont="1" applyBorder="1" applyAlignment="1" applyProtection="1">
      <alignment horizontal="left"/>
      <protection hidden="1"/>
    </xf>
    <xf numFmtId="0" fontId="12" fillId="0" borderId="64" xfId="4" applyFont="1" applyBorder="1" applyAlignment="1" applyProtection="1">
      <alignment horizontal="left"/>
      <protection hidden="1"/>
    </xf>
    <xf numFmtId="0" fontId="12" fillId="0" borderId="64" xfId="4" applyFont="1" applyBorder="1" applyProtection="1">
      <protection hidden="1"/>
    </xf>
    <xf numFmtId="164" fontId="13" fillId="0" borderId="65" xfId="0" applyFont="1" applyBorder="1" applyAlignment="1"/>
    <xf numFmtId="164" fontId="13" fillId="0" borderId="65" xfId="0" applyFont="1" applyBorder="1" applyAlignment="1">
      <alignment vertical="center"/>
    </xf>
    <xf numFmtId="0" fontId="4" fillId="0" borderId="52" xfId="4" applyFont="1" applyBorder="1" applyAlignment="1" applyProtection="1">
      <protection locked="0"/>
    </xf>
    <xf numFmtId="0" fontId="1" fillId="0" borderId="0" xfId="5" applyAlignment="1"/>
    <xf numFmtId="0" fontId="2" fillId="0" borderId="0" xfId="3" applyNumberFormat="1" applyFont="1" applyProtection="1">
      <alignment horizontal="center" vertical="center"/>
      <protection locked="0"/>
    </xf>
    <xf numFmtId="0" fontId="1" fillId="0" borderId="66" xfId="4" applyBorder="1" applyProtection="1">
      <protection hidden="1"/>
    </xf>
    <xf numFmtId="0" fontId="0" fillId="0" borderId="30" xfId="0" applyNumberFormat="1" applyBorder="1" applyAlignment="1" applyProtection="1">
      <alignment horizontal="right"/>
      <protection locked="0"/>
    </xf>
    <xf numFmtId="0" fontId="0" fillId="0" borderId="43" xfId="0" applyNumberFormat="1" applyBorder="1" applyAlignment="1" applyProtection="1">
      <alignment horizontal="right"/>
      <protection locked="0"/>
    </xf>
    <xf numFmtId="0" fontId="1" fillId="0" borderId="51" xfId="4" applyNumberFormat="1" applyBorder="1" applyAlignment="1" applyProtection="1">
      <alignment horizontal="right"/>
      <protection locked="0"/>
    </xf>
    <xf numFmtId="164" fontId="2" fillId="0" borderId="43" xfId="0" applyFont="1" applyBorder="1" applyAlignment="1" applyProtection="1">
      <protection locked="0"/>
    </xf>
    <xf numFmtId="1" fontId="0" fillId="0" borderId="67" xfId="0" applyNumberFormat="1" applyBorder="1" applyAlignment="1" applyProtection="1">
      <protection locked="0"/>
    </xf>
    <xf numFmtId="1" fontId="0" fillId="0" borderId="67" xfId="0" applyNumberFormat="1" applyBorder="1" applyAlignment="1" applyProtection="1">
      <protection hidden="1"/>
    </xf>
    <xf numFmtId="1" fontId="0" fillId="0" borderId="43" xfId="0" applyNumberFormat="1" applyBorder="1" applyAlignment="1" applyProtection="1">
      <protection hidden="1"/>
    </xf>
    <xf numFmtId="1" fontId="0" fillId="0" borderId="43" xfId="0" applyNumberFormat="1" applyBorder="1" applyAlignment="1" applyProtection="1">
      <protection locked="0"/>
    </xf>
    <xf numFmtId="0" fontId="0" fillId="0" borderId="67" xfId="0" applyNumberFormat="1" applyBorder="1" applyAlignment="1" applyProtection="1">
      <protection locked="0"/>
    </xf>
    <xf numFmtId="0" fontId="1" fillId="0" borderId="51" xfId="4" applyBorder="1" applyAlignment="1" applyProtection="1">
      <protection locked="0"/>
    </xf>
    <xf numFmtId="164" fontId="0" fillId="0" borderId="51" xfId="0" applyNumberFormat="1" applyFill="1" applyBorder="1" applyAlignment="1" applyProtection="1">
      <alignment horizontal="left"/>
      <protection locked="0"/>
    </xf>
    <xf numFmtId="0" fontId="1" fillId="0" borderId="51" xfId="4" applyNumberFormat="1" applyBorder="1" applyAlignment="1" applyProtection="1">
      <protection locked="0"/>
    </xf>
    <xf numFmtId="0" fontId="1" fillId="0" borderId="68" xfId="4" applyNumberFormat="1" applyBorder="1" applyAlignment="1" applyProtection="1">
      <protection locked="0"/>
    </xf>
    <xf numFmtId="0" fontId="0" fillId="0" borderId="69" xfId="0" applyNumberFormat="1" applyBorder="1" applyAlignment="1" applyProtection="1">
      <alignment horizontal="center"/>
      <protection locked="0"/>
    </xf>
    <xf numFmtId="164" fontId="0" fillId="0" borderId="70" xfId="0" applyBorder="1" applyAlignment="1" applyProtection="1">
      <alignment horizontal="right"/>
      <protection locked="0"/>
    </xf>
    <xf numFmtId="164" fontId="1" fillId="0" borderId="42" xfId="4" applyNumberFormat="1" applyBorder="1" applyAlignment="1" applyProtection="1">
      <protection hidden="1"/>
    </xf>
    <xf numFmtId="164" fontId="0" fillId="0" borderId="46" xfId="0" applyBorder="1" applyAlignment="1" applyProtection="1">
      <alignment horizontal="right"/>
      <protection hidden="1"/>
    </xf>
    <xf numFmtId="164" fontId="0" fillId="0" borderId="46" xfId="0" applyBorder="1" applyAlignment="1" applyProtection="1">
      <alignment horizontal="right"/>
      <protection locked="0"/>
    </xf>
    <xf numFmtId="0" fontId="0" fillId="0" borderId="30" xfId="0" applyNumberFormat="1" applyBorder="1" applyAlignment="1" applyProtection="1">
      <alignment horizontal="center"/>
      <protection locked="0"/>
    </xf>
    <xf numFmtId="164" fontId="0" fillId="0" borderId="30" xfId="0" applyBorder="1" applyAlignment="1" applyProtection="1">
      <alignment horizontal="center"/>
      <protection locked="0"/>
    </xf>
    <xf numFmtId="164" fontId="0" fillId="0" borderId="43" xfId="0" applyBorder="1" applyAlignment="1" applyProtection="1">
      <alignment horizontal="center"/>
      <protection locked="0"/>
    </xf>
    <xf numFmtId="49" fontId="0" fillId="0" borderId="67" xfId="0" applyNumberFormat="1" applyBorder="1" applyAlignment="1" applyProtection="1">
      <alignment horizontal="center"/>
      <protection locked="0"/>
    </xf>
    <xf numFmtId="49" fontId="0" fillId="0" borderId="30" xfId="0" applyNumberFormat="1" applyBorder="1" applyAlignment="1" applyProtection="1">
      <alignment horizontal="center"/>
      <protection locked="0"/>
    </xf>
    <xf numFmtId="49" fontId="0" fillId="0" borderId="43" xfId="0" applyNumberFormat="1" applyBorder="1" applyAlignment="1" applyProtection="1">
      <alignment horizontal="center"/>
      <protection locked="0"/>
    </xf>
    <xf numFmtId="0" fontId="0" fillId="0" borderId="72" xfId="0" applyNumberFormat="1" applyBorder="1" applyAlignment="1" applyProtection="1">
      <alignment horizontal="center"/>
      <protection locked="0"/>
    </xf>
    <xf numFmtId="164" fontId="0" fillId="0" borderId="67" xfId="0" applyBorder="1" applyAlignment="1" applyProtection="1">
      <alignment horizontal="right"/>
      <protection locked="0"/>
    </xf>
    <xf numFmtId="0" fontId="1" fillId="0" borderId="73" xfId="4" applyBorder="1" applyAlignment="1" applyProtection="1">
      <protection locked="0"/>
    </xf>
    <xf numFmtId="0" fontId="1" fillId="0" borderId="74" xfId="4" applyNumberFormat="1" applyBorder="1" applyAlignment="1" applyProtection="1">
      <alignment horizontal="center"/>
      <protection locked="0"/>
    </xf>
    <xf numFmtId="164" fontId="0" fillId="0" borderId="47" xfId="0" applyBorder="1" applyAlignment="1" applyProtection="1">
      <alignment horizontal="right"/>
      <protection locked="0"/>
    </xf>
    <xf numFmtId="164" fontId="1" fillId="0" borderId="37" xfId="4" applyNumberFormat="1" applyBorder="1" applyAlignment="1" applyProtection="1">
      <protection hidden="1"/>
    </xf>
    <xf numFmtId="0" fontId="1" fillId="0" borderId="75" xfId="4" applyBorder="1" applyAlignment="1" applyProtection="1">
      <protection locked="0"/>
    </xf>
    <xf numFmtId="0" fontId="1" fillId="0" borderId="54" xfId="4" applyBorder="1" applyAlignment="1" applyProtection="1">
      <protection locked="0"/>
    </xf>
    <xf numFmtId="164" fontId="0" fillId="0" borderId="73" xfId="0" applyBorder="1" applyAlignment="1" applyProtection="1">
      <alignment horizontal="center"/>
      <protection locked="0"/>
    </xf>
    <xf numFmtId="164" fontId="0" fillId="0" borderId="47" xfId="0" applyBorder="1" applyAlignment="1" applyProtection="1">
      <alignment horizontal="center"/>
      <protection locked="0"/>
    </xf>
    <xf numFmtId="49" fontId="0" fillId="0" borderId="73" xfId="0" applyNumberFormat="1" applyBorder="1" applyAlignment="1" applyProtection="1">
      <alignment horizontal="center"/>
      <protection locked="0"/>
    </xf>
    <xf numFmtId="49" fontId="0" fillId="0" borderId="47" xfId="0" applyNumberFormat="1" applyBorder="1" applyAlignment="1" applyProtection="1">
      <alignment horizontal="center"/>
      <protection locked="0"/>
    </xf>
    <xf numFmtId="164" fontId="0" fillId="0" borderId="43" xfId="0" applyBorder="1" applyAlignment="1" applyProtection="1">
      <alignment horizontal="right"/>
      <protection locked="0"/>
    </xf>
    <xf numFmtId="0" fontId="1" fillId="0" borderId="38" xfId="4" applyBorder="1" applyAlignment="1" applyProtection="1">
      <protection hidden="1"/>
    </xf>
    <xf numFmtId="0" fontId="1" fillId="0" borderId="77" xfId="4" applyBorder="1" applyAlignment="1" applyProtection="1">
      <protection locked="0"/>
    </xf>
    <xf numFmtId="0" fontId="1" fillId="0" borderId="38" xfId="4" applyBorder="1" applyAlignment="1" applyProtection="1">
      <protection locked="0"/>
    </xf>
    <xf numFmtId="0" fontId="1" fillId="0" borderId="47" xfId="4" applyBorder="1" applyAlignment="1" applyProtection="1">
      <protection locked="0"/>
    </xf>
    <xf numFmtId="1" fontId="0" fillId="0" borderId="30" xfId="0" applyNumberFormat="1" applyBorder="1" applyAlignment="1" applyProtection="1">
      <alignment horizontal="right"/>
      <protection locked="0"/>
    </xf>
    <xf numFmtId="1" fontId="0" fillId="0" borderId="55" xfId="0" applyNumberFormat="1" applyBorder="1" applyAlignment="1" applyProtection="1">
      <alignment horizontal="right"/>
      <protection locked="0"/>
    </xf>
    <xf numFmtId="1" fontId="1" fillId="0" borderId="51" xfId="4" applyNumberFormat="1" applyBorder="1" applyAlignment="1" applyProtection="1">
      <alignment horizontal="right"/>
      <protection locked="0"/>
    </xf>
    <xf numFmtId="1" fontId="1" fillId="0" borderId="51" xfId="4" applyNumberFormat="1" applyBorder="1" applyAlignment="1" applyProtection="1">
      <protection locked="0"/>
    </xf>
    <xf numFmtId="164" fontId="2" fillId="0" borderId="79" xfId="0" applyFont="1" applyBorder="1" applyAlignment="1" applyProtection="1">
      <alignment horizontal="right"/>
      <protection hidden="1"/>
    </xf>
    <xf numFmtId="164" fontId="2" fillId="0" borderId="80" xfId="0" applyFont="1" applyBorder="1" applyAlignment="1" applyProtection="1">
      <alignment horizontal="right"/>
      <protection hidden="1"/>
    </xf>
    <xf numFmtId="0" fontId="2" fillId="0" borderId="80" xfId="0" applyNumberFormat="1" applyFont="1" applyBorder="1" applyAlignment="1" applyProtection="1">
      <alignment horizontal="right"/>
      <protection hidden="1"/>
    </xf>
    <xf numFmtId="1" fontId="2" fillId="0" borderId="80" xfId="0" applyNumberFormat="1" applyFont="1" applyBorder="1" applyAlignment="1" applyProtection="1">
      <alignment horizontal="right"/>
      <protection hidden="1"/>
    </xf>
    <xf numFmtId="1" fontId="2" fillId="0" borderId="81" xfId="0" applyNumberFormat="1" applyFont="1" applyBorder="1" applyAlignment="1" applyProtection="1">
      <alignment horizontal="right"/>
      <protection hidden="1"/>
    </xf>
    <xf numFmtId="1" fontId="2" fillId="0" borderId="82" xfId="0" applyNumberFormat="1" applyFont="1" applyBorder="1" applyAlignment="1" applyProtection="1">
      <alignment horizontal="right"/>
      <protection hidden="1"/>
    </xf>
    <xf numFmtId="164" fontId="2" fillId="0" borderId="83" xfId="0" applyFont="1" applyBorder="1" applyAlignment="1" applyProtection="1">
      <alignment horizontal="right"/>
      <protection hidden="1"/>
    </xf>
    <xf numFmtId="164" fontId="2" fillId="0" borderId="84" xfId="0" applyFont="1" applyBorder="1" applyAlignment="1" applyProtection="1">
      <alignment horizontal="right"/>
      <protection hidden="1"/>
    </xf>
    <xf numFmtId="1" fontId="2" fillId="0" borderId="84" xfId="0" applyNumberFormat="1" applyFont="1" applyBorder="1" applyAlignment="1" applyProtection="1">
      <alignment horizontal="right"/>
      <protection hidden="1"/>
    </xf>
    <xf numFmtId="1" fontId="2" fillId="0" borderId="85" xfId="0" applyNumberFormat="1" applyFont="1" applyBorder="1" applyAlignment="1" applyProtection="1">
      <alignment horizontal="right"/>
      <protection hidden="1"/>
    </xf>
    <xf numFmtId="1" fontId="2" fillId="0" borderId="86" xfId="0" applyNumberFormat="1" applyFont="1" applyBorder="1" applyAlignment="1" applyProtection="1">
      <alignment horizontal="right"/>
      <protection hidden="1"/>
    </xf>
    <xf numFmtId="164" fontId="0" fillId="0" borderId="30" xfId="0" quotePrefix="1" applyBorder="1" applyAlignment="1" applyProtection="1">
      <alignment horizontal="right"/>
      <protection hidden="1"/>
    </xf>
    <xf numFmtId="164" fontId="0" fillId="0" borderId="46" xfId="0" quotePrefix="1" applyBorder="1" applyAlignment="1" applyProtection="1">
      <alignment horizontal="right"/>
      <protection hidden="1"/>
    </xf>
    <xf numFmtId="164" fontId="2" fillId="0" borderId="46" xfId="0" applyFont="1" applyBorder="1" applyAlignment="1" applyProtection="1">
      <alignment horizontal="right"/>
      <protection hidden="1"/>
    </xf>
    <xf numFmtId="164" fontId="2" fillId="0" borderId="87" xfId="0" applyFont="1" applyBorder="1" applyAlignment="1" applyProtection="1">
      <alignment horizontal="right"/>
      <protection hidden="1"/>
    </xf>
    <xf numFmtId="164" fontId="1" fillId="0" borderId="0" xfId="3" applyAlignment="1" applyProtection="1">
      <alignment horizontal="center"/>
      <protection hidden="1"/>
    </xf>
    <xf numFmtId="164" fontId="1" fillId="0" borderId="88" xfId="0" quotePrefix="1" applyFont="1" applyBorder="1" applyAlignment="1" applyProtection="1">
      <alignment horizontal="right"/>
      <protection hidden="1"/>
    </xf>
    <xf numFmtId="164" fontId="1" fillId="0" borderId="89" xfId="0" quotePrefix="1" applyFont="1" applyBorder="1" applyAlignment="1" applyProtection="1">
      <alignment horizontal="right"/>
      <protection hidden="1"/>
    </xf>
    <xf numFmtId="164" fontId="1" fillId="0" borderId="89" xfId="0" applyFont="1" applyBorder="1" applyAlignment="1" applyProtection="1">
      <alignment horizontal="right"/>
      <protection hidden="1"/>
    </xf>
    <xf numFmtId="164" fontId="1" fillId="0" borderId="90" xfId="0" applyFont="1" applyBorder="1" applyAlignment="1" applyProtection="1">
      <alignment horizontal="right"/>
      <protection hidden="1"/>
    </xf>
    <xf numFmtId="164" fontId="0" fillId="0" borderId="88" xfId="0" quotePrefix="1" applyBorder="1" applyAlignment="1" applyProtection="1">
      <alignment horizontal="right"/>
      <protection hidden="1"/>
    </xf>
    <xf numFmtId="164" fontId="0" fillId="0" borderId="89" xfId="0" quotePrefix="1" applyBorder="1" applyAlignment="1" applyProtection="1">
      <alignment horizontal="right"/>
      <protection hidden="1"/>
    </xf>
    <xf numFmtId="164" fontId="0" fillId="0" borderId="89" xfId="0" applyBorder="1" applyAlignment="1" applyProtection="1">
      <alignment horizontal="right"/>
      <protection hidden="1"/>
    </xf>
    <xf numFmtId="164" fontId="0" fillId="0" borderId="90" xfId="0" applyBorder="1" applyAlignment="1" applyProtection="1">
      <alignment horizontal="right"/>
      <protection hidden="1"/>
    </xf>
    <xf numFmtId="164" fontId="2" fillId="0" borderId="0" xfId="3" applyFont="1" applyAlignment="1" applyProtection="1">
      <alignment horizontal="center"/>
      <protection hidden="1"/>
    </xf>
    <xf numFmtId="164" fontId="1" fillId="0" borderId="30" xfId="5" quotePrefix="1" applyNumberFormat="1" applyFont="1" applyBorder="1" applyAlignment="1" applyProtection="1">
      <protection hidden="1"/>
    </xf>
    <xf numFmtId="164" fontId="1" fillId="0" borderId="46" xfId="5" quotePrefix="1" applyNumberFormat="1" applyFont="1" applyBorder="1" applyAlignment="1" applyProtection="1">
      <protection hidden="1"/>
    </xf>
    <xf numFmtId="164" fontId="2" fillId="0" borderId="91" xfId="3" applyNumberFormat="1" applyFont="1" applyBorder="1" applyAlignment="1" applyProtection="1">
      <alignment horizontal="center"/>
      <protection hidden="1"/>
    </xf>
    <xf numFmtId="164" fontId="2" fillId="0" borderId="92" xfId="3" applyNumberFormat="1" applyFont="1" applyBorder="1" applyAlignment="1" applyProtection="1">
      <alignment horizontal="center"/>
      <protection hidden="1"/>
    </xf>
    <xf numFmtId="164" fontId="2" fillId="0" borderId="88" xfId="3" applyFont="1" applyBorder="1" applyAlignment="1" applyProtection="1">
      <alignment horizontal="center"/>
      <protection hidden="1"/>
    </xf>
    <xf numFmtId="164" fontId="2" fillId="0" borderId="89" xfId="3" applyFont="1" applyBorder="1" applyAlignment="1" applyProtection="1">
      <alignment horizontal="center"/>
      <protection hidden="1"/>
    </xf>
    <xf numFmtId="164" fontId="2" fillId="0" borderId="88" xfId="3" applyNumberFormat="1" applyFont="1" applyBorder="1" applyAlignment="1" applyProtection="1">
      <alignment horizontal="center"/>
      <protection hidden="1"/>
    </xf>
    <xf numFmtId="164" fontId="2" fillId="0" borderId="93" xfId="3" applyFont="1" applyBorder="1" applyAlignment="1" applyProtection="1">
      <alignment horizontal="center"/>
      <protection hidden="1"/>
    </xf>
    <xf numFmtId="164" fontId="2" fillId="0" borderId="91" xfId="3" applyNumberFormat="1" applyFont="1" applyBorder="1" applyAlignment="1" applyProtection="1">
      <alignment horizontal="right"/>
      <protection hidden="1"/>
    </xf>
    <xf numFmtId="164" fontId="1" fillId="0" borderId="88" xfId="5" quotePrefix="1" applyNumberFormat="1" applyFont="1" applyBorder="1" applyAlignment="1" applyProtection="1">
      <protection hidden="1"/>
    </xf>
    <xf numFmtId="164" fontId="1" fillId="0" borderId="89" xfId="5" quotePrefix="1" applyNumberFormat="1" applyFont="1" applyBorder="1" applyAlignment="1" applyProtection="1">
      <protection hidden="1"/>
    </xf>
    <xf numFmtId="164" fontId="2" fillId="0" borderId="94" xfId="3" applyNumberFormat="1" applyFont="1" applyBorder="1" applyAlignment="1" applyProtection="1">
      <alignment horizontal="right"/>
      <protection hidden="1"/>
    </xf>
    <xf numFmtId="164" fontId="2" fillId="0" borderId="90" xfId="0" applyFont="1" applyBorder="1" applyAlignment="1" applyProtection="1">
      <alignment horizontal="right"/>
      <protection hidden="1"/>
    </xf>
    <xf numFmtId="164" fontId="1" fillId="0" borderId="95" xfId="3" applyFont="1" applyBorder="1" applyAlignment="1" applyProtection="1">
      <alignment horizontal="center"/>
      <protection hidden="1"/>
    </xf>
    <xf numFmtId="164" fontId="1" fillId="0" borderId="95" xfId="3" applyNumberFormat="1" applyFont="1" applyBorder="1" applyAlignment="1" applyProtection="1">
      <alignment horizontal="center"/>
      <protection hidden="1"/>
    </xf>
    <xf numFmtId="164" fontId="1" fillId="0" borderId="96" xfId="3" applyNumberFormat="1" applyFont="1" applyBorder="1" applyAlignment="1" applyProtection="1">
      <alignment horizontal="center"/>
      <protection hidden="1"/>
    </xf>
    <xf numFmtId="164" fontId="1" fillId="0" borderId="93" xfId="3" applyFont="1" applyBorder="1" applyAlignment="1" applyProtection="1">
      <alignment horizontal="center"/>
      <protection hidden="1"/>
    </xf>
    <xf numFmtId="0" fontId="4" fillId="0" borderId="0" xfId="4" applyFont="1" applyBorder="1" applyAlignment="1" applyProtection="1">
      <protection hidden="1"/>
    </xf>
    <xf numFmtId="164" fontId="2" fillId="0" borderId="94" xfId="3" applyNumberFormat="1" applyFont="1" applyBorder="1" applyAlignment="1" applyProtection="1">
      <alignment horizontal="center"/>
      <protection hidden="1"/>
    </xf>
    <xf numFmtId="164" fontId="0" fillId="4" borderId="14" xfId="0" applyFill="1" applyBorder="1">
      <alignment horizontal="right" vertical="center"/>
    </xf>
    <xf numFmtId="0" fontId="1" fillId="0" borderId="27" xfId="3" quotePrefix="1" applyNumberFormat="1" applyFont="1" applyBorder="1" applyAlignment="1" applyProtection="1">
      <alignment horizontal="center" vertical="center" wrapText="1"/>
      <protection hidden="1"/>
    </xf>
    <xf numFmtId="164" fontId="1" fillId="0" borderId="97" xfId="3" applyNumberFormat="1" applyFont="1" applyBorder="1" applyAlignment="1" applyProtection="1">
      <alignment horizontal="center"/>
      <protection hidden="1"/>
    </xf>
    <xf numFmtId="0" fontId="4" fillId="0" borderId="9" xfId="4" applyFont="1" applyBorder="1" applyAlignment="1" applyProtection="1">
      <alignment horizontal="left"/>
      <protection locked="0"/>
    </xf>
    <xf numFmtId="0" fontId="1" fillId="0" borderId="72" xfId="0" applyNumberFormat="1" applyFont="1" applyBorder="1" applyAlignment="1" applyProtection="1">
      <alignment horizontal="center"/>
      <protection locked="0"/>
    </xf>
    <xf numFmtId="0" fontId="1" fillId="0" borderId="98" xfId="0" applyNumberFormat="1" applyFont="1" applyBorder="1" applyAlignment="1" applyProtection="1">
      <alignment horizontal="center"/>
      <protection locked="0"/>
    </xf>
    <xf numFmtId="0" fontId="12" fillId="0" borderId="99" xfId="4" applyFont="1" applyBorder="1" applyAlignment="1" applyProtection="1">
      <alignment horizontal="left"/>
      <protection hidden="1"/>
    </xf>
    <xf numFmtId="0" fontId="4" fillId="0" borderId="0" xfId="4" applyFont="1" applyBorder="1" applyAlignment="1" applyProtection="1">
      <alignment horizontal="left"/>
      <protection locked="0"/>
    </xf>
    <xf numFmtId="164" fontId="13" fillId="0" borderId="0" xfId="0" applyFont="1" applyBorder="1" applyAlignment="1">
      <alignment vertical="center"/>
    </xf>
    <xf numFmtId="0" fontId="12" fillId="0" borderId="100" xfId="4" applyFont="1" applyBorder="1" applyAlignment="1" applyProtection="1">
      <alignment horizontal="left"/>
      <protection hidden="1"/>
    </xf>
    <xf numFmtId="0" fontId="14" fillId="0" borderId="0" xfId="4" applyFont="1" applyProtection="1">
      <protection locked="0"/>
    </xf>
    <xf numFmtId="164" fontId="14" fillId="0" borderId="0" xfId="0" applyFont="1" applyAlignment="1" applyProtection="1">
      <alignment horizontal="centerContinuous" vertical="center"/>
      <protection locked="0"/>
    </xf>
    <xf numFmtId="0" fontId="14" fillId="0" borderId="0" xfId="4" applyFont="1" applyAlignment="1" applyProtection="1">
      <alignment horizontal="centerContinuous"/>
      <protection locked="0"/>
    </xf>
    <xf numFmtId="0" fontId="16" fillId="0" borderId="47" xfId="4" applyFont="1" applyBorder="1" applyAlignment="1" applyProtection="1">
      <protection locked="0"/>
    </xf>
    <xf numFmtId="0" fontId="16" fillId="0" borderId="0" xfId="4" applyFont="1" applyBorder="1" applyAlignment="1" applyProtection="1">
      <protection locked="0"/>
    </xf>
    <xf numFmtId="0" fontId="14" fillId="0" borderId="0" xfId="4" applyFont="1" applyAlignment="1" applyProtection="1">
      <alignment horizontal="centerContinuous"/>
      <protection hidden="1"/>
    </xf>
    <xf numFmtId="0" fontId="14" fillId="0" borderId="0" xfId="4" applyFont="1" applyProtection="1">
      <protection hidden="1"/>
    </xf>
    <xf numFmtId="49" fontId="17" fillId="0" borderId="56" xfId="4" applyNumberFormat="1" applyFont="1" applyBorder="1" applyProtection="1">
      <protection locked="0"/>
    </xf>
    <xf numFmtId="0" fontId="17" fillId="0" borderId="57" xfId="4" applyFont="1" applyBorder="1" applyAlignment="1" applyProtection="1">
      <alignment horizontal="centerContinuous"/>
      <protection locked="0"/>
    </xf>
    <xf numFmtId="0" fontId="17" fillId="0" borderId="58" xfId="4" applyFont="1" applyBorder="1" applyAlignment="1" applyProtection="1">
      <alignment horizontal="centerContinuous"/>
      <protection locked="0"/>
    </xf>
    <xf numFmtId="0" fontId="17" fillId="0" borderId="59" xfId="4" applyFont="1" applyBorder="1" applyAlignment="1" applyProtection="1">
      <alignment horizontal="centerContinuous"/>
      <protection locked="0"/>
    </xf>
    <xf numFmtId="0" fontId="14" fillId="0" borderId="0" xfId="4" applyFont="1" applyBorder="1" applyAlignment="1" applyProtection="1">
      <alignment horizontal="centerContinuous"/>
      <protection locked="0"/>
    </xf>
    <xf numFmtId="0" fontId="14" fillId="0" borderId="0" xfId="4" applyFont="1" applyBorder="1" applyAlignment="1" applyProtection="1">
      <alignment horizontal="centerContinuous"/>
      <protection hidden="1"/>
    </xf>
    <xf numFmtId="0" fontId="14" fillId="0" borderId="0" xfId="4" applyFont="1" applyBorder="1" applyAlignment="1" applyProtection="1">
      <alignment horizontal="center"/>
      <protection hidden="1"/>
    </xf>
    <xf numFmtId="0" fontId="14" fillId="0" borderId="60" xfId="4" applyFont="1" applyBorder="1" applyAlignment="1" applyProtection="1">
      <alignment horizontal="center"/>
      <protection locked="0"/>
    </xf>
    <xf numFmtId="0" fontId="14" fillId="0" borderId="2" xfId="4" applyFont="1" applyBorder="1" applyAlignment="1" applyProtection="1">
      <alignment horizontal="center"/>
      <protection locked="0"/>
    </xf>
    <xf numFmtId="0" fontId="14" fillId="0" borderId="10" xfId="4" applyFont="1" applyBorder="1" applyAlignment="1" applyProtection="1">
      <alignment horizontal="center"/>
      <protection locked="0"/>
    </xf>
    <xf numFmtId="0" fontId="14" fillId="0" borderId="36" xfId="4" applyFont="1" applyBorder="1" applyAlignment="1" applyProtection="1">
      <alignment horizontal="center"/>
      <protection locked="0"/>
    </xf>
    <xf numFmtId="0" fontId="14" fillId="0" borderId="39" xfId="4" applyFont="1" applyBorder="1" applyAlignment="1" applyProtection="1">
      <alignment horizontal="centerContinuous"/>
      <protection hidden="1"/>
    </xf>
    <xf numFmtId="0" fontId="14" fillId="0" borderId="40" xfId="4" applyFont="1" applyBorder="1" applyAlignment="1" applyProtection="1">
      <alignment horizontal="centerContinuous"/>
      <protection hidden="1"/>
    </xf>
    <xf numFmtId="0" fontId="14" fillId="0" borderId="41" xfId="4" applyFont="1" applyBorder="1" applyAlignment="1" applyProtection="1">
      <alignment horizontal="centerContinuous"/>
      <protection hidden="1"/>
    </xf>
    <xf numFmtId="0" fontId="14" fillId="0" borderId="69" xfId="0" applyNumberFormat="1" applyFont="1" applyBorder="1" applyAlignment="1" applyProtection="1">
      <alignment horizontal="center"/>
      <protection locked="0"/>
    </xf>
    <xf numFmtId="164" fontId="14" fillId="0" borderId="70" xfId="0" applyFont="1" applyBorder="1" applyAlignment="1" applyProtection="1">
      <alignment horizontal="right"/>
      <protection locked="0"/>
    </xf>
    <xf numFmtId="164" fontId="14" fillId="0" borderId="30" xfId="0" applyFont="1" applyBorder="1" applyAlignment="1" applyProtection="1">
      <alignment horizontal="right"/>
      <protection locked="0"/>
    </xf>
    <xf numFmtId="164" fontId="14" fillId="0" borderId="42" xfId="4" applyNumberFormat="1" applyFont="1" applyBorder="1" applyAlignment="1" applyProtection="1">
      <protection hidden="1"/>
    </xf>
    <xf numFmtId="164" fontId="14" fillId="0" borderId="46" xfId="0" applyFont="1" applyBorder="1" applyAlignment="1" applyProtection="1">
      <alignment horizontal="right"/>
      <protection hidden="1"/>
    </xf>
    <xf numFmtId="164" fontId="14" fillId="0" borderId="71" xfId="0" applyFont="1" applyBorder="1" applyAlignment="1" applyProtection="1">
      <alignment horizontal="right"/>
      <protection locked="0"/>
    </xf>
    <xf numFmtId="164" fontId="14" fillId="0" borderId="46" xfId="0" applyFont="1" applyBorder="1" applyAlignment="1" applyProtection="1">
      <alignment horizontal="right"/>
      <protection locked="0"/>
    </xf>
    <xf numFmtId="0" fontId="14" fillId="0" borderId="30" xfId="0" applyNumberFormat="1" applyFont="1" applyBorder="1" applyAlignment="1" applyProtection="1">
      <alignment horizontal="center"/>
      <protection locked="0"/>
    </xf>
    <xf numFmtId="164" fontId="14" fillId="0" borderId="30" xfId="0" applyFont="1" applyBorder="1" applyAlignment="1" applyProtection="1">
      <alignment horizontal="center"/>
      <protection locked="0"/>
    </xf>
    <xf numFmtId="164" fontId="14" fillId="0" borderId="43" xfId="0" applyFont="1" applyBorder="1" applyAlignment="1" applyProtection="1">
      <alignment horizontal="center"/>
      <protection locked="0"/>
    </xf>
    <xf numFmtId="49" fontId="14" fillId="0" borderId="67" xfId="0" applyNumberFormat="1" applyFont="1" applyBorder="1" applyAlignment="1" applyProtection="1">
      <alignment horizontal="center"/>
      <protection locked="0"/>
    </xf>
    <xf numFmtId="49" fontId="14" fillId="0" borderId="30" xfId="0" applyNumberFormat="1" applyFont="1" applyBorder="1" applyAlignment="1" applyProtection="1">
      <alignment horizontal="center"/>
      <protection locked="0"/>
    </xf>
    <xf numFmtId="49" fontId="14" fillId="0" borderId="43" xfId="0" applyNumberFormat="1" applyFont="1" applyBorder="1" applyAlignment="1" applyProtection="1">
      <alignment horizontal="center"/>
      <protection locked="0"/>
    </xf>
    <xf numFmtId="164" fontId="14" fillId="0" borderId="0" xfId="0" applyFont="1" applyBorder="1" applyProtection="1">
      <alignment horizontal="right" vertical="center"/>
      <protection hidden="1"/>
    </xf>
    <xf numFmtId="0" fontId="14" fillId="0" borderId="72" xfId="0" applyNumberFormat="1" applyFont="1" applyBorder="1" applyAlignment="1" applyProtection="1">
      <alignment horizontal="center"/>
      <protection locked="0"/>
    </xf>
    <xf numFmtId="164" fontId="14" fillId="0" borderId="67" xfId="0" applyFont="1" applyBorder="1" applyAlignment="1" applyProtection="1">
      <alignment horizontal="right"/>
      <protection locked="0"/>
    </xf>
    <xf numFmtId="0" fontId="14" fillId="0" borderId="98" xfId="0" applyNumberFormat="1" applyFont="1" applyBorder="1" applyAlignment="1" applyProtection="1">
      <alignment horizontal="center"/>
      <protection locked="0"/>
    </xf>
    <xf numFmtId="0" fontId="14" fillId="0" borderId="73" xfId="4" applyFont="1" applyBorder="1" applyAlignment="1" applyProtection="1">
      <protection locked="0"/>
    </xf>
    <xf numFmtId="0" fontId="14" fillId="0" borderId="74" xfId="4" applyNumberFormat="1" applyFont="1" applyBorder="1" applyAlignment="1" applyProtection="1">
      <alignment horizontal="center"/>
      <protection locked="0"/>
    </xf>
    <xf numFmtId="164" fontId="14" fillId="0" borderId="47" xfId="0" applyFont="1" applyBorder="1" applyAlignment="1" applyProtection="1">
      <alignment horizontal="right"/>
      <protection locked="0"/>
    </xf>
    <xf numFmtId="164" fontId="14" fillId="0" borderId="37" xfId="4" applyNumberFormat="1" applyFont="1" applyBorder="1" applyAlignment="1" applyProtection="1">
      <protection hidden="1"/>
    </xf>
    <xf numFmtId="0" fontId="14" fillId="0" borderId="75" xfId="4" applyFont="1" applyBorder="1" applyAlignment="1" applyProtection="1">
      <protection locked="0"/>
    </xf>
    <xf numFmtId="0" fontId="14" fillId="0" borderId="76" xfId="4" applyFont="1" applyBorder="1" applyAlignment="1" applyProtection="1">
      <protection locked="0"/>
    </xf>
    <xf numFmtId="0" fontId="14" fillId="0" borderId="54" xfId="4" applyFont="1" applyBorder="1" applyAlignment="1" applyProtection="1">
      <protection locked="0"/>
    </xf>
    <xf numFmtId="164" fontId="14" fillId="0" borderId="38" xfId="0" applyFont="1" applyBorder="1" applyAlignment="1" applyProtection="1">
      <alignment horizontal="right"/>
      <protection locked="0"/>
    </xf>
    <xf numFmtId="164" fontId="14" fillId="0" borderId="73" xfId="0" applyFont="1" applyBorder="1" applyAlignment="1" applyProtection="1">
      <alignment horizontal="center"/>
      <protection locked="0"/>
    </xf>
    <xf numFmtId="164" fontId="14" fillId="0" borderId="47" xfId="0" applyFont="1" applyBorder="1" applyAlignment="1" applyProtection="1">
      <alignment horizontal="center"/>
      <protection locked="0"/>
    </xf>
    <xf numFmtId="0" fontId="14" fillId="0" borderId="48" xfId="4" applyFont="1" applyBorder="1" applyAlignment="1" applyProtection="1">
      <alignment horizontal="center"/>
      <protection locked="0"/>
    </xf>
    <xf numFmtId="49" fontId="14" fillId="0" borderId="73" xfId="0" applyNumberFormat="1" applyFont="1" applyBorder="1" applyAlignment="1" applyProtection="1">
      <alignment horizontal="center"/>
      <protection locked="0"/>
    </xf>
    <xf numFmtId="49" fontId="14" fillId="0" borderId="47" xfId="0" applyNumberFormat="1" applyFont="1" applyBorder="1" applyAlignment="1" applyProtection="1">
      <alignment horizontal="center"/>
      <protection locked="0"/>
    </xf>
    <xf numFmtId="49" fontId="14" fillId="0" borderId="48" xfId="4" applyNumberFormat="1" applyFont="1" applyBorder="1" applyAlignment="1" applyProtection="1">
      <alignment horizontal="center"/>
      <protection locked="0"/>
    </xf>
    <xf numFmtId="0" fontId="14" fillId="0" borderId="0" xfId="4" applyFont="1" applyBorder="1" applyAlignment="1" applyProtection="1">
      <alignment horizontal="right"/>
      <protection hidden="1"/>
    </xf>
    <xf numFmtId="164" fontId="14" fillId="0" borderId="0" xfId="0" applyFont="1" applyProtection="1">
      <alignment horizontal="right" vertical="center"/>
      <protection hidden="1"/>
    </xf>
    <xf numFmtId="0" fontId="18" fillId="3" borderId="0" xfId="4" applyFont="1" applyFill="1" applyAlignment="1" applyProtection="1">
      <alignment horizontal="centerContinuous"/>
      <protection hidden="1"/>
    </xf>
    <xf numFmtId="0" fontId="19" fillId="3" borderId="0" xfId="4" applyFont="1" applyFill="1" applyAlignment="1" applyProtection="1">
      <alignment horizontal="centerContinuous"/>
      <protection hidden="1"/>
    </xf>
    <xf numFmtId="0" fontId="17" fillId="0" borderId="0" xfId="4" applyFont="1" applyBorder="1" applyAlignment="1" applyProtection="1">
      <protection hidden="1"/>
    </xf>
    <xf numFmtId="0" fontId="20" fillId="0" borderId="2" xfId="4" applyFont="1" applyBorder="1" applyAlignment="1" applyProtection="1">
      <alignment horizontal="center"/>
      <protection hidden="1"/>
    </xf>
    <xf numFmtId="0" fontId="14" fillId="0" borderId="2" xfId="4" applyFont="1" applyBorder="1" applyAlignment="1" applyProtection="1">
      <alignment horizontal="center"/>
      <protection hidden="1"/>
    </xf>
    <xf numFmtId="0" fontId="14" fillId="0" borderId="10" xfId="4" applyFont="1" applyBorder="1" applyAlignment="1" applyProtection="1">
      <alignment horizontal="center"/>
      <protection hidden="1"/>
    </xf>
    <xf numFmtId="0" fontId="14" fillId="0" borderId="36" xfId="4" applyFont="1" applyBorder="1" applyAlignment="1" applyProtection="1">
      <alignment horizontal="center"/>
      <protection hidden="1"/>
    </xf>
    <xf numFmtId="1" fontId="14" fillId="0" borderId="67" xfId="0" applyNumberFormat="1" applyFont="1" applyBorder="1" applyAlignment="1" applyProtection="1">
      <protection locked="0"/>
    </xf>
    <xf numFmtId="1" fontId="14" fillId="0" borderId="30" xfId="0" applyNumberFormat="1" applyFont="1" applyBorder="1" applyAlignment="1" applyProtection="1">
      <alignment horizontal="right"/>
      <protection locked="0"/>
    </xf>
    <xf numFmtId="1" fontId="14" fillId="0" borderId="67" xfId="0" applyNumberFormat="1" applyFont="1" applyBorder="1" applyAlignment="1" applyProtection="1">
      <protection hidden="1"/>
    </xf>
    <xf numFmtId="1" fontId="14" fillId="0" borderId="43" xfId="0" applyNumberFormat="1" applyFont="1" applyBorder="1" applyAlignment="1" applyProtection="1">
      <protection hidden="1"/>
    </xf>
    <xf numFmtId="1" fontId="14" fillId="0" borderId="43" xfId="0" applyNumberFormat="1" applyFont="1" applyBorder="1" applyAlignment="1" applyProtection="1">
      <protection locked="0"/>
    </xf>
    <xf numFmtId="164" fontId="14" fillId="0" borderId="30" xfId="4" applyNumberFormat="1" applyFont="1" applyFill="1" applyBorder="1" applyAlignment="1" applyProtection="1">
      <alignment horizontal="right"/>
      <protection locked="0"/>
    </xf>
    <xf numFmtId="0" fontId="14" fillId="0" borderId="67" xfId="0" applyNumberFormat="1" applyFont="1" applyBorder="1" applyAlignment="1" applyProtection="1">
      <protection locked="0"/>
    </xf>
    <xf numFmtId="0" fontId="14" fillId="0" borderId="30" xfId="0" applyNumberFormat="1" applyFont="1" applyBorder="1" applyAlignment="1" applyProtection="1">
      <alignment horizontal="right"/>
      <protection locked="0"/>
    </xf>
    <xf numFmtId="0" fontId="14" fillId="0" borderId="43" xfId="0" applyNumberFormat="1" applyFont="1" applyBorder="1" applyAlignment="1" applyProtection="1">
      <alignment horizontal="right"/>
      <protection locked="0"/>
    </xf>
    <xf numFmtId="164" fontId="14" fillId="0" borderId="0" xfId="0" applyFont="1" applyBorder="1" applyAlignment="1" applyProtection="1">
      <alignment horizontal="right"/>
      <protection locked="0"/>
    </xf>
    <xf numFmtId="164" fontId="14" fillId="0" borderId="0" xfId="4" applyNumberFormat="1" applyFont="1" applyBorder="1" applyAlignment="1" applyProtection="1">
      <alignment horizontal="right"/>
      <protection locked="0"/>
    </xf>
    <xf numFmtId="0" fontId="14" fillId="0" borderId="0" xfId="4" applyFont="1"/>
    <xf numFmtId="164" fontId="14" fillId="0" borderId="0" xfId="0" quotePrefix="1" applyFont="1" applyBorder="1" applyAlignment="1" applyProtection="1">
      <alignment horizontal="right"/>
      <protection locked="0"/>
    </xf>
    <xf numFmtId="1" fontId="14" fillId="0" borderId="0" xfId="0" applyNumberFormat="1" applyFont="1" applyBorder="1" applyAlignment="1" applyProtection="1">
      <alignment vertical="center"/>
      <protection hidden="1"/>
    </xf>
    <xf numFmtId="1" fontId="14" fillId="0" borderId="55" xfId="0" applyNumberFormat="1" applyFont="1" applyBorder="1" applyAlignment="1" applyProtection="1">
      <alignment horizontal="right"/>
      <protection locked="0"/>
    </xf>
    <xf numFmtId="1" fontId="14" fillId="0" borderId="51" xfId="4" applyNumberFormat="1" applyFont="1" applyBorder="1" applyAlignment="1" applyProtection="1">
      <alignment horizontal="right"/>
      <protection locked="0"/>
    </xf>
    <xf numFmtId="164" fontId="14" fillId="0" borderId="51" xfId="4" applyNumberFormat="1" applyFont="1" applyBorder="1" applyAlignment="1" applyProtection="1">
      <alignment horizontal="right"/>
      <protection hidden="1"/>
    </xf>
    <xf numFmtId="0" fontId="14" fillId="0" borderId="51" xfId="4" applyFont="1" applyBorder="1" applyAlignment="1" applyProtection="1">
      <protection locked="0"/>
    </xf>
    <xf numFmtId="164" fontId="14" fillId="0" borderId="50" xfId="4" applyNumberFormat="1" applyFont="1" applyFill="1" applyBorder="1" applyAlignment="1" applyProtection="1">
      <alignment horizontal="right"/>
      <protection locked="0"/>
    </xf>
    <xf numFmtId="164" fontId="14" fillId="0" borderId="51" xfId="0" applyNumberFormat="1" applyFont="1" applyFill="1" applyBorder="1" applyAlignment="1" applyProtection="1">
      <alignment horizontal="left"/>
      <protection locked="0"/>
    </xf>
    <xf numFmtId="0" fontId="14" fillId="0" borderId="51" xfId="4" applyNumberFormat="1" applyFont="1" applyBorder="1" applyAlignment="1" applyProtection="1">
      <alignment horizontal="right"/>
      <protection locked="0"/>
    </xf>
    <xf numFmtId="0" fontId="14" fillId="0" borderId="51" xfId="4" applyNumberFormat="1" applyFont="1" applyBorder="1" applyAlignment="1" applyProtection="1">
      <protection locked="0"/>
    </xf>
    <xf numFmtId="0" fontId="14" fillId="0" borderId="68" xfId="4" applyNumberFormat="1" applyFont="1" applyBorder="1" applyAlignment="1" applyProtection="1">
      <protection locked="0"/>
    </xf>
    <xf numFmtId="0" fontId="14" fillId="0" borderId="0" xfId="4" applyFont="1" applyBorder="1"/>
    <xf numFmtId="0" fontId="14" fillId="0" borderId="0" xfId="4" applyFont="1" applyAlignment="1" applyProtection="1">
      <alignment horizontal="right"/>
      <protection locked="0"/>
    </xf>
    <xf numFmtId="0" fontId="14" fillId="0" borderId="0" xfId="4" applyFont="1" applyBorder="1" applyProtection="1">
      <protection locked="0"/>
    </xf>
    <xf numFmtId="164" fontId="14" fillId="2" borderId="43" xfId="0" applyFont="1" applyFill="1" applyBorder="1" applyAlignment="1">
      <alignment horizontal="left" vertical="center"/>
    </xf>
    <xf numFmtId="0" fontId="14" fillId="0" borderId="0" xfId="4" applyFont="1" applyBorder="1" applyProtection="1">
      <protection hidden="1"/>
    </xf>
    <xf numFmtId="0" fontId="14" fillId="2" borderId="43" xfId="4" applyFont="1" applyFill="1" applyBorder="1"/>
    <xf numFmtId="164" fontId="14" fillId="0" borderId="0" xfId="0" applyFont="1" applyBorder="1" applyAlignment="1">
      <alignment horizontal="center"/>
    </xf>
    <xf numFmtId="0" fontId="14" fillId="0" borderId="47" xfId="4" applyFont="1" applyBorder="1" applyAlignment="1" applyProtection="1">
      <protection locked="0"/>
    </xf>
    <xf numFmtId="0" fontId="14" fillId="0" borderId="0" xfId="4" applyFont="1" applyBorder="1" applyAlignment="1" applyProtection="1">
      <protection locked="0"/>
    </xf>
    <xf numFmtId="0" fontId="17" fillId="3" borderId="0" xfId="4" applyFont="1" applyFill="1" applyAlignment="1" applyProtection="1">
      <alignment horizontal="centerContinuous"/>
      <protection hidden="1"/>
    </xf>
    <xf numFmtId="0" fontId="14" fillId="0" borderId="62" xfId="4" applyFont="1" applyBorder="1" applyAlignment="1" applyProtection="1">
      <alignment horizontal="center"/>
      <protection locked="0"/>
    </xf>
    <xf numFmtId="0" fontId="20" fillId="0" borderId="52" xfId="4" applyFont="1" applyBorder="1" applyAlignment="1" applyProtection="1">
      <alignment horizontal="left"/>
      <protection locked="0"/>
    </xf>
    <xf numFmtId="0" fontId="20" fillId="0" borderId="52" xfId="4" applyFont="1" applyBorder="1" applyAlignment="1" applyProtection="1">
      <protection locked="0"/>
    </xf>
    <xf numFmtId="0" fontId="20" fillId="0" borderId="9" xfId="4" applyFont="1" applyBorder="1" applyAlignment="1" applyProtection="1">
      <alignment horizontal="left"/>
      <protection locked="0"/>
    </xf>
    <xf numFmtId="0" fontId="14" fillId="0" borderId="38" xfId="4" applyFont="1" applyBorder="1" applyAlignment="1" applyProtection="1">
      <protection hidden="1"/>
    </xf>
    <xf numFmtId="0" fontId="14" fillId="0" borderId="38" xfId="4" applyFont="1" applyBorder="1" applyAlignment="1" applyProtection="1">
      <alignment horizontal="right"/>
      <protection locked="0"/>
    </xf>
    <xf numFmtId="0" fontId="14" fillId="0" borderId="47" xfId="4" applyFont="1" applyBorder="1" applyAlignment="1" applyProtection="1">
      <alignment horizontal="right"/>
      <protection locked="0"/>
    </xf>
    <xf numFmtId="0" fontId="14" fillId="0" borderId="0" xfId="4" applyFont="1" applyAlignment="1" applyProtection="1">
      <alignment horizontal="right"/>
      <protection hidden="1"/>
    </xf>
    <xf numFmtId="0" fontId="20" fillId="0" borderId="49" xfId="4" quotePrefix="1" applyFont="1" applyBorder="1" applyAlignment="1" applyProtection="1">
      <alignment horizontal="center"/>
      <protection hidden="1"/>
    </xf>
    <xf numFmtId="0" fontId="17" fillId="0" borderId="0" xfId="4" quotePrefix="1" applyFont="1" applyBorder="1" applyAlignment="1" applyProtection="1">
      <protection hidden="1"/>
    </xf>
    <xf numFmtId="0" fontId="14" fillId="0" borderId="0" xfId="4" quotePrefix="1" applyFont="1" applyBorder="1" applyAlignment="1" applyProtection="1">
      <alignment horizontal="center"/>
      <protection hidden="1"/>
    </xf>
    <xf numFmtId="0" fontId="14" fillId="0" borderId="10" xfId="4" quotePrefix="1" applyFont="1" applyBorder="1" applyAlignment="1" applyProtection="1">
      <alignment horizontal="center"/>
      <protection hidden="1"/>
    </xf>
    <xf numFmtId="164" fontId="20" fillId="0" borderId="43" xfId="0" applyFont="1" applyBorder="1" applyAlignment="1" applyProtection="1">
      <protection locked="0"/>
    </xf>
    <xf numFmtId="164" fontId="14" fillId="0" borderId="0" xfId="0" applyFont="1" applyBorder="1" applyAlignment="1" applyProtection="1">
      <alignment horizontal="right" vertical="center"/>
      <protection locked="0"/>
    </xf>
    <xf numFmtId="164" fontId="14" fillId="0" borderId="0" xfId="0" quotePrefix="1" applyFont="1" applyBorder="1" applyAlignment="1" applyProtection="1">
      <alignment horizontal="right" vertical="center"/>
      <protection locked="0"/>
    </xf>
    <xf numFmtId="0" fontId="20" fillId="0" borderId="55" xfId="4" applyFont="1" applyBorder="1" applyAlignment="1" applyProtection="1">
      <alignment horizontal="left"/>
      <protection locked="0"/>
    </xf>
    <xf numFmtId="164" fontId="14" fillId="0" borderId="43" xfId="0" applyFont="1" applyBorder="1" applyAlignment="1" applyProtection="1">
      <alignment horizontal="right"/>
      <protection locked="0"/>
    </xf>
    <xf numFmtId="0" fontId="14" fillId="0" borderId="77" xfId="4" applyFont="1" applyBorder="1" applyAlignment="1" applyProtection="1">
      <protection locked="0"/>
    </xf>
    <xf numFmtId="164" fontId="14" fillId="0" borderId="54" xfId="0" applyFont="1" applyBorder="1" applyAlignment="1" applyProtection="1">
      <alignment horizontal="right"/>
      <protection locked="0"/>
    </xf>
    <xf numFmtId="0" fontId="14" fillId="0" borderId="38" xfId="4" applyFont="1" applyBorder="1" applyAlignment="1" applyProtection="1">
      <protection locked="0"/>
    </xf>
    <xf numFmtId="164" fontId="19" fillId="3" borderId="0" xfId="0" applyFont="1" applyFill="1" applyAlignment="1" applyProtection="1">
      <alignment horizontal="centerContinuous" vertical="center"/>
      <protection hidden="1"/>
    </xf>
    <xf numFmtId="1" fontId="14" fillId="0" borderId="51" xfId="4" applyNumberFormat="1" applyFont="1" applyBorder="1" applyAlignment="1" applyProtection="1">
      <protection locked="0"/>
    </xf>
    <xf numFmtId="0" fontId="14" fillId="0" borderId="78" xfId="4" applyFont="1" applyBorder="1" applyAlignment="1" applyProtection="1">
      <protection hidden="1"/>
    </xf>
    <xf numFmtId="164" fontId="14" fillId="0" borderId="48" xfId="0" applyFont="1" applyBorder="1" applyAlignment="1" applyProtection="1">
      <alignment horizontal="right"/>
      <protection locked="0"/>
    </xf>
    <xf numFmtId="164" fontId="14" fillId="0" borderId="30" xfId="0" quotePrefix="1" applyFont="1" applyBorder="1" applyAlignment="1" applyProtection="1">
      <alignment horizontal="right"/>
      <protection locked="0"/>
    </xf>
    <xf numFmtId="164" fontId="14" fillId="0" borderId="46" xfId="0" quotePrefix="1" applyFont="1" applyBorder="1" applyAlignment="1" applyProtection="1">
      <alignment horizontal="right"/>
      <protection locked="0"/>
    </xf>
    <xf numFmtId="164" fontId="14" fillId="0" borderId="43" xfId="0" quotePrefix="1" applyFont="1" applyBorder="1" applyAlignment="1" applyProtection="1">
      <alignment horizontal="right"/>
      <protection locked="0"/>
    </xf>
    <xf numFmtId="164" fontId="14" fillId="0" borderId="47" xfId="4" applyNumberFormat="1" applyFont="1" applyBorder="1" applyAlignment="1" applyProtection="1">
      <alignment horizontal="right"/>
      <protection locked="0"/>
    </xf>
    <xf numFmtId="164" fontId="14" fillId="0" borderId="48" xfId="4" applyNumberFormat="1" applyFont="1" applyBorder="1" applyAlignment="1" applyProtection="1">
      <alignment horizontal="center"/>
      <protection locked="0"/>
    </xf>
    <xf numFmtId="164" fontId="14" fillId="0" borderId="0" xfId="4" applyNumberFormat="1" applyFont="1" applyBorder="1" applyAlignment="1" applyProtection="1">
      <alignment horizontal="right"/>
      <protection hidden="1"/>
    </xf>
    <xf numFmtId="0" fontId="14" fillId="0" borderId="53" xfId="4" applyFont="1" applyBorder="1" applyAlignment="1" applyProtection="1">
      <protection locked="0"/>
    </xf>
    <xf numFmtId="164" fontId="14" fillId="0" borderId="78" xfId="0" applyFont="1" applyBorder="1" applyAlignment="1" applyProtection="1">
      <alignment horizontal="right"/>
      <protection hidden="1"/>
    </xf>
    <xf numFmtId="0" fontId="14" fillId="0" borderId="48" xfId="4" applyFont="1" applyBorder="1" applyAlignment="1" applyProtection="1">
      <protection locked="0"/>
    </xf>
    <xf numFmtId="164" fontId="14" fillId="0" borderId="42" xfId="4" applyNumberFormat="1" applyFont="1" applyBorder="1" applyAlignment="1" applyProtection="1">
      <alignment horizontal="right"/>
      <protection hidden="1"/>
    </xf>
    <xf numFmtId="164" fontId="14" fillId="0" borderId="37" xfId="4" applyNumberFormat="1" applyFont="1" applyBorder="1" applyAlignment="1" applyProtection="1">
      <alignment horizontal="right"/>
      <protection hidden="1"/>
    </xf>
    <xf numFmtId="0" fontId="14" fillId="0" borderId="37" xfId="4" applyFont="1" applyBorder="1" applyAlignment="1" applyProtection="1">
      <alignment horizontal="right"/>
      <protection hidden="1"/>
    </xf>
    <xf numFmtId="0" fontId="14" fillId="0" borderId="48" xfId="4" applyFont="1" applyBorder="1" applyAlignment="1" applyProtection="1">
      <alignment horizontal="right"/>
      <protection locked="0"/>
    </xf>
    <xf numFmtId="0" fontId="14" fillId="0" borderId="54" xfId="4" applyFont="1" applyBorder="1" applyAlignment="1" applyProtection="1">
      <alignment horizontal="right"/>
      <protection locked="0"/>
    </xf>
    <xf numFmtId="0" fontId="14" fillId="0" borderId="38" xfId="4" applyFont="1" applyBorder="1" applyAlignment="1" applyProtection="1">
      <alignment horizontal="right"/>
      <protection hidden="1"/>
    </xf>
    <xf numFmtId="0" fontId="22" fillId="0" borderId="57" xfId="4" applyFont="1" applyBorder="1" applyAlignment="1" applyProtection="1">
      <alignment horizontal="centerContinuous"/>
      <protection locked="0"/>
    </xf>
    <xf numFmtId="0" fontId="23" fillId="0" borderId="58" xfId="4" applyFont="1" applyBorder="1" applyAlignment="1" applyProtection="1">
      <alignment horizontal="centerContinuous"/>
      <protection locked="0"/>
    </xf>
    <xf numFmtId="0" fontId="23" fillId="0" borderId="59" xfId="4" applyFont="1" applyBorder="1" applyAlignment="1" applyProtection="1">
      <alignment horizontal="centerContinuous"/>
      <protection locked="0"/>
    </xf>
    <xf numFmtId="0" fontId="14" fillId="0" borderId="0" xfId="4" applyFont="1" applyAlignment="1" applyProtection="1">
      <alignment horizontal="center"/>
      <protection hidden="1"/>
    </xf>
    <xf numFmtId="0" fontId="14" fillId="0" borderId="0" xfId="4" applyFont="1" applyAlignment="1" applyProtection="1">
      <alignment horizontal="center"/>
      <protection locked="0"/>
    </xf>
    <xf numFmtId="164" fontId="14" fillId="0" borderId="46" xfId="0" applyFont="1" applyFill="1" applyBorder="1" applyAlignment="1" applyProtection="1">
      <alignment horizontal="right"/>
      <protection hidden="1"/>
    </xf>
    <xf numFmtId="164" fontId="14" fillId="0" borderId="71" xfId="0" applyFont="1" applyFill="1" applyBorder="1" applyAlignment="1" applyProtection="1">
      <alignment horizontal="right"/>
      <protection locked="0"/>
    </xf>
    <xf numFmtId="0" fontId="14" fillId="0" borderId="38" xfId="4" applyFont="1" applyFill="1" applyBorder="1" applyAlignment="1" applyProtection="1">
      <protection hidden="1"/>
    </xf>
    <xf numFmtId="0" fontId="14" fillId="0" borderId="75" xfId="4" applyFont="1" applyFill="1" applyBorder="1" applyAlignment="1" applyProtection="1">
      <protection locked="0"/>
    </xf>
    <xf numFmtId="0" fontId="14" fillId="0" borderId="0" xfId="4" applyFont="1" applyBorder="1" applyAlignment="1" applyProtection="1">
      <alignment horizontal="right"/>
      <protection locked="0"/>
    </xf>
    <xf numFmtId="0" fontId="20" fillId="0" borderId="0" xfId="4" applyFont="1" applyProtection="1">
      <protection locked="0"/>
    </xf>
    <xf numFmtId="0" fontId="20" fillId="0" borderId="0" xfId="4" applyFont="1" applyProtection="1">
      <protection hidden="1"/>
    </xf>
    <xf numFmtId="0" fontId="24" fillId="3" borderId="0" xfId="4" applyFont="1" applyFill="1" applyAlignment="1" applyProtection="1">
      <alignment horizontal="centerContinuous"/>
      <protection hidden="1"/>
    </xf>
    <xf numFmtId="0" fontId="20" fillId="0" borderId="0" xfId="4" applyFont="1"/>
    <xf numFmtId="164" fontId="20" fillId="2" borderId="43" xfId="0" applyFont="1" applyFill="1" applyBorder="1" applyAlignment="1">
      <alignment horizontal="left" vertical="center"/>
    </xf>
    <xf numFmtId="0" fontId="20" fillId="2" borderId="43" xfId="4" applyFont="1" applyFill="1" applyBorder="1"/>
    <xf numFmtId="164" fontId="20" fillId="0" borderId="0" xfId="0" applyFont="1" applyBorder="1">
      <alignment horizontal="right" vertical="center"/>
    </xf>
    <xf numFmtId="0" fontId="20" fillId="0" borderId="0" xfId="4" applyFont="1" applyBorder="1"/>
    <xf numFmtId="0" fontId="17" fillId="0" borderId="2" xfId="4" applyFont="1" applyBorder="1" applyAlignment="1" applyProtection="1">
      <alignment horizontal="center"/>
      <protection locked="0"/>
    </xf>
    <xf numFmtId="0" fontId="17" fillId="0" borderId="10" xfId="4" applyFont="1" applyBorder="1" applyAlignment="1" applyProtection="1">
      <alignment horizontal="center"/>
      <protection locked="0"/>
    </xf>
    <xf numFmtId="0" fontId="17" fillId="0" borderId="36" xfId="4" applyFont="1" applyBorder="1" applyAlignment="1" applyProtection="1">
      <alignment horizontal="center"/>
      <protection locked="0"/>
    </xf>
    <xf numFmtId="0" fontId="17" fillId="0" borderId="61" xfId="4" applyFont="1" applyBorder="1" applyAlignment="1" applyProtection="1">
      <alignment horizontal="center"/>
      <protection locked="0"/>
    </xf>
    <xf numFmtId="0" fontId="20" fillId="0" borderId="107" xfId="4" applyFont="1" applyBorder="1" applyAlignment="1" applyProtection="1">
      <alignment horizontal="left"/>
      <protection locked="0"/>
    </xf>
    <xf numFmtId="0" fontId="17" fillId="0" borderId="2" xfId="4" applyFont="1" applyBorder="1" applyAlignment="1" applyProtection="1">
      <alignment horizontal="center"/>
      <protection hidden="1"/>
    </xf>
    <xf numFmtId="0" fontId="17" fillId="0" borderId="10" xfId="4" applyFont="1" applyBorder="1" applyAlignment="1" applyProtection="1">
      <alignment horizontal="center"/>
      <protection hidden="1"/>
    </xf>
    <xf numFmtId="164" fontId="14" fillId="0" borderId="109" xfId="0" applyFont="1" applyBorder="1" applyAlignment="1" applyProtection="1">
      <alignment horizontal="right"/>
      <protection locked="0"/>
    </xf>
    <xf numFmtId="0" fontId="14" fillId="0" borderId="110" xfId="0" applyNumberFormat="1" applyFont="1" applyBorder="1" applyAlignment="1" applyProtection="1">
      <alignment horizontal="center"/>
      <protection locked="0"/>
    </xf>
    <xf numFmtId="0" fontId="14" fillId="0" borderId="111" xfId="0" applyNumberFormat="1" applyFont="1" applyBorder="1" applyAlignment="1" applyProtection="1">
      <alignment horizontal="center"/>
      <protection locked="0"/>
    </xf>
    <xf numFmtId="0" fontId="14" fillId="0" borderId="112" xfId="0" applyNumberFormat="1" applyFont="1" applyBorder="1" applyAlignment="1" applyProtection="1">
      <alignment horizontal="center"/>
      <protection locked="0"/>
    </xf>
    <xf numFmtId="0" fontId="17" fillId="0" borderId="115" xfId="4" applyFont="1" applyBorder="1" applyAlignment="1" applyProtection="1">
      <alignment horizontal="center"/>
      <protection hidden="1"/>
    </xf>
    <xf numFmtId="0" fontId="20" fillId="0" borderId="116" xfId="4" applyFont="1" applyBorder="1" applyAlignment="1" applyProtection="1">
      <alignment horizontal="left"/>
      <protection locked="0"/>
    </xf>
    <xf numFmtId="1" fontId="14" fillId="0" borderId="87" xfId="0" applyNumberFormat="1" applyFont="1" applyBorder="1" applyAlignment="1" applyProtection="1">
      <protection hidden="1"/>
    </xf>
    <xf numFmtId="0" fontId="20" fillId="0" borderId="116" xfId="4" applyFont="1" applyBorder="1" applyAlignment="1" applyProtection="1">
      <protection locked="0"/>
    </xf>
    <xf numFmtId="0" fontId="20" fillId="0" borderId="117" xfId="4" applyFont="1" applyBorder="1" applyAlignment="1" applyProtection="1">
      <alignment horizontal="left"/>
      <protection locked="0"/>
    </xf>
    <xf numFmtId="0" fontId="20" fillId="0" borderId="66" xfId="4" applyFont="1" applyBorder="1" applyAlignment="1" applyProtection="1">
      <protection locked="0"/>
    </xf>
    <xf numFmtId="0" fontId="14" fillId="0" borderId="5" xfId="4" applyNumberFormat="1" applyFont="1" applyBorder="1" applyAlignment="1" applyProtection="1">
      <alignment horizontal="center"/>
      <protection locked="0"/>
    </xf>
    <xf numFmtId="164" fontId="14" fillId="0" borderId="97" xfId="0" applyFont="1" applyBorder="1" applyAlignment="1" applyProtection="1">
      <alignment horizontal="right"/>
      <protection locked="0"/>
    </xf>
    <xf numFmtId="164" fontId="14" fillId="0" borderId="118" xfId="4" applyNumberFormat="1" applyFont="1" applyBorder="1" applyAlignment="1" applyProtection="1">
      <protection hidden="1"/>
    </xf>
    <xf numFmtId="164" fontId="14" fillId="0" borderId="89" xfId="0" applyFont="1" applyBorder="1" applyAlignment="1" applyProtection="1">
      <alignment horizontal="right"/>
      <protection hidden="1"/>
    </xf>
    <xf numFmtId="0" fontId="14" fillId="0" borderId="119" xfId="4" applyFont="1" applyBorder="1" applyAlignment="1" applyProtection="1">
      <protection locked="0"/>
    </xf>
    <xf numFmtId="0" fontId="14" fillId="0" borderId="96" xfId="4" applyFont="1" applyBorder="1" applyAlignment="1" applyProtection="1">
      <protection locked="0"/>
    </xf>
    <xf numFmtId="0" fontId="14" fillId="0" borderId="88" xfId="4" applyFont="1" applyBorder="1" applyAlignment="1" applyProtection="1">
      <protection locked="0"/>
    </xf>
    <xf numFmtId="164" fontId="14" fillId="0" borderId="89" xfId="0" applyFont="1" applyBorder="1" applyAlignment="1" applyProtection="1">
      <alignment horizontal="right"/>
      <protection locked="0"/>
    </xf>
    <xf numFmtId="0" fontId="14" fillId="0" borderId="120" xfId="4" applyFont="1" applyBorder="1" applyAlignment="1" applyProtection="1">
      <alignment horizontal="right"/>
      <protection locked="0"/>
    </xf>
    <xf numFmtId="164" fontId="14" fillId="0" borderId="108" xfId="0" applyFont="1" applyBorder="1" applyAlignment="1" applyProtection="1">
      <alignment horizontal="center"/>
      <protection locked="0"/>
    </xf>
    <xf numFmtId="164" fontId="14" fillId="0" borderId="97" xfId="0" applyFont="1" applyBorder="1" applyAlignment="1" applyProtection="1">
      <alignment horizontal="center"/>
      <protection locked="0"/>
    </xf>
    <xf numFmtId="0" fontId="14" fillId="0" borderId="121" xfId="4" applyFont="1" applyBorder="1" applyAlignment="1" applyProtection="1">
      <alignment horizontal="center"/>
      <protection locked="0"/>
    </xf>
    <xf numFmtId="49" fontId="14" fillId="0" borderId="108" xfId="0" applyNumberFormat="1" applyFont="1" applyBorder="1" applyAlignment="1" applyProtection="1">
      <alignment horizontal="center"/>
      <protection locked="0"/>
    </xf>
    <xf numFmtId="49" fontId="14" fillId="0" borderId="97" xfId="0" applyNumberFormat="1" applyFont="1" applyBorder="1" applyAlignment="1" applyProtection="1">
      <alignment horizontal="center"/>
      <protection locked="0"/>
    </xf>
    <xf numFmtId="49" fontId="14" fillId="0" borderId="121" xfId="4" applyNumberFormat="1" applyFont="1" applyBorder="1" applyAlignment="1" applyProtection="1">
      <alignment horizontal="center"/>
      <protection locked="0"/>
    </xf>
    <xf numFmtId="0" fontId="14" fillId="0" borderId="122" xfId="4" applyFont="1" applyBorder="1" applyProtection="1">
      <protection locked="0"/>
    </xf>
    <xf numFmtId="0" fontId="14" fillId="0" borderId="123" xfId="4" applyFont="1" applyBorder="1" applyProtection="1">
      <protection hidden="1"/>
    </xf>
    <xf numFmtId="0" fontId="17" fillId="0" borderId="103" xfId="4" applyFont="1" applyBorder="1" applyAlignment="1" applyProtection="1">
      <alignment horizontal="center"/>
      <protection hidden="1"/>
    </xf>
    <xf numFmtId="0" fontId="17" fillId="0" borderId="104" xfId="4" applyFont="1" applyBorder="1" applyAlignment="1" applyProtection="1">
      <alignment horizontal="center"/>
      <protection hidden="1"/>
    </xf>
    <xf numFmtId="0" fontId="17" fillId="0" borderId="105" xfId="4" applyFont="1" applyBorder="1" applyAlignment="1" applyProtection="1">
      <alignment horizontal="center"/>
      <protection hidden="1"/>
    </xf>
    <xf numFmtId="0" fontId="17" fillId="0" borderId="106" xfId="4" applyFont="1" applyBorder="1" applyAlignment="1" applyProtection="1">
      <alignment horizontal="center"/>
      <protection hidden="1"/>
    </xf>
    <xf numFmtId="0" fontId="19" fillId="0" borderId="113" xfId="4" applyFont="1" applyBorder="1" applyAlignment="1" applyProtection="1">
      <alignment horizontal="center" vertical="center" wrapText="1"/>
      <protection locked="0"/>
    </xf>
    <xf numFmtId="0" fontId="19" fillId="0" borderId="66" xfId="4" applyFont="1" applyBorder="1" applyAlignment="1" applyProtection="1">
      <alignment horizontal="center" vertical="center" wrapText="1"/>
      <protection locked="0"/>
    </xf>
    <xf numFmtId="0" fontId="17" fillId="0" borderId="114" xfId="4" applyFont="1" applyBorder="1" applyAlignment="1" applyProtection="1">
      <alignment horizontal="center" vertical="center"/>
      <protection locked="0"/>
    </xf>
    <xf numFmtId="0" fontId="17" fillId="0" borderId="5" xfId="4" applyFont="1" applyBorder="1" applyAlignment="1" applyProtection="1">
      <alignment horizontal="center" vertical="center"/>
      <protection locked="0"/>
    </xf>
    <xf numFmtId="0" fontId="17" fillId="0" borderId="104" xfId="4" applyFont="1" applyBorder="1" applyAlignment="1" applyProtection="1">
      <alignment horizontal="center"/>
      <protection locked="0"/>
    </xf>
    <xf numFmtId="0" fontId="17" fillId="0" borderId="105" xfId="4" applyFont="1" applyBorder="1" applyAlignment="1" applyProtection="1">
      <alignment horizontal="center"/>
      <protection locked="0"/>
    </xf>
    <xf numFmtId="0" fontId="17" fillId="0" borderId="25" xfId="4" applyFont="1" applyBorder="1" applyAlignment="1" applyProtection="1">
      <alignment horizontal="center"/>
      <protection hidden="1"/>
    </xf>
    <xf numFmtId="0" fontId="19" fillId="0" borderId="56" xfId="4" applyFont="1" applyBorder="1" applyAlignment="1" applyProtection="1">
      <alignment horizontal="center" vertical="center" wrapText="1"/>
      <protection locked="0"/>
    </xf>
    <xf numFmtId="0" fontId="19" fillId="0" borderId="108" xfId="4" applyFont="1" applyBorder="1" applyAlignment="1" applyProtection="1">
      <alignment horizontal="center" vertical="center" wrapText="1"/>
      <protection locked="0"/>
    </xf>
    <xf numFmtId="0" fontId="17" fillId="0" borderId="1" xfId="4" applyFont="1" applyBorder="1" applyAlignment="1" applyProtection="1">
      <alignment horizontal="center" vertical="center"/>
      <protection locked="0"/>
    </xf>
    <xf numFmtId="0" fontId="15" fillId="0" borderId="0" xfId="4" applyFont="1" applyBorder="1" applyAlignment="1" applyProtection="1">
      <alignment horizontal="center" vertical="center"/>
      <protection locked="0"/>
    </xf>
    <xf numFmtId="0" fontId="14" fillId="0" borderId="0" xfId="4" applyFont="1" applyBorder="1" applyAlignment="1" applyProtection="1">
      <alignment horizontal="center"/>
      <protection locked="0"/>
    </xf>
    <xf numFmtId="0" fontId="17" fillId="0" borderId="106" xfId="4" applyFont="1" applyBorder="1" applyAlignment="1" applyProtection="1">
      <alignment horizontal="center"/>
      <protection locked="0"/>
    </xf>
    <xf numFmtId="0" fontId="17" fillId="0" borderId="103" xfId="4" quotePrefix="1" applyFont="1" applyBorder="1" applyAlignment="1" applyProtection="1">
      <alignment horizontal="center"/>
      <protection hidden="1"/>
    </xf>
    <xf numFmtId="0" fontId="17" fillId="0" borderId="104" xfId="4" quotePrefix="1" applyFont="1" applyBorder="1" applyAlignment="1" applyProtection="1">
      <alignment horizontal="center"/>
      <protection hidden="1"/>
    </xf>
    <xf numFmtId="0" fontId="17" fillId="0" borderId="105" xfId="4" quotePrefix="1" applyFont="1" applyBorder="1" applyAlignment="1" applyProtection="1">
      <alignment horizontal="center"/>
      <protection hidden="1"/>
    </xf>
    <xf numFmtId="0" fontId="15" fillId="0" borderId="47" xfId="4" applyFont="1" applyBorder="1" applyAlignment="1" applyProtection="1">
      <alignment horizontal="center"/>
      <protection locked="0"/>
    </xf>
    <xf numFmtId="0" fontId="16" fillId="0" borderId="47" xfId="4" applyFont="1" applyBorder="1" applyAlignment="1" applyProtection="1">
      <alignment horizontal="center"/>
      <protection locked="0"/>
    </xf>
    <xf numFmtId="0" fontId="17" fillId="0" borderId="16" xfId="4" applyFont="1" applyBorder="1" applyAlignment="1" applyProtection="1">
      <alignment horizontal="center"/>
      <protection locked="0"/>
    </xf>
    <xf numFmtId="0" fontId="17" fillId="0" borderId="101" xfId="4" applyFont="1" applyBorder="1" applyAlignment="1" applyProtection="1">
      <alignment horizontal="center"/>
      <protection locked="0"/>
    </xf>
    <xf numFmtId="0" fontId="17" fillId="0" borderId="102" xfId="4" applyFont="1" applyBorder="1" applyAlignment="1" applyProtection="1">
      <alignment horizontal="center"/>
      <protection locked="0"/>
    </xf>
    <xf numFmtId="0" fontId="21" fillId="0" borderId="47" xfId="4" applyFont="1" applyBorder="1" applyAlignment="1" applyProtection="1">
      <alignment horizontal="center"/>
      <protection locked="0"/>
    </xf>
    <xf numFmtId="0" fontId="22" fillId="0" borderId="16" xfId="4" applyFont="1" applyBorder="1" applyAlignment="1" applyProtection="1">
      <alignment horizontal="center"/>
      <protection locked="0"/>
    </xf>
    <xf numFmtId="0" fontId="22" fillId="0" borderId="101" xfId="4" applyFont="1" applyBorder="1" applyAlignment="1" applyProtection="1">
      <alignment horizontal="center"/>
      <protection locked="0"/>
    </xf>
    <xf numFmtId="0" fontId="22" fillId="0" borderId="102" xfId="4" applyFont="1" applyBorder="1" applyAlignment="1" applyProtection="1">
      <alignment horizontal="center"/>
      <protection locked="0"/>
    </xf>
    <xf numFmtId="0" fontId="16" fillId="0" borderId="47" xfId="4" quotePrefix="1" applyFont="1" applyBorder="1" applyAlignment="1" applyProtection="1">
      <alignment horizontal="center"/>
      <protection locked="0"/>
    </xf>
    <xf numFmtId="0" fontId="10" fillId="0" borderId="103" xfId="4" quotePrefix="1" applyFont="1" applyBorder="1" applyAlignment="1" applyProtection="1">
      <alignment horizontal="center"/>
      <protection hidden="1"/>
    </xf>
    <xf numFmtId="0" fontId="10" fillId="0" borderId="104" xfId="4" quotePrefix="1" applyFont="1" applyBorder="1" applyAlignment="1" applyProtection="1">
      <alignment horizontal="center"/>
      <protection hidden="1"/>
    </xf>
    <xf numFmtId="0" fontId="10" fillId="0" borderId="105" xfId="4" quotePrefix="1" applyFont="1" applyBorder="1" applyAlignment="1" applyProtection="1">
      <alignment horizontal="center"/>
      <protection hidden="1"/>
    </xf>
    <xf numFmtId="0" fontId="10" fillId="0" borderId="106" xfId="4" applyFont="1" applyBorder="1" applyAlignment="1" applyProtection="1">
      <alignment horizontal="center"/>
      <protection hidden="1"/>
    </xf>
    <xf numFmtId="0" fontId="10" fillId="0" borderId="103" xfId="4" applyFont="1" applyBorder="1" applyAlignment="1" applyProtection="1">
      <alignment horizontal="center"/>
      <protection hidden="1"/>
    </xf>
    <xf numFmtId="0" fontId="5" fillId="0" borderId="47" xfId="4" applyFont="1" applyBorder="1" applyAlignment="1" applyProtection="1">
      <alignment horizontal="center"/>
      <protection locked="0"/>
    </xf>
    <xf numFmtId="0" fontId="7" fillId="0" borderId="47" xfId="4" applyFont="1" applyBorder="1" applyAlignment="1" applyProtection="1">
      <alignment horizontal="center"/>
      <protection locked="0"/>
    </xf>
    <xf numFmtId="0" fontId="10" fillId="0" borderId="16" xfId="4" applyFont="1" applyBorder="1" applyAlignment="1" applyProtection="1">
      <alignment horizontal="center"/>
      <protection locked="0"/>
    </xf>
    <xf numFmtId="0" fontId="10" fillId="0" borderId="101" xfId="4" applyFont="1" applyBorder="1" applyAlignment="1" applyProtection="1">
      <alignment horizontal="center"/>
      <protection locked="0"/>
    </xf>
    <xf numFmtId="0" fontId="10" fillId="0" borderId="102" xfId="4" applyFont="1" applyBorder="1" applyAlignment="1" applyProtection="1">
      <alignment horizontal="center"/>
      <protection locked="0"/>
    </xf>
    <xf numFmtId="164" fontId="5" fillId="0" borderId="0" xfId="3" applyFont="1" applyAlignment="1" applyProtection="1">
      <alignment horizontal="center"/>
      <protection hidden="1"/>
    </xf>
    <xf numFmtId="164" fontId="8" fillId="0" borderId="97" xfId="3" applyFont="1" applyBorder="1" applyAlignment="1" applyProtection="1">
      <alignment horizontal="center" vertical="center"/>
      <protection hidden="1"/>
    </xf>
    <xf numFmtId="164" fontId="8" fillId="0" borderId="0" xfId="0" applyFont="1" applyAlignment="1" applyProtection="1">
      <alignment horizontal="center"/>
      <protection hidden="1"/>
    </xf>
    <xf numFmtId="164" fontId="8" fillId="0" borderId="97" xfId="0" applyFont="1" applyBorder="1" applyAlignment="1" applyProtection="1">
      <alignment horizontal="center" vertical="center"/>
      <protection hidden="1"/>
    </xf>
    <xf numFmtId="0" fontId="1" fillId="0" borderId="39" xfId="2" applyFont="1" applyBorder="1" applyAlignment="1">
      <alignment horizontal="center"/>
    </xf>
    <xf numFmtId="0" fontId="1" fillId="0" borderId="40" xfId="2" applyFont="1" applyBorder="1" applyAlignment="1">
      <alignment horizontal="center"/>
    </xf>
    <xf numFmtId="0" fontId="1" fillId="0" borderId="41" xfId="2" applyFont="1" applyBorder="1" applyAlignment="1">
      <alignment horizontal="center"/>
    </xf>
  </cellXfs>
  <cellStyles count="6">
    <cellStyle name="Normal" xfId="0" builtinId="0"/>
    <cellStyle name="Normal_¸p Hµ-néi (820)" xfId="1"/>
    <cellStyle name="Normal_¸p Hµ-néi (821)" xfId="2"/>
    <cellStyle name="Normal_BCnhanh" xfId="3"/>
    <cellStyle name="Normal_ngµy25" xfId="4"/>
    <cellStyle name="Normal_Tæng kÕt 4-98" xfId="5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chartsheet" Target="chartsheets/sheet1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chartsheet" Target="chartsheets/sheet4.xml"/><Relationship Id="rId5" Type="http://schemas.openxmlformats.org/officeDocument/2006/relationships/worksheet" Target="worksheets/sheet5.xml"/><Relationship Id="rId61" Type="http://schemas.openxmlformats.org/officeDocument/2006/relationships/chartsheet" Target="chartsheets/sheet7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hartsheet" Target="chartsheets/sheet2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hartsheet" Target="chartsheets/sheet5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chartsheet" Target="chartsheets/sheet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hartsheet" Target="chartsheets/sheet6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Tæng biÕn ¸p, nhiÖt 24h t¹i Cao B»ng</a:t>
            </a:r>
          </a:p>
        </c:rich>
      </c:tx>
      <c:layout>
        <c:manualLayout>
          <c:xMode val="edge"/>
          <c:yMode val="edge"/>
          <c:x val="0.37817497648165571"/>
          <c:y val="3.20699708454810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206961429915336E-2"/>
          <c:y val="0.10641399416909621"/>
          <c:w val="0.90216368767638755"/>
          <c:h val="0.7784256559766763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T(2)'!$A$7:$B$130</c:f>
              <c:multiLvlStrCache>
                <c:ptCount val="124"/>
                <c:lvl>
                  <c:pt idx="0">
                    <c:v>1</c:v>
                  </c:pt>
                  <c:pt idx="1">
                    <c:v>7</c:v>
                  </c:pt>
                  <c:pt idx="2">
                    <c:v>13</c:v>
                  </c:pt>
                  <c:pt idx="3">
                    <c:v>19</c:v>
                  </c:pt>
                  <c:pt idx="4">
                    <c:v>1</c:v>
                  </c:pt>
                  <c:pt idx="5">
                    <c:v>7</c:v>
                  </c:pt>
                  <c:pt idx="6">
                    <c:v>13</c:v>
                  </c:pt>
                  <c:pt idx="7">
                    <c:v>19</c:v>
                  </c:pt>
                  <c:pt idx="8">
                    <c:v>1</c:v>
                  </c:pt>
                  <c:pt idx="9">
                    <c:v>7</c:v>
                  </c:pt>
                  <c:pt idx="10">
                    <c:v>13</c:v>
                  </c:pt>
                  <c:pt idx="11">
                    <c:v>19</c:v>
                  </c:pt>
                  <c:pt idx="12">
                    <c:v>1</c:v>
                  </c:pt>
                  <c:pt idx="13">
                    <c:v>7</c:v>
                  </c:pt>
                  <c:pt idx="14">
                    <c:v>13</c:v>
                  </c:pt>
                  <c:pt idx="15">
                    <c:v>19</c:v>
                  </c:pt>
                  <c:pt idx="16">
                    <c:v>1</c:v>
                  </c:pt>
                  <c:pt idx="17">
                    <c:v>7</c:v>
                  </c:pt>
                  <c:pt idx="18">
                    <c:v>13</c:v>
                  </c:pt>
                  <c:pt idx="19">
                    <c:v>19</c:v>
                  </c:pt>
                  <c:pt idx="20">
                    <c:v>1</c:v>
                  </c:pt>
                  <c:pt idx="21">
                    <c:v>7</c:v>
                  </c:pt>
                  <c:pt idx="22">
                    <c:v>13</c:v>
                  </c:pt>
                  <c:pt idx="23">
                    <c:v>19</c:v>
                  </c:pt>
                  <c:pt idx="24">
                    <c:v>1</c:v>
                  </c:pt>
                  <c:pt idx="25">
                    <c:v>7</c:v>
                  </c:pt>
                  <c:pt idx="26">
                    <c:v>13</c:v>
                  </c:pt>
                  <c:pt idx="27">
                    <c:v>19</c:v>
                  </c:pt>
                  <c:pt idx="28">
                    <c:v>1</c:v>
                  </c:pt>
                  <c:pt idx="29">
                    <c:v>7</c:v>
                  </c:pt>
                  <c:pt idx="30">
                    <c:v>13</c:v>
                  </c:pt>
                  <c:pt idx="31">
                    <c:v>19</c:v>
                  </c:pt>
                  <c:pt idx="32">
                    <c:v>1</c:v>
                  </c:pt>
                  <c:pt idx="33">
                    <c:v>7</c:v>
                  </c:pt>
                  <c:pt idx="34">
                    <c:v>13</c:v>
                  </c:pt>
                  <c:pt idx="35">
                    <c:v>19</c:v>
                  </c:pt>
                  <c:pt idx="36">
                    <c:v>1</c:v>
                  </c:pt>
                  <c:pt idx="37">
                    <c:v>7</c:v>
                  </c:pt>
                  <c:pt idx="38">
                    <c:v>13</c:v>
                  </c:pt>
                  <c:pt idx="39">
                    <c:v>19</c:v>
                  </c:pt>
                  <c:pt idx="40">
                    <c:v>1</c:v>
                  </c:pt>
                  <c:pt idx="41">
                    <c:v>7</c:v>
                  </c:pt>
                  <c:pt idx="42">
                    <c:v>13</c:v>
                  </c:pt>
                  <c:pt idx="43">
                    <c:v>19</c:v>
                  </c:pt>
                  <c:pt idx="44">
                    <c:v>1</c:v>
                  </c:pt>
                  <c:pt idx="45">
                    <c:v>7</c:v>
                  </c:pt>
                  <c:pt idx="46">
                    <c:v>13</c:v>
                  </c:pt>
                  <c:pt idx="47">
                    <c:v>19</c:v>
                  </c:pt>
                  <c:pt idx="48">
                    <c:v>1</c:v>
                  </c:pt>
                  <c:pt idx="49">
                    <c:v>7</c:v>
                  </c:pt>
                  <c:pt idx="50">
                    <c:v>13</c:v>
                  </c:pt>
                  <c:pt idx="51">
                    <c:v>19</c:v>
                  </c:pt>
                  <c:pt idx="52">
                    <c:v>1</c:v>
                  </c:pt>
                  <c:pt idx="53">
                    <c:v>7</c:v>
                  </c:pt>
                  <c:pt idx="54">
                    <c:v>13</c:v>
                  </c:pt>
                  <c:pt idx="55">
                    <c:v>19</c:v>
                  </c:pt>
                  <c:pt idx="56">
                    <c:v>1</c:v>
                  </c:pt>
                  <c:pt idx="57">
                    <c:v>7</c:v>
                  </c:pt>
                  <c:pt idx="58">
                    <c:v>13</c:v>
                  </c:pt>
                  <c:pt idx="59">
                    <c:v>19</c:v>
                  </c:pt>
                  <c:pt idx="60">
                    <c:v>1</c:v>
                  </c:pt>
                  <c:pt idx="61">
                    <c:v>7</c:v>
                  </c:pt>
                  <c:pt idx="62">
                    <c:v>13</c:v>
                  </c:pt>
                  <c:pt idx="63">
                    <c:v>19</c:v>
                  </c:pt>
                  <c:pt idx="64">
                    <c:v>1</c:v>
                  </c:pt>
                  <c:pt idx="65">
                    <c:v>7</c:v>
                  </c:pt>
                  <c:pt idx="66">
                    <c:v>13</c:v>
                  </c:pt>
                  <c:pt idx="67">
                    <c:v>19</c:v>
                  </c:pt>
                  <c:pt idx="68">
                    <c:v>1</c:v>
                  </c:pt>
                  <c:pt idx="69">
                    <c:v>7</c:v>
                  </c:pt>
                  <c:pt idx="70">
                    <c:v>13</c:v>
                  </c:pt>
                  <c:pt idx="71">
                    <c:v>19</c:v>
                  </c:pt>
                  <c:pt idx="72">
                    <c:v>1</c:v>
                  </c:pt>
                  <c:pt idx="73">
                    <c:v>7</c:v>
                  </c:pt>
                  <c:pt idx="74">
                    <c:v>13</c:v>
                  </c:pt>
                  <c:pt idx="75">
                    <c:v>19</c:v>
                  </c:pt>
                  <c:pt idx="76">
                    <c:v>1</c:v>
                  </c:pt>
                  <c:pt idx="77">
                    <c:v>7</c:v>
                  </c:pt>
                  <c:pt idx="78">
                    <c:v>13</c:v>
                  </c:pt>
                  <c:pt idx="79">
                    <c:v>19</c:v>
                  </c:pt>
                  <c:pt idx="80">
                    <c:v>1</c:v>
                  </c:pt>
                  <c:pt idx="81">
                    <c:v>7</c:v>
                  </c:pt>
                  <c:pt idx="82">
                    <c:v>13</c:v>
                  </c:pt>
                  <c:pt idx="83">
                    <c:v>19</c:v>
                  </c:pt>
                  <c:pt idx="84">
                    <c:v>1</c:v>
                  </c:pt>
                  <c:pt idx="85">
                    <c:v>7</c:v>
                  </c:pt>
                  <c:pt idx="86">
                    <c:v>13</c:v>
                  </c:pt>
                  <c:pt idx="87">
                    <c:v>19</c:v>
                  </c:pt>
                  <c:pt idx="88">
                    <c:v>1</c:v>
                  </c:pt>
                  <c:pt idx="89">
                    <c:v>7</c:v>
                  </c:pt>
                  <c:pt idx="90">
                    <c:v>13</c:v>
                  </c:pt>
                  <c:pt idx="91">
                    <c:v>19</c:v>
                  </c:pt>
                  <c:pt idx="92">
                    <c:v>1</c:v>
                  </c:pt>
                  <c:pt idx="93">
                    <c:v>7</c:v>
                  </c:pt>
                  <c:pt idx="94">
                    <c:v>13</c:v>
                  </c:pt>
                  <c:pt idx="95">
                    <c:v>19</c:v>
                  </c:pt>
                  <c:pt idx="96">
                    <c:v>1</c:v>
                  </c:pt>
                  <c:pt idx="97">
                    <c:v>7</c:v>
                  </c:pt>
                  <c:pt idx="98">
                    <c:v>13</c:v>
                  </c:pt>
                  <c:pt idx="99">
                    <c:v>19</c:v>
                  </c:pt>
                  <c:pt idx="100">
                    <c:v>1</c:v>
                  </c:pt>
                  <c:pt idx="101">
                    <c:v>7</c:v>
                  </c:pt>
                  <c:pt idx="102">
                    <c:v>13</c:v>
                  </c:pt>
                  <c:pt idx="103">
                    <c:v>19</c:v>
                  </c:pt>
                  <c:pt idx="104">
                    <c:v>1</c:v>
                  </c:pt>
                  <c:pt idx="105">
                    <c:v>7</c:v>
                  </c:pt>
                  <c:pt idx="106">
                    <c:v>13</c:v>
                  </c:pt>
                  <c:pt idx="107">
                    <c:v>19</c:v>
                  </c:pt>
                  <c:pt idx="108">
                    <c:v>1</c:v>
                  </c:pt>
                  <c:pt idx="109">
                    <c:v>7</c:v>
                  </c:pt>
                  <c:pt idx="110">
                    <c:v>13</c:v>
                  </c:pt>
                  <c:pt idx="111">
                    <c:v>19</c:v>
                  </c:pt>
                  <c:pt idx="112">
                    <c:v>1</c:v>
                  </c:pt>
                  <c:pt idx="113">
                    <c:v>7</c:v>
                  </c:pt>
                  <c:pt idx="114">
                    <c:v>13</c:v>
                  </c:pt>
                  <c:pt idx="115">
                    <c:v>19</c:v>
                  </c:pt>
                  <c:pt idx="116">
                    <c:v>1</c:v>
                  </c:pt>
                  <c:pt idx="117">
                    <c:v>7</c:v>
                  </c:pt>
                  <c:pt idx="118">
                    <c:v>13</c:v>
                  </c:pt>
                  <c:pt idx="119">
                    <c:v>19</c:v>
                  </c:pt>
                  <c:pt idx="120">
                    <c:v>1</c:v>
                  </c:pt>
                  <c:pt idx="121">
                    <c:v>7</c:v>
                  </c:pt>
                  <c:pt idx="122">
                    <c:v>13</c:v>
                  </c:pt>
                  <c:pt idx="123">
                    <c:v>19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  <c:pt idx="48">
                    <c:v>13</c:v>
                  </c:pt>
                  <c:pt idx="52">
                    <c:v>14</c:v>
                  </c:pt>
                  <c:pt idx="56">
                    <c:v>15</c:v>
                  </c:pt>
                  <c:pt idx="60">
                    <c:v>16</c:v>
                  </c:pt>
                  <c:pt idx="64">
                    <c:v>17</c:v>
                  </c:pt>
                  <c:pt idx="68">
                    <c:v>18</c:v>
                  </c:pt>
                  <c:pt idx="72">
                    <c:v>19</c:v>
                  </c:pt>
                  <c:pt idx="76">
                    <c:v>20</c:v>
                  </c:pt>
                  <c:pt idx="80">
                    <c:v>21</c:v>
                  </c:pt>
                  <c:pt idx="84">
                    <c:v>22</c:v>
                  </c:pt>
                  <c:pt idx="88">
                    <c:v>23</c:v>
                  </c:pt>
                  <c:pt idx="92">
                    <c:v>24</c:v>
                  </c:pt>
                  <c:pt idx="96">
                    <c:v>25</c:v>
                  </c:pt>
                  <c:pt idx="100">
                    <c:v>26</c:v>
                  </c:pt>
                  <c:pt idx="104">
                    <c:v>27</c:v>
                  </c:pt>
                  <c:pt idx="108">
                    <c:v>28</c:v>
                  </c:pt>
                  <c:pt idx="112">
                    <c:v>29</c:v>
                  </c:pt>
                  <c:pt idx="116">
                    <c:v>30</c:v>
                  </c:pt>
                  <c:pt idx="120">
                    <c:v>31</c:v>
                  </c:pt>
                </c:lvl>
              </c:multiLvlStrCache>
            </c:multiLvlStrRef>
          </c:cat>
          <c:val>
            <c:numRef>
              <c:f>'P &amp; T(2)'!$L$7:$L$130</c:f>
              <c:numCache>
                <c:formatCode>General</c:formatCode>
                <c:ptCount val="1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C7-425C-B132-887316D98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506368"/>
        <c:axId val="308078464"/>
      </c:lineChart>
      <c:lineChart>
        <c:grouping val="standard"/>
        <c:varyColors val="0"/>
        <c:ser>
          <c:idx val="1"/>
          <c:order val="1"/>
          <c:tx>
            <c:v>NhiÖt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T(2)'!$A$7:$B$130</c:f>
              <c:multiLvlStrCache>
                <c:ptCount val="124"/>
                <c:lvl>
                  <c:pt idx="0">
                    <c:v>1</c:v>
                  </c:pt>
                  <c:pt idx="1">
                    <c:v>7</c:v>
                  </c:pt>
                  <c:pt idx="2">
                    <c:v>13</c:v>
                  </c:pt>
                  <c:pt idx="3">
                    <c:v>19</c:v>
                  </c:pt>
                  <c:pt idx="4">
                    <c:v>1</c:v>
                  </c:pt>
                  <c:pt idx="5">
                    <c:v>7</c:v>
                  </c:pt>
                  <c:pt idx="6">
                    <c:v>13</c:v>
                  </c:pt>
                  <c:pt idx="7">
                    <c:v>19</c:v>
                  </c:pt>
                  <c:pt idx="8">
                    <c:v>1</c:v>
                  </c:pt>
                  <c:pt idx="9">
                    <c:v>7</c:v>
                  </c:pt>
                  <c:pt idx="10">
                    <c:v>13</c:v>
                  </c:pt>
                  <c:pt idx="11">
                    <c:v>19</c:v>
                  </c:pt>
                  <c:pt idx="12">
                    <c:v>1</c:v>
                  </c:pt>
                  <c:pt idx="13">
                    <c:v>7</c:v>
                  </c:pt>
                  <c:pt idx="14">
                    <c:v>13</c:v>
                  </c:pt>
                  <c:pt idx="15">
                    <c:v>19</c:v>
                  </c:pt>
                  <c:pt idx="16">
                    <c:v>1</c:v>
                  </c:pt>
                  <c:pt idx="17">
                    <c:v>7</c:v>
                  </c:pt>
                  <c:pt idx="18">
                    <c:v>13</c:v>
                  </c:pt>
                  <c:pt idx="19">
                    <c:v>19</c:v>
                  </c:pt>
                  <c:pt idx="20">
                    <c:v>1</c:v>
                  </c:pt>
                  <c:pt idx="21">
                    <c:v>7</c:v>
                  </c:pt>
                  <c:pt idx="22">
                    <c:v>13</c:v>
                  </c:pt>
                  <c:pt idx="23">
                    <c:v>19</c:v>
                  </c:pt>
                  <c:pt idx="24">
                    <c:v>1</c:v>
                  </c:pt>
                  <c:pt idx="25">
                    <c:v>7</c:v>
                  </c:pt>
                  <c:pt idx="26">
                    <c:v>13</c:v>
                  </c:pt>
                  <c:pt idx="27">
                    <c:v>19</c:v>
                  </c:pt>
                  <c:pt idx="28">
                    <c:v>1</c:v>
                  </c:pt>
                  <c:pt idx="29">
                    <c:v>7</c:v>
                  </c:pt>
                  <c:pt idx="30">
                    <c:v>13</c:v>
                  </c:pt>
                  <c:pt idx="31">
                    <c:v>19</c:v>
                  </c:pt>
                  <c:pt idx="32">
                    <c:v>1</c:v>
                  </c:pt>
                  <c:pt idx="33">
                    <c:v>7</c:v>
                  </c:pt>
                  <c:pt idx="34">
                    <c:v>13</c:v>
                  </c:pt>
                  <c:pt idx="35">
                    <c:v>19</c:v>
                  </c:pt>
                  <c:pt idx="36">
                    <c:v>1</c:v>
                  </c:pt>
                  <c:pt idx="37">
                    <c:v>7</c:v>
                  </c:pt>
                  <c:pt idx="38">
                    <c:v>13</c:v>
                  </c:pt>
                  <c:pt idx="39">
                    <c:v>19</c:v>
                  </c:pt>
                  <c:pt idx="40">
                    <c:v>1</c:v>
                  </c:pt>
                  <c:pt idx="41">
                    <c:v>7</c:v>
                  </c:pt>
                  <c:pt idx="42">
                    <c:v>13</c:v>
                  </c:pt>
                  <c:pt idx="43">
                    <c:v>19</c:v>
                  </c:pt>
                  <c:pt idx="44">
                    <c:v>1</c:v>
                  </c:pt>
                  <c:pt idx="45">
                    <c:v>7</c:v>
                  </c:pt>
                  <c:pt idx="46">
                    <c:v>13</c:v>
                  </c:pt>
                  <c:pt idx="47">
                    <c:v>19</c:v>
                  </c:pt>
                  <c:pt idx="48">
                    <c:v>1</c:v>
                  </c:pt>
                  <c:pt idx="49">
                    <c:v>7</c:v>
                  </c:pt>
                  <c:pt idx="50">
                    <c:v>13</c:v>
                  </c:pt>
                  <c:pt idx="51">
                    <c:v>19</c:v>
                  </c:pt>
                  <c:pt idx="52">
                    <c:v>1</c:v>
                  </c:pt>
                  <c:pt idx="53">
                    <c:v>7</c:v>
                  </c:pt>
                  <c:pt idx="54">
                    <c:v>13</c:v>
                  </c:pt>
                  <c:pt idx="55">
                    <c:v>19</c:v>
                  </c:pt>
                  <c:pt idx="56">
                    <c:v>1</c:v>
                  </c:pt>
                  <c:pt idx="57">
                    <c:v>7</c:v>
                  </c:pt>
                  <c:pt idx="58">
                    <c:v>13</c:v>
                  </c:pt>
                  <c:pt idx="59">
                    <c:v>19</c:v>
                  </c:pt>
                  <c:pt idx="60">
                    <c:v>1</c:v>
                  </c:pt>
                  <c:pt idx="61">
                    <c:v>7</c:v>
                  </c:pt>
                  <c:pt idx="62">
                    <c:v>13</c:v>
                  </c:pt>
                  <c:pt idx="63">
                    <c:v>19</c:v>
                  </c:pt>
                  <c:pt idx="64">
                    <c:v>1</c:v>
                  </c:pt>
                  <c:pt idx="65">
                    <c:v>7</c:v>
                  </c:pt>
                  <c:pt idx="66">
                    <c:v>13</c:v>
                  </c:pt>
                  <c:pt idx="67">
                    <c:v>19</c:v>
                  </c:pt>
                  <c:pt idx="68">
                    <c:v>1</c:v>
                  </c:pt>
                  <c:pt idx="69">
                    <c:v>7</c:v>
                  </c:pt>
                  <c:pt idx="70">
                    <c:v>13</c:v>
                  </c:pt>
                  <c:pt idx="71">
                    <c:v>19</c:v>
                  </c:pt>
                  <c:pt idx="72">
                    <c:v>1</c:v>
                  </c:pt>
                  <c:pt idx="73">
                    <c:v>7</c:v>
                  </c:pt>
                  <c:pt idx="74">
                    <c:v>13</c:v>
                  </c:pt>
                  <c:pt idx="75">
                    <c:v>19</c:v>
                  </c:pt>
                  <c:pt idx="76">
                    <c:v>1</c:v>
                  </c:pt>
                  <c:pt idx="77">
                    <c:v>7</c:v>
                  </c:pt>
                  <c:pt idx="78">
                    <c:v>13</c:v>
                  </c:pt>
                  <c:pt idx="79">
                    <c:v>19</c:v>
                  </c:pt>
                  <c:pt idx="80">
                    <c:v>1</c:v>
                  </c:pt>
                  <c:pt idx="81">
                    <c:v>7</c:v>
                  </c:pt>
                  <c:pt idx="82">
                    <c:v>13</c:v>
                  </c:pt>
                  <c:pt idx="83">
                    <c:v>19</c:v>
                  </c:pt>
                  <c:pt idx="84">
                    <c:v>1</c:v>
                  </c:pt>
                  <c:pt idx="85">
                    <c:v>7</c:v>
                  </c:pt>
                  <c:pt idx="86">
                    <c:v>13</c:v>
                  </c:pt>
                  <c:pt idx="87">
                    <c:v>19</c:v>
                  </c:pt>
                  <c:pt idx="88">
                    <c:v>1</c:v>
                  </c:pt>
                  <c:pt idx="89">
                    <c:v>7</c:v>
                  </c:pt>
                  <c:pt idx="90">
                    <c:v>13</c:v>
                  </c:pt>
                  <c:pt idx="91">
                    <c:v>19</c:v>
                  </c:pt>
                  <c:pt idx="92">
                    <c:v>1</c:v>
                  </c:pt>
                  <c:pt idx="93">
                    <c:v>7</c:v>
                  </c:pt>
                  <c:pt idx="94">
                    <c:v>13</c:v>
                  </c:pt>
                  <c:pt idx="95">
                    <c:v>19</c:v>
                  </c:pt>
                  <c:pt idx="96">
                    <c:v>1</c:v>
                  </c:pt>
                  <c:pt idx="97">
                    <c:v>7</c:v>
                  </c:pt>
                  <c:pt idx="98">
                    <c:v>13</c:v>
                  </c:pt>
                  <c:pt idx="99">
                    <c:v>19</c:v>
                  </c:pt>
                  <c:pt idx="100">
                    <c:v>1</c:v>
                  </c:pt>
                  <c:pt idx="101">
                    <c:v>7</c:v>
                  </c:pt>
                  <c:pt idx="102">
                    <c:v>13</c:v>
                  </c:pt>
                  <c:pt idx="103">
                    <c:v>19</c:v>
                  </c:pt>
                  <c:pt idx="104">
                    <c:v>1</c:v>
                  </c:pt>
                  <c:pt idx="105">
                    <c:v>7</c:v>
                  </c:pt>
                  <c:pt idx="106">
                    <c:v>13</c:v>
                  </c:pt>
                  <c:pt idx="107">
                    <c:v>19</c:v>
                  </c:pt>
                  <c:pt idx="108">
                    <c:v>1</c:v>
                  </c:pt>
                  <c:pt idx="109">
                    <c:v>7</c:v>
                  </c:pt>
                  <c:pt idx="110">
                    <c:v>13</c:v>
                  </c:pt>
                  <c:pt idx="111">
                    <c:v>19</c:v>
                  </c:pt>
                  <c:pt idx="112">
                    <c:v>1</c:v>
                  </c:pt>
                  <c:pt idx="113">
                    <c:v>7</c:v>
                  </c:pt>
                  <c:pt idx="114">
                    <c:v>13</c:v>
                  </c:pt>
                  <c:pt idx="115">
                    <c:v>19</c:v>
                  </c:pt>
                  <c:pt idx="116">
                    <c:v>1</c:v>
                  </c:pt>
                  <c:pt idx="117">
                    <c:v>7</c:v>
                  </c:pt>
                  <c:pt idx="118">
                    <c:v>13</c:v>
                  </c:pt>
                  <c:pt idx="119">
                    <c:v>19</c:v>
                  </c:pt>
                  <c:pt idx="120">
                    <c:v>1</c:v>
                  </c:pt>
                  <c:pt idx="121">
                    <c:v>7</c:v>
                  </c:pt>
                  <c:pt idx="122">
                    <c:v>13</c:v>
                  </c:pt>
                  <c:pt idx="123">
                    <c:v>19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  <c:pt idx="48">
                    <c:v>13</c:v>
                  </c:pt>
                  <c:pt idx="52">
                    <c:v>14</c:v>
                  </c:pt>
                  <c:pt idx="56">
                    <c:v>15</c:v>
                  </c:pt>
                  <c:pt idx="60">
                    <c:v>16</c:v>
                  </c:pt>
                  <c:pt idx="64">
                    <c:v>17</c:v>
                  </c:pt>
                  <c:pt idx="68">
                    <c:v>18</c:v>
                  </c:pt>
                  <c:pt idx="72">
                    <c:v>19</c:v>
                  </c:pt>
                  <c:pt idx="76">
                    <c:v>20</c:v>
                  </c:pt>
                  <c:pt idx="80">
                    <c:v>21</c:v>
                  </c:pt>
                  <c:pt idx="84">
                    <c:v>22</c:v>
                  </c:pt>
                  <c:pt idx="88">
                    <c:v>23</c:v>
                  </c:pt>
                  <c:pt idx="92">
                    <c:v>24</c:v>
                  </c:pt>
                  <c:pt idx="96">
                    <c:v>25</c:v>
                  </c:pt>
                  <c:pt idx="100">
                    <c:v>26</c:v>
                  </c:pt>
                  <c:pt idx="104">
                    <c:v>27</c:v>
                  </c:pt>
                  <c:pt idx="108">
                    <c:v>28</c:v>
                  </c:pt>
                  <c:pt idx="112">
                    <c:v>29</c:v>
                  </c:pt>
                  <c:pt idx="116">
                    <c:v>30</c:v>
                  </c:pt>
                  <c:pt idx="120">
                    <c:v>31</c:v>
                  </c:pt>
                </c:lvl>
              </c:multiLvlStrCache>
            </c:multiLvlStrRef>
          </c:cat>
          <c:val>
            <c:numRef>
              <c:f>'P &amp; T(2)'!$P$7:$P$130</c:f>
              <c:numCache>
                <c:formatCode>General</c:formatCode>
                <c:ptCount val="1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C7-425C-B132-887316D98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147904"/>
        <c:axId val="309161984"/>
      </c:lineChart>
      <c:catAx>
        <c:axId val="302506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dP</a:t>
                </a:r>
              </a:p>
            </c:rich>
          </c:tx>
          <c:layout>
            <c:manualLayout>
              <c:xMode val="edge"/>
              <c:yMode val="edge"/>
              <c:x val="4.8918156161806212E-2"/>
              <c:y val="5.247813411078717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308078464"/>
        <c:crosses val="autoZero"/>
        <c:auto val="0"/>
        <c:lblAlgn val="ctr"/>
        <c:lblOffset val="100"/>
        <c:tickLblSkip val="3"/>
        <c:tickMarkSkip val="1"/>
        <c:noMultiLvlLbl val="0"/>
      </c:catAx>
      <c:valAx>
        <c:axId val="308078464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Ngay, gio</a:t>
                </a:r>
              </a:p>
            </c:rich>
          </c:tx>
          <c:layout>
            <c:manualLayout>
              <c:xMode val="edge"/>
              <c:yMode val="edge"/>
              <c:x val="0.48259642521166513"/>
              <c:y val="0.96647230320699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302506368"/>
        <c:crosses val="autoZero"/>
        <c:crossBetween val="between"/>
      </c:valAx>
      <c:catAx>
        <c:axId val="3091479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9161984"/>
        <c:crosses val="autoZero"/>
        <c:auto val="0"/>
        <c:lblAlgn val="ctr"/>
        <c:lblOffset val="100"/>
        <c:noMultiLvlLbl val="0"/>
      </c:catAx>
      <c:valAx>
        <c:axId val="309161984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3091479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 Tæng biÕn ¸p, nhiÖt 24h t¹i ThÊt Khª</a:t>
            </a:r>
          </a:p>
        </c:rich>
      </c:tx>
      <c:layout>
        <c:manualLayout>
          <c:xMode val="edge"/>
          <c:yMode val="edge"/>
          <c:x val="0.37952430196483972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6194415718717683E-2"/>
          <c:y val="0.11186440677966102"/>
          <c:w val="0.937952430196484"/>
          <c:h val="0.75084745762711869"/>
        </c:manualLayout>
      </c:layout>
      <c:lineChart>
        <c:grouping val="standard"/>
        <c:varyColors val="0"/>
        <c:ser>
          <c:idx val="0"/>
          <c:order val="0"/>
          <c:tx>
            <c:strRef>
              <c:f>'P &amp; T(1) '!$J$10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T(1) '!$A$11:$B$258</c:f>
              <c:multiLvlStrCache>
                <c:ptCount val="248"/>
                <c:lvl>
                  <c:pt idx="0">
                    <c:v>1</c:v>
                  </c:pt>
                  <c:pt idx="1">
                    <c:v>4</c:v>
                  </c:pt>
                  <c:pt idx="2">
                    <c:v>7</c:v>
                  </c:pt>
                  <c:pt idx="3">
                    <c:v>10</c:v>
                  </c:pt>
                  <c:pt idx="4">
                    <c:v>13</c:v>
                  </c:pt>
                  <c:pt idx="5">
                    <c:v>16</c:v>
                  </c:pt>
                  <c:pt idx="6">
                    <c:v>19</c:v>
                  </c:pt>
                  <c:pt idx="7">
                    <c:v>22</c:v>
                  </c:pt>
                  <c:pt idx="8">
                    <c:v>1</c:v>
                  </c:pt>
                  <c:pt idx="9">
                    <c:v>4</c:v>
                  </c:pt>
                  <c:pt idx="10">
                    <c:v>7</c:v>
                  </c:pt>
                  <c:pt idx="11">
                    <c:v>10</c:v>
                  </c:pt>
                  <c:pt idx="12">
                    <c:v>13</c:v>
                  </c:pt>
                  <c:pt idx="13">
                    <c:v>16</c:v>
                  </c:pt>
                  <c:pt idx="14">
                    <c:v>19</c:v>
                  </c:pt>
                  <c:pt idx="15">
                    <c:v>22</c:v>
                  </c:pt>
                  <c:pt idx="16">
                    <c:v>1</c:v>
                  </c:pt>
                  <c:pt idx="17">
                    <c:v>4</c:v>
                  </c:pt>
                  <c:pt idx="18">
                    <c:v>7</c:v>
                  </c:pt>
                  <c:pt idx="19">
                    <c:v>10</c:v>
                  </c:pt>
                  <c:pt idx="20">
                    <c:v>13</c:v>
                  </c:pt>
                  <c:pt idx="21">
                    <c:v>16</c:v>
                  </c:pt>
                  <c:pt idx="22">
                    <c:v>19</c:v>
                  </c:pt>
                  <c:pt idx="23">
                    <c:v>22</c:v>
                  </c:pt>
                  <c:pt idx="24">
                    <c:v>1</c:v>
                  </c:pt>
                  <c:pt idx="25">
                    <c:v>4</c:v>
                  </c:pt>
                  <c:pt idx="26">
                    <c:v>7</c:v>
                  </c:pt>
                  <c:pt idx="27">
                    <c:v>10</c:v>
                  </c:pt>
                  <c:pt idx="28">
                    <c:v>13</c:v>
                  </c:pt>
                  <c:pt idx="29">
                    <c:v>16</c:v>
                  </c:pt>
                  <c:pt idx="30">
                    <c:v>19</c:v>
                  </c:pt>
                  <c:pt idx="31">
                    <c:v>22</c:v>
                  </c:pt>
                  <c:pt idx="32">
                    <c:v>1</c:v>
                  </c:pt>
                  <c:pt idx="33">
                    <c:v>4</c:v>
                  </c:pt>
                  <c:pt idx="34">
                    <c:v>7</c:v>
                  </c:pt>
                  <c:pt idx="35">
                    <c:v>10</c:v>
                  </c:pt>
                  <c:pt idx="36">
                    <c:v>13</c:v>
                  </c:pt>
                  <c:pt idx="37">
                    <c:v>16</c:v>
                  </c:pt>
                  <c:pt idx="38">
                    <c:v>19</c:v>
                  </c:pt>
                  <c:pt idx="39">
                    <c:v>22</c:v>
                  </c:pt>
                  <c:pt idx="40">
                    <c:v>1</c:v>
                  </c:pt>
                  <c:pt idx="41">
                    <c:v>4</c:v>
                  </c:pt>
                  <c:pt idx="42">
                    <c:v>7</c:v>
                  </c:pt>
                  <c:pt idx="43">
                    <c:v>10</c:v>
                  </c:pt>
                  <c:pt idx="44">
                    <c:v>13</c:v>
                  </c:pt>
                  <c:pt idx="45">
                    <c:v>16</c:v>
                  </c:pt>
                  <c:pt idx="46">
                    <c:v>19</c:v>
                  </c:pt>
                  <c:pt idx="47">
                    <c:v>22</c:v>
                  </c:pt>
                  <c:pt idx="48">
                    <c:v>1</c:v>
                  </c:pt>
                  <c:pt idx="49">
                    <c:v>4</c:v>
                  </c:pt>
                  <c:pt idx="50">
                    <c:v>7</c:v>
                  </c:pt>
                  <c:pt idx="51">
                    <c:v>10</c:v>
                  </c:pt>
                  <c:pt idx="52">
                    <c:v>13</c:v>
                  </c:pt>
                  <c:pt idx="53">
                    <c:v>16</c:v>
                  </c:pt>
                  <c:pt idx="54">
                    <c:v>19</c:v>
                  </c:pt>
                  <c:pt idx="55">
                    <c:v>22</c:v>
                  </c:pt>
                  <c:pt idx="56">
                    <c:v>1</c:v>
                  </c:pt>
                  <c:pt idx="57">
                    <c:v>4</c:v>
                  </c:pt>
                  <c:pt idx="58">
                    <c:v>7</c:v>
                  </c:pt>
                  <c:pt idx="59">
                    <c:v>10</c:v>
                  </c:pt>
                  <c:pt idx="60">
                    <c:v>13</c:v>
                  </c:pt>
                  <c:pt idx="61">
                    <c:v>16</c:v>
                  </c:pt>
                  <c:pt idx="62">
                    <c:v>19</c:v>
                  </c:pt>
                  <c:pt idx="63">
                    <c:v>22</c:v>
                  </c:pt>
                  <c:pt idx="64">
                    <c:v>1</c:v>
                  </c:pt>
                  <c:pt idx="65">
                    <c:v>4</c:v>
                  </c:pt>
                  <c:pt idx="66">
                    <c:v>7</c:v>
                  </c:pt>
                  <c:pt idx="67">
                    <c:v>10</c:v>
                  </c:pt>
                  <c:pt idx="68">
                    <c:v>13</c:v>
                  </c:pt>
                  <c:pt idx="69">
                    <c:v>16</c:v>
                  </c:pt>
                  <c:pt idx="70">
                    <c:v>19</c:v>
                  </c:pt>
                  <c:pt idx="71">
                    <c:v>22</c:v>
                  </c:pt>
                  <c:pt idx="72">
                    <c:v>1</c:v>
                  </c:pt>
                  <c:pt idx="73">
                    <c:v>4</c:v>
                  </c:pt>
                  <c:pt idx="74">
                    <c:v>7</c:v>
                  </c:pt>
                  <c:pt idx="75">
                    <c:v>10</c:v>
                  </c:pt>
                  <c:pt idx="76">
                    <c:v>13</c:v>
                  </c:pt>
                  <c:pt idx="77">
                    <c:v>16</c:v>
                  </c:pt>
                  <c:pt idx="78">
                    <c:v>19</c:v>
                  </c:pt>
                  <c:pt idx="79">
                    <c:v>22</c:v>
                  </c:pt>
                  <c:pt idx="80">
                    <c:v>1</c:v>
                  </c:pt>
                  <c:pt idx="81">
                    <c:v>4</c:v>
                  </c:pt>
                  <c:pt idx="82">
                    <c:v>7</c:v>
                  </c:pt>
                  <c:pt idx="83">
                    <c:v>10</c:v>
                  </c:pt>
                  <c:pt idx="84">
                    <c:v>13</c:v>
                  </c:pt>
                  <c:pt idx="85">
                    <c:v>16</c:v>
                  </c:pt>
                  <c:pt idx="86">
                    <c:v>19</c:v>
                  </c:pt>
                  <c:pt idx="87">
                    <c:v>22</c:v>
                  </c:pt>
                  <c:pt idx="88">
                    <c:v>1</c:v>
                  </c:pt>
                  <c:pt idx="89">
                    <c:v>4</c:v>
                  </c:pt>
                  <c:pt idx="90">
                    <c:v>7</c:v>
                  </c:pt>
                  <c:pt idx="91">
                    <c:v>10</c:v>
                  </c:pt>
                  <c:pt idx="92">
                    <c:v>13</c:v>
                  </c:pt>
                  <c:pt idx="93">
                    <c:v>16</c:v>
                  </c:pt>
                  <c:pt idx="94">
                    <c:v>19</c:v>
                  </c:pt>
                  <c:pt idx="95">
                    <c:v>22</c:v>
                  </c:pt>
                  <c:pt idx="96">
                    <c:v>1</c:v>
                  </c:pt>
                  <c:pt idx="97">
                    <c:v>4</c:v>
                  </c:pt>
                  <c:pt idx="98">
                    <c:v>7</c:v>
                  </c:pt>
                  <c:pt idx="99">
                    <c:v>10</c:v>
                  </c:pt>
                  <c:pt idx="100">
                    <c:v>13</c:v>
                  </c:pt>
                  <c:pt idx="101">
                    <c:v>16</c:v>
                  </c:pt>
                  <c:pt idx="102">
                    <c:v>19</c:v>
                  </c:pt>
                  <c:pt idx="103">
                    <c:v>22</c:v>
                  </c:pt>
                  <c:pt idx="104">
                    <c:v>1</c:v>
                  </c:pt>
                  <c:pt idx="105">
                    <c:v>4</c:v>
                  </c:pt>
                  <c:pt idx="106">
                    <c:v>7</c:v>
                  </c:pt>
                  <c:pt idx="107">
                    <c:v>10</c:v>
                  </c:pt>
                  <c:pt idx="108">
                    <c:v>13</c:v>
                  </c:pt>
                  <c:pt idx="109">
                    <c:v>16</c:v>
                  </c:pt>
                  <c:pt idx="110">
                    <c:v>19</c:v>
                  </c:pt>
                  <c:pt idx="111">
                    <c:v>22</c:v>
                  </c:pt>
                  <c:pt idx="112">
                    <c:v>1</c:v>
                  </c:pt>
                  <c:pt idx="113">
                    <c:v>4</c:v>
                  </c:pt>
                  <c:pt idx="114">
                    <c:v>7</c:v>
                  </c:pt>
                  <c:pt idx="115">
                    <c:v>10</c:v>
                  </c:pt>
                  <c:pt idx="116">
                    <c:v>13</c:v>
                  </c:pt>
                  <c:pt idx="117">
                    <c:v>16</c:v>
                  </c:pt>
                  <c:pt idx="118">
                    <c:v>19</c:v>
                  </c:pt>
                  <c:pt idx="119">
                    <c:v>22</c:v>
                  </c:pt>
                  <c:pt idx="120">
                    <c:v>1</c:v>
                  </c:pt>
                  <c:pt idx="121">
                    <c:v>4</c:v>
                  </c:pt>
                  <c:pt idx="122">
                    <c:v>7</c:v>
                  </c:pt>
                  <c:pt idx="123">
                    <c:v>10</c:v>
                  </c:pt>
                  <c:pt idx="124">
                    <c:v>13</c:v>
                  </c:pt>
                  <c:pt idx="125">
                    <c:v>16</c:v>
                  </c:pt>
                  <c:pt idx="126">
                    <c:v>19</c:v>
                  </c:pt>
                  <c:pt idx="127">
                    <c:v>22</c:v>
                  </c:pt>
                  <c:pt idx="128">
                    <c:v>1</c:v>
                  </c:pt>
                  <c:pt idx="129">
                    <c:v>4</c:v>
                  </c:pt>
                  <c:pt idx="130">
                    <c:v>7</c:v>
                  </c:pt>
                  <c:pt idx="131">
                    <c:v>10</c:v>
                  </c:pt>
                  <c:pt idx="132">
                    <c:v>13</c:v>
                  </c:pt>
                  <c:pt idx="133">
                    <c:v>16</c:v>
                  </c:pt>
                  <c:pt idx="134">
                    <c:v>19</c:v>
                  </c:pt>
                  <c:pt idx="135">
                    <c:v>22</c:v>
                  </c:pt>
                  <c:pt idx="136">
                    <c:v>1</c:v>
                  </c:pt>
                  <c:pt idx="137">
                    <c:v>4</c:v>
                  </c:pt>
                  <c:pt idx="138">
                    <c:v>7</c:v>
                  </c:pt>
                  <c:pt idx="139">
                    <c:v>10</c:v>
                  </c:pt>
                  <c:pt idx="140">
                    <c:v>13</c:v>
                  </c:pt>
                  <c:pt idx="141">
                    <c:v>16</c:v>
                  </c:pt>
                  <c:pt idx="142">
                    <c:v>19</c:v>
                  </c:pt>
                  <c:pt idx="143">
                    <c:v>22</c:v>
                  </c:pt>
                  <c:pt idx="144">
                    <c:v>1</c:v>
                  </c:pt>
                  <c:pt idx="145">
                    <c:v>4</c:v>
                  </c:pt>
                  <c:pt idx="146">
                    <c:v>7</c:v>
                  </c:pt>
                  <c:pt idx="147">
                    <c:v>10</c:v>
                  </c:pt>
                  <c:pt idx="148">
                    <c:v>13</c:v>
                  </c:pt>
                  <c:pt idx="149">
                    <c:v>16</c:v>
                  </c:pt>
                  <c:pt idx="150">
                    <c:v>19</c:v>
                  </c:pt>
                  <c:pt idx="151">
                    <c:v>22</c:v>
                  </c:pt>
                  <c:pt idx="152">
                    <c:v>1</c:v>
                  </c:pt>
                  <c:pt idx="153">
                    <c:v>4</c:v>
                  </c:pt>
                  <c:pt idx="154">
                    <c:v>7</c:v>
                  </c:pt>
                  <c:pt idx="155">
                    <c:v>10</c:v>
                  </c:pt>
                  <c:pt idx="156">
                    <c:v>13</c:v>
                  </c:pt>
                  <c:pt idx="157">
                    <c:v>16</c:v>
                  </c:pt>
                  <c:pt idx="158">
                    <c:v>19</c:v>
                  </c:pt>
                  <c:pt idx="159">
                    <c:v>22</c:v>
                  </c:pt>
                  <c:pt idx="160">
                    <c:v>1</c:v>
                  </c:pt>
                  <c:pt idx="161">
                    <c:v>4</c:v>
                  </c:pt>
                  <c:pt idx="162">
                    <c:v>7</c:v>
                  </c:pt>
                  <c:pt idx="163">
                    <c:v>10</c:v>
                  </c:pt>
                  <c:pt idx="164">
                    <c:v>13</c:v>
                  </c:pt>
                  <c:pt idx="165">
                    <c:v>16</c:v>
                  </c:pt>
                  <c:pt idx="166">
                    <c:v>19</c:v>
                  </c:pt>
                  <c:pt idx="167">
                    <c:v>22</c:v>
                  </c:pt>
                  <c:pt idx="168">
                    <c:v>1</c:v>
                  </c:pt>
                  <c:pt idx="169">
                    <c:v>4</c:v>
                  </c:pt>
                  <c:pt idx="170">
                    <c:v>7</c:v>
                  </c:pt>
                  <c:pt idx="171">
                    <c:v>10</c:v>
                  </c:pt>
                  <c:pt idx="172">
                    <c:v>13</c:v>
                  </c:pt>
                  <c:pt idx="173">
                    <c:v>16</c:v>
                  </c:pt>
                  <c:pt idx="174">
                    <c:v>19</c:v>
                  </c:pt>
                  <c:pt idx="175">
                    <c:v>22</c:v>
                  </c:pt>
                  <c:pt idx="176">
                    <c:v>1</c:v>
                  </c:pt>
                  <c:pt idx="177">
                    <c:v>4</c:v>
                  </c:pt>
                  <c:pt idx="178">
                    <c:v>7</c:v>
                  </c:pt>
                  <c:pt idx="179">
                    <c:v>10</c:v>
                  </c:pt>
                  <c:pt idx="180">
                    <c:v>13</c:v>
                  </c:pt>
                  <c:pt idx="181">
                    <c:v>16</c:v>
                  </c:pt>
                  <c:pt idx="182">
                    <c:v>19</c:v>
                  </c:pt>
                  <c:pt idx="183">
                    <c:v>22</c:v>
                  </c:pt>
                  <c:pt idx="184">
                    <c:v>1</c:v>
                  </c:pt>
                  <c:pt idx="185">
                    <c:v>4</c:v>
                  </c:pt>
                  <c:pt idx="186">
                    <c:v>7</c:v>
                  </c:pt>
                  <c:pt idx="187">
                    <c:v>10</c:v>
                  </c:pt>
                  <c:pt idx="188">
                    <c:v>13</c:v>
                  </c:pt>
                  <c:pt idx="189">
                    <c:v>16</c:v>
                  </c:pt>
                  <c:pt idx="190">
                    <c:v>19</c:v>
                  </c:pt>
                  <c:pt idx="191">
                    <c:v>22</c:v>
                  </c:pt>
                  <c:pt idx="192">
                    <c:v>1</c:v>
                  </c:pt>
                  <c:pt idx="193">
                    <c:v>4</c:v>
                  </c:pt>
                  <c:pt idx="194">
                    <c:v>7</c:v>
                  </c:pt>
                  <c:pt idx="195">
                    <c:v>10</c:v>
                  </c:pt>
                  <c:pt idx="196">
                    <c:v>13</c:v>
                  </c:pt>
                  <c:pt idx="197">
                    <c:v>16</c:v>
                  </c:pt>
                  <c:pt idx="198">
                    <c:v>19</c:v>
                  </c:pt>
                  <c:pt idx="199">
                    <c:v>22</c:v>
                  </c:pt>
                  <c:pt idx="200">
                    <c:v>1</c:v>
                  </c:pt>
                  <c:pt idx="201">
                    <c:v>4</c:v>
                  </c:pt>
                  <c:pt idx="202">
                    <c:v>7</c:v>
                  </c:pt>
                  <c:pt idx="203">
                    <c:v>10</c:v>
                  </c:pt>
                  <c:pt idx="204">
                    <c:v>13</c:v>
                  </c:pt>
                  <c:pt idx="205">
                    <c:v>16</c:v>
                  </c:pt>
                  <c:pt idx="206">
                    <c:v>19</c:v>
                  </c:pt>
                  <c:pt idx="207">
                    <c:v>22</c:v>
                  </c:pt>
                  <c:pt idx="208">
                    <c:v>1</c:v>
                  </c:pt>
                  <c:pt idx="209">
                    <c:v>4</c:v>
                  </c:pt>
                  <c:pt idx="210">
                    <c:v>7</c:v>
                  </c:pt>
                  <c:pt idx="211">
                    <c:v>10</c:v>
                  </c:pt>
                  <c:pt idx="212">
                    <c:v>13</c:v>
                  </c:pt>
                  <c:pt idx="213">
                    <c:v>16</c:v>
                  </c:pt>
                  <c:pt idx="214">
                    <c:v>19</c:v>
                  </c:pt>
                  <c:pt idx="215">
                    <c:v>22</c:v>
                  </c:pt>
                  <c:pt idx="216">
                    <c:v>1</c:v>
                  </c:pt>
                  <c:pt idx="217">
                    <c:v>4</c:v>
                  </c:pt>
                  <c:pt idx="218">
                    <c:v>7</c:v>
                  </c:pt>
                  <c:pt idx="219">
                    <c:v>10</c:v>
                  </c:pt>
                  <c:pt idx="220">
                    <c:v>13</c:v>
                  </c:pt>
                  <c:pt idx="221">
                    <c:v>16</c:v>
                  </c:pt>
                  <c:pt idx="222">
                    <c:v>19</c:v>
                  </c:pt>
                  <c:pt idx="223">
                    <c:v>22</c:v>
                  </c:pt>
                  <c:pt idx="224">
                    <c:v>1</c:v>
                  </c:pt>
                  <c:pt idx="225">
                    <c:v>4</c:v>
                  </c:pt>
                  <c:pt idx="226">
                    <c:v>7</c:v>
                  </c:pt>
                  <c:pt idx="227">
                    <c:v>10</c:v>
                  </c:pt>
                  <c:pt idx="228">
                    <c:v>13</c:v>
                  </c:pt>
                  <c:pt idx="229">
                    <c:v>16</c:v>
                  </c:pt>
                  <c:pt idx="230">
                    <c:v>19</c:v>
                  </c:pt>
                  <c:pt idx="231">
                    <c:v>22</c:v>
                  </c:pt>
                  <c:pt idx="232">
                    <c:v>1</c:v>
                  </c:pt>
                  <c:pt idx="233">
                    <c:v>4</c:v>
                  </c:pt>
                  <c:pt idx="234">
                    <c:v>7</c:v>
                  </c:pt>
                  <c:pt idx="235">
                    <c:v>10</c:v>
                  </c:pt>
                  <c:pt idx="236">
                    <c:v>13</c:v>
                  </c:pt>
                  <c:pt idx="237">
                    <c:v>16</c:v>
                  </c:pt>
                  <c:pt idx="238">
                    <c:v>19</c:v>
                  </c:pt>
                  <c:pt idx="239">
                    <c:v>22</c:v>
                  </c:pt>
                  <c:pt idx="240">
                    <c:v>1</c:v>
                  </c:pt>
                  <c:pt idx="241">
                    <c:v>4</c:v>
                  </c:pt>
                  <c:pt idx="242">
                    <c:v>7</c:v>
                  </c:pt>
                  <c:pt idx="243">
                    <c:v>10</c:v>
                  </c:pt>
                  <c:pt idx="244">
                    <c:v>13</c:v>
                  </c:pt>
                  <c:pt idx="245">
                    <c:v>16</c:v>
                  </c:pt>
                  <c:pt idx="246">
                    <c:v>19</c:v>
                  </c:pt>
                  <c:pt idx="247">
                    <c:v>22</c:v>
                  </c:pt>
                </c:lvl>
                <c:lvl>
                  <c:pt idx="0">
                    <c:v>1</c:v>
                  </c:pt>
                  <c:pt idx="8">
                    <c:v>2</c:v>
                  </c:pt>
                  <c:pt idx="16">
                    <c:v>3</c:v>
                  </c:pt>
                  <c:pt idx="24">
                    <c:v>4</c:v>
                  </c:pt>
                  <c:pt idx="32">
                    <c:v>5</c:v>
                  </c:pt>
                  <c:pt idx="40">
                    <c:v>6</c:v>
                  </c:pt>
                  <c:pt idx="48">
                    <c:v>7</c:v>
                  </c:pt>
                  <c:pt idx="56">
                    <c:v>8</c:v>
                  </c:pt>
                  <c:pt idx="64">
                    <c:v>9</c:v>
                  </c:pt>
                  <c:pt idx="72">
                    <c:v>10</c:v>
                  </c:pt>
                  <c:pt idx="80">
                    <c:v>11</c:v>
                  </c:pt>
                  <c:pt idx="88">
                    <c:v>12</c:v>
                  </c:pt>
                  <c:pt idx="96">
                    <c:v>13</c:v>
                  </c:pt>
                  <c:pt idx="104">
                    <c:v>14</c:v>
                  </c:pt>
                  <c:pt idx="112">
                    <c:v>15</c:v>
                  </c:pt>
                  <c:pt idx="120">
                    <c:v>16</c:v>
                  </c:pt>
                  <c:pt idx="128">
                    <c:v>17</c:v>
                  </c:pt>
                  <c:pt idx="136">
                    <c:v>18</c:v>
                  </c:pt>
                  <c:pt idx="144">
                    <c:v>19</c:v>
                  </c:pt>
                  <c:pt idx="152">
                    <c:v>20</c:v>
                  </c:pt>
                  <c:pt idx="160">
                    <c:v>21</c:v>
                  </c:pt>
                  <c:pt idx="168">
                    <c:v>22</c:v>
                  </c:pt>
                  <c:pt idx="176">
                    <c:v>23</c:v>
                  </c:pt>
                  <c:pt idx="184">
                    <c:v>24</c:v>
                  </c:pt>
                  <c:pt idx="192">
                    <c:v>25</c:v>
                  </c:pt>
                  <c:pt idx="200">
                    <c:v>26</c:v>
                  </c:pt>
                  <c:pt idx="208">
                    <c:v>27</c:v>
                  </c:pt>
                  <c:pt idx="216">
                    <c:v>28</c:v>
                  </c:pt>
                  <c:pt idx="224">
                    <c:v>29</c:v>
                  </c:pt>
                  <c:pt idx="232">
                    <c:v>30</c:v>
                  </c:pt>
                  <c:pt idx="240">
                    <c:v>31</c:v>
                  </c:pt>
                </c:lvl>
              </c:multiLvlStrCache>
            </c:multiLvlStrRef>
          </c:cat>
          <c:val>
            <c:numRef>
              <c:f>'P &amp; T(1) '!$J$11:$J$258</c:f>
              <c:numCache>
                <c:formatCode>0.0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32-4866-ADAE-11CF28B14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45472"/>
        <c:axId val="154747264"/>
      </c:lineChart>
      <c:lineChart>
        <c:grouping val="standard"/>
        <c:varyColors val="0"/>
        <c:ser>
          <c:idx val="1"/>
          <c:order val="1"/>
          <c:tx>
            <c:v>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T(1) '!$A$11:$B$258</c:f>
              <c:multiLvlStrCache>
                <c:ptCount val="248"/>
                <c:lvl>
                  <c:pt idx="0">
                    <c:v>1</c:v>
                  </c:pt>
                  <c:pt idx="1">
                    <c:v>4</c:v>
                  </c:pt>
                  <c:pt idx="2">
                    <c:v>7</c:v>
                  </c:pt>
                  <c:pt idx="3">
                    <c:v>10</c:v>
                  </c:pt>
                  <c:pt idx="4">
                    <c:v>13</c:v>
                  </c:pt>
                  <c:pt idx="5">
                    <c:v>16</c:v>
                  </c:pt>
                  <c:pt idx="6">
                    <c:v>19</c:v>
                  </c:pt>
                  <c:pt idx="7">
                    <c:v>22</c:v>
                  </c:pt>
                  <c:pt idx="8">
                    <c:v>1</c:v>
                  </c:pt>
                  <c:pt idx="9">
                    <c:v>4</c:v>
                  </c:pt>
                  <c:pt idx="10">
                    <c:v>7</c:v>
                  </c:pt>
                  <c:pt idx="11">
                    <c:v>10</c:v>
                  </c:pt>
                  <c:pt idx="12">
                    <c:v>13</c:v>
                  </c:pt>
                  <c:pt idx="13">
                    <c:v>16</c:v>
                  </c:pt>
                  <c:pt idx="14">
                    <c:v>19</c:v>
                  </c:pt>
                  <c:pt idx="15">
                    <c:v>22</c:v>
                  </c:pt>
                  <c:pt idx="16">
                    <c:v>1</c:v>
                  </c:pt>
                  <c:pt idx="17">
                    <c:v>4</c:v>
                  </c:pt>
                  <c:pt idx="18">
                    <c:v>7</c:v>
                  </c:pt>
                  <c:pt idx="19">
                    <c:v>10</c:v>
                  </c:pt>
                  <c:pt idx="20">
                    <c:v>13</c:v>
                  </c:pt>
                  <c:pt idx="21">
                    <c:v>16</c:v>
                  </c:pt>
                  <c:pt idx="22">
                    <c:v>19</c:v>
                  </c:pt>
                  <c:pt idx="23">
                    <c:v>22</c:v>
                  </c:pt>
                  <c:pt idx="24">
                    <c:v>1</c:v>
                  </c:pt>
                  <c:pt idx="25">
                    <c:v>4</c:v>
                  </c:pt>
                  <c:pt idx="26">
                    <c:v>7</c:v>
                  </c:pt>
                  <c:pt idx="27">
                    <c:v>10</c:v>
                  </c:pt>
                  <c:pt idx="28">
                    <c:v>13</c:v>
                  </c:pt>
                  <c:pt idx="29">
                    <c:v>16</c:v>
                  </c:pt>
                  <c:pt idx="30">
                    <c:v>19</c:v>
                  </c:pt>
                  <c:pt idx="31">
                    <c:v>22</c:v>
                  </c:pt>
                  <c:pt idx="32">
                    <c:v>1</c:v>
                  </c:pt>
                  <c:pt idx="33">
                    <c:v>4</c:v>
                  </c:pt>
                  <c:pt idx="34">
                    <c:v>7</c:v>
                  </c:pt>
                  <c:pt idx="35">
                    <c:v>10</c:v>
                  </c:pt>
                  <c:pt idx="36">
                    <c:v>13</c:v>
                  </c:pt>
                  <c:pt idx="37">
                    <c:v>16</c:v>
                  </c:pt>
                  <c:pt idx="38">
                    <c:v>19</c:v>
                  </c:pt>
                  <c:pt idx="39">
                    <c:v>22</c:v>
                  </c:pt>
                  <c:pt idx="40">
                    <c:v>1</c:v>
                  </c:pt>
                  <c:pt idx="41">
                    <c:v>4</c:v>
                  </c:pt>
                  <c:pt idx="42">
                    <c:v>7</c:v>
                  </c:pt>
                  <c:pt idx="43">
                    <c:v>10</c:v>
                  </c:pt>
                  <c:pt idx="44">
                    <c:v>13</c:v>
                  </c:pt>
                  <c:pt idx="45">
                    <c:v>16</c:v>
                  </c:pt>
                  <c:pt idx="46">
                    <c:v>19</c:v>
                  </c:pt>
                  <c:pt idx="47">
                    <c:v>22</c:v>
                  </c:pt>
                  <c:pt idx="48">
                    <c:v>1</c:v>
                  </c:pt>
                  <c:pt idx="49">
                    <c:v>4</c:v>
                  </c:pt>
                  <c:pt idx="50">
                    <c:v>7</c:v>
                  </c:pt>
                  <c:pt idx="51">
                    <c:v>10</c:v>
                  </c:pt>
                  <c:pt idx="52">
                    <c:v>13</c:v>
                  </c:pt>
                  <c:pt idx="53">
                    <c:v>16</c:v>
                  </c:pt>
                  <c:pt idx="54">
                    <c:v>19</c:v>
                  </c:pt>
                  <c:pt idx="55">
                    <c:v>22</c:v>
                  </c:pt>
                  <c:pt idx="56">
                    <c:v>1</c:v>
                  </c:pt>
                  <c:pt idx="57">
                    <c:v>4</c:v>
                  </c:pt>
                  <c:pt idx="58">
                    <c:v>7</c:v>
                  </c:pt>
                  <c:pt idx="59">
                    <c:v>10</c:v>
                  </c:pt>
                  <c:pt idx="60">
                    <c:v>13</c:v>
                  </c:pt>
                  <c:pt idx="61">
                    <c:v>16</c:v>
                  </c:pt>
                  <c:pt idx="62">
                    <c:v>19</c:v>
                  </c:pt>
                  <c:pt idx="63">
                    <c:v>22</c:v>
                  </c:pt>
                  <c:pt idx="64">
                    <c:v>1</c:v>
                  </c:pt>
                  <c:pt idx="65">
                    <c:v>4</c:v>
                  </c:pt>
                  <c:pt idx="66">
                    <c:v>7</c:v>
                  </c:pt>
                  <c:pt idx="67">
                    <c:v>10</c:v>
                  </c:pt>
                  <c:pt idx="68">
                    <c:v>13</c:v>
                  </c:pt>
                  <c:pt idx="69">
                    <c:v>16</c:v>
                  </c:pt>
                  <c:pt idx="70">
                    <c:v>19</c:v>
                  </c:pt>
                  <c:pt idx="71">
                    <c:v>22</c:v>
                  </c:pt>
                  <c:pt idx="72">
                    <c:v>1</c:v>
                  </c:pt>
                  <c:pt idx="73">
                    <c:v>4</c:v>
                  </c:pt>
                  <c:pt idx="74">
                    <c:v>7</c:v>
                  </c:pt>
                  <c:pt idx="75">
                    <c:v>10</c:v>
                  </c:pt>
                  <c:pt idx="76">
                    <c:v>13</c:v>
                  </c:pt>
                  <c:pt idx="77">
                    <c:v>16</c:v>
                  </c:pt>
                  <c:pt idx="78">
                    <c:v>19</c:v>
                  </c:pt>
                  <c:pt idx="79">
                    <c:v>22</c:v>
                  </c:pt>
                  <c:pt idx="80">
                    <c:v>1</c:v>
                  </c:pt>
                  <c:pt idx="81">
                    <c:v>4</c:v>
                  </c:pt>
                  <c:pt idx="82">
                    <c:v>7</c:v>
                  </c:pt>
                  <c:pt idx="83">
                    <c:v>10</c:v>
                  </c:pt>
                  <c:pt idx="84">
                    <c:v>13</c:v>
                  </c:pt>
                  <c:pt idx="85">
                    <c:v>16</c:v>
                  </c:pt>
                  <c:pt idx="86">
                    <c:v>19</c:v>
                  </c:pt>
                  <c:pt idx="87">
                    <c:v>22</c:v>
                  </c:pt>
                  <c:pt idx="88">
                    <c:v>1</c:v>
                  </c:pt>
                  <c:pt idx="89">
                    <c:v>4</c:v>
                  </c:pt>
                  <c:pt idx="90">
                    <c:v>7</c:v>
                  </c:pt>
                  <c:pt idx="91">
                    <c:v>10</c:v>
                  </c:pt>
                  <c:pt idx="92">
                    <c:v>13</c:v>
                  </c:pt>
                  <c:pt idx="93">
                    <c:v>16</c:v>
                  </c:pt>
                  <c:pt idx="94">
                    <c:v>19</c:v>
                  </c:pt>
                  <c:pt idx="95">
                    <c:v>22</c:v>
                  </c:pt>
                  <c:pt idx="96">
                    <c:v>1</c:v>
                  </c:pt>
                  <c:pt idx="97">
                    <c:v>4</c:v>
                  </c:pt>
                  <c:pt idx="98">
                    <c:v>7</c:v>
                  </c:pt>
                  <c:pt idx="99">
                    <c:v>10</c:v>
                  </c:pt>
                  <c:pt idx="100">
                    <c:v>13</c:v>
                  </c:pt>
                  <c:pt idx="101">
                    <c:v>16</c:v>
                  </c:pt>
                  <c:pt idx="102">
                    <c:v>19</c:v>
                  </c:pt>
                  <c:pt idx="103">
                    <c:v>22</c:v>
                  </c:pt>
                  <c:pt idx="104">
                    <c:v>1</c:v>
                  </c:pt>
                  <c:pt idx="105">
                    <c:v>4</c:v>
                  </c:pt>
                  <c:pt idx="106">
                    <c:v>7</c:v>
                  </c:pt>
                  <c:pt idx="107">
                    <c:v>10</c:v>
                  </c:pt>
                  <c:pt idx="108">
                    <c:v>13</c:v>
                  </c:pt>
                  <c:pt idx="109">
                    <c:v>16</c:v>
                  </c:pt>
                  <c:pt idx="110">
                    <c:v>19</c:v>
                  </c:pt>
                  <c:pt idx="111">
                    <c:v>22</c:v>
                  </c:pt>
                  <c:pt idx="112">
                    <c:v>1</c:v>
                  </c:pt>
                  <c:pt idx="113">
                    <c:v>4</c:v>
                  </c:pt>
                  <c:pt idx="114">
                    <c:v>7</c:v>
                  </c:pt>
                  <c:pt idx="115">
                    <c:v>10</c:v>
                  </c:pt>
                  <c:pt idx="116">
                    <c:v>13</c:v>
                  </c:pt>
                  <c:pt idx="117">
                    <c:v>16</c:v>
                  </c:pt>
                  <c:pt idx="118">
                    <c:v>19</c:v>
                  </c:pt>
                  <c:pt idx="119">
                    <c:v>22</c:v>
                  </c:pt>
                  <c:pt idx="120">
                    <c:v>1</c:v>
                  </c:pt>
                  <c:pt idx="121">
                    <c:v>4</c:v>
                  </c:pt>
                  <c:pt idx="122">
                    <c:v>7</c:v>
                  </c:pt>
                  <c:pt idx="123">
                    <c:v>10</c:v>
                  </c:pt>
                  <c:pt idx="124">
                    <c:v>13</c:v>
                  </c:pt>
                  <c:pt idx="125">
                    <c:v>16</c:v>
                  </c:pt>
                  <c:pt idx="126">
                    <c:v>19</c:v>
                  </c:pt>
                  <c:pt idx="127">
                    <c:v>22</c:v>
                  </c:pt>
                  <c:pt idx="128">
                    <c:v>1</c:v>
                  </c:pt>
                  <c:pt idx="129">
                    <c:v>4</c:v>
                  </c:pt>
                  <c:pt idx="130">
                    <c:v>7</c:v>
                  </c:pt>
                  <c:pt idx="131">
                    <c:v>10</c:v>
                  </c:pt>
                  <c:pt idx="132">
                    <c:v>13</c:v>
                  </c:pt>
                  <c:pt idx="133">
                    <c:v>16</c:v>
                  </c:pt>
                  <c:pt idx="134">
                    <c:v>19</c:v>
                  </c:pt>
                  <c:pt idx="135">
                    <c:v>22</c:v>
                  </c:pt>
                  <c:pt idx="136">
                    <c:v>1</c:v>
                  </c:pt>
                  <c:pt idx="137">
                    <c:v>4</c:v>
                  </c:pt>
                  <c:pt idx="138">
                    <c:v>7</c:v>
                  </c:pt>
                  <c:pt idx="139">
                    <c:v>10</c:v>
                  </c:pt>
                  <c:pt idx="140">
                    <c:v>13</c:v>
                  </c:pt>
                  <c:pt idx="141">
                    <c:v>16</c:v>
                  </c:pt>
                  <c:pt idx="142">
                    <c:v>19</c:v>
                  </c:pt>
                  <c:pt idx="143">
                    <c:v>22</c:v>
                  </c:pt>
                  <c:pt idx="144">
                    <c:v>1</c:v>
                  </c:pt>
                  <c:pt idx="145">
                    <c:v>4</c:v>
                  </c:pt>
                  <c:pt idx="146">
                    <c:v>7</c:v>
                  </c:pt>
                  <c:pt idx="147">
                    <c:v>10</c:v>
                  </c:pt>
                  <c:pt idx="148">
                    <c:v>13</c:v>
                  </c:pt>
                  <c:pt idx="149">
                    <c:v>16</c:v>
                  </c:pt>
                  <c:pt idx="150">
                    <c:v>19</c:v>
                  </c:pt>
                  <c:pt idx="151">
                    <c:v>22</c:v>
                  </c:pt>
                  <c:pt idx="152">
                    <c:v>1</c:v>
                  </c:pt>
                  <c:pt idx="153">
                    <c:v>4</c:v>
                  </c:pt>
                  <c:pt idx="154">
                    <c:v>7</c:v>
                  </c:pt>
                  <c:pt idx="155">
                    <c:v>10</c:v>
                  </c:pt>
                  <c:pt idx="156">
                    <c:v>13</c:v>
                  </c:pt>
                  <c:pt idx="157">
                    <c:v>16</c:v>
                  </c:pt>
                  <c:pt idx="158">
                    <c:v>19</c:v>
                  </c:pt>
                  <c:pt idx="159">
                    <c:v>22</c:v>
                  </c:pt>
                  <c:pt idx="160">
                    <c:v>1</c:v>
                  </c:pt>
                  <c:pt idx="161">
                    <c:v>4</c:v>
                  </c:pt>
                  <c:pt idx="162">
                    <c:v>7</c:v>
                  </c:pt>
                  <c:pt idx="163">
                    <c:v>10</c:v>
                  </c:pt>
                  <c:pt idx="164">
                    <c:v>13</c:v>
                  </c:pt>
                  <c:pt idx="165">
                    <c:v>16</c:v>
                  </c:pt>
                  <c:pt idx="166">
                    <c:v>19</c:v>
                  </c:pt>
                  <c:pt idx="167">
                    <c:v>22</c:v>
                  </c:pt>
                  <c:pt idx="168">
                    <c:v>1</c:v>
                  </c:pt>
                  <c:pt idx="169">
                    <c:v>4</c:v>
                  </c:pt>
                  <c:pt idx="170">
                    <c:v>7</c:v>
                  </c:pt>
                  <c:pt idx="171">
                    <c:v>10</c:v>
                  </c:pt>
                  <c:pt idx="172">
                    <c:v>13</c:v>
                  </c:pt>
                  <c:pt idx="173">
                    <c:v>16</c:v>
                  </c:pt>
                  <c:pt idx="174">
                    <c:v>19</c:v>
                  </c:pt>
                  <c:pt idx="175">
                    <c:v>22</c:v>
                  </c:pt>
                  <c:pt idx="176">
                    <c:v>1</c:v>
                  </c:pt>
                  <c:pt idx="177">
                    <c:v>4</c:v>
                  </c:pt>
                  <c:pt idx="178">
                    <c:v>7</c:v>
                  </c:pt>
                  <c:pt idx="179">
                    <c:v>10</c:v>
                  </c:pt>
                  <c:pt idx="180">
                    <c:v>13</c:v>
                  </c:pt>
                  <c:pt idx="181">
                    <c:v>16</c:v>
                  </c:pt>
                  <c:pt idx="182">
                    <c:v>19</c:v>
                  </c:pt>
                  <c:pt idx="183">
                    <c:v>22</c:v>
                  </c:pt>
                  <c:pt idx="184">
                    <c:v>1</c:v>
                  </c:pt>
                  <c:pt idx="185">
                    <c:v>4</c:v>
                  </c:pt>
                  <c:pt idx="186">
                    <c:v>7</c:v>
                  </c:pt>
                  <c:pt idx="187">
                    <c:v>10</c:v>
                  </c:pt>
                  <c:pt idx="188">
                    <c:v>13</c:v>
                  </c:pt>
                  <c:pt idx="189">
                    <c:v>16</c:v>
                  </c:pt>
                  <c:pt idx="190">
                    <c:v>19</c:v>
                  </c:pt>
                  <c:pt idx="191">
                    <c:v>22</c:v>
                  </c:pt>
                  <c:pt idx="192">
                    <c:v>1</c:v>
                  </c:pt>
                  <c:pt idx="193">
                    <c:v>4</c:v>
                  </c:pt>
                  <c:pt idx="194">
                    <c:v>7</c:v>
                  </c:pt>
                  <c:pt idx="195">
                    <c:v>10</c:v>
                  </c:pt>
                  <c:pt idx="196">
                    <c:v>13</c:v>
                  </c:pt>
                  <c:pt idx="197">
                    <c:v>16</c:v>
                  </c:pt>
                  <c:pt idx="198">
                    <c:v>19</c:v>
                  </c:pt>
                  <c:pt idx="199">
                    <c:v>22</c:v>
                  </c:pt>
                  <c:pt idx="200">
                    <c:v>1</c:v>
                  </c:pt>
                  <c:pt idx="201">
                    <c:v>4</c:v>
                  </c:pt>
                  <c:pt idx="202">
                    <c:v>7</c:v>
                  </c:pt>
                  <c:pt idx="203">
                    <c:v>10</c:v>
                  </c:pt>
                  <c:pt idx="204">
                    <c:v>13</c:v>
                  </c:pt>
                  <c:pt idx="205">
                    <c:v>16</c:v>
                  </c:pt>
                  <c:pt idx="206">
                    <c:v>19</c:v>
                  </c:pt>
                  <c:pt idx="207">
                    <c:v>22</c:v>
                  </c:pt>
                  <c:pt idx="208">
                    <c:v>1</c:v>
                  </c:pt>
                  <c:pt idx="209">
                    <c:v>4</c:v>
                  </c:pt>
                  <c:pt idx="210">
                    <c:v>7</c:v>
                  </c:pt>
                  <c:pt idx="211">
                    <c:v>10</c:v>
                  </c:pt>
                  <c:pt idx="212">
                    <c:v>13</c:v>
                  </c:pt>
                  <c:pt idx="213">
                    <c:v>16</c:v>
                  </c:pt>
                  <c:pt idx="214">
                    <c:v>19</c:v>
                  </c:pt>
                  <c:pt idx="215">
                    <c:v>22</c:v>
                  </c:pt>
                  <c:pt idx="216">
                    <c:v>1</c:v>
                  </c:pt>
                  <c:pt idx="217">
                    <c:v>4</c:v>
                  </c:pt>
                  <c:pt idx="218">
                    <c:v>7</c:v>
                  </c:pt>
                  <c:pt idx="219">
                    <c:v>10</c:v>
                  </c:pt>
                  <c:pt idx="220">
                    <c:v>13</c:v>
                  </c:pt>
                  <c:pt idx="221">
                    <c:v>16</c:v>
                  </c:pt>
                  <c:pt idx="222">
                    <c:v>19</c:v>
                  </c:pt>
                  <c:pt idx="223">
                    <c:v>22</c:v>
                  </c:pt>
                  <c:pt idx="224">
                    <c:v>1</c:v>
                  </c:pt>
                  <c:pt idx="225">
                    <c:v>4</c:v>
                  </c:pt>
                  <c:pt idx="226">
                    <c:v>7</c:v>
                  </c:pt>
                  <c:pt idx="227">
                    <c:v>10</c:v>
                  </c:pt>
                  <c:pt idx="228">
                    <c:v>13</c:v>
                  </c:pt>
                  <c:pt idx="229">
                    <c:v>16</c:v>
                  </c:pt>
                  <c:pt idx="230">
                    <c:v>19</c:v>
                  </c:pt>
                  <c:pt idx="231">
                    <c:v>22</c:v>
                  </c:pt>
                  <c:pt idx="232">
                    <c:v>1</c:v>
                  </c:pt>
                  <c:pt idx="233">
                    <c:v>4</c:v>
                  </c:pt>
                  <c:pt idx="234">
                    <c:v>7</c:v>
                  </c:pt>
                  <c:pt idx="235">
                    <c:v>10</c:v>
                  </c:pt>
                  <c:pt idx="236">
                    <c:v>13</c:v>
                  </c:pt>
                  <c:pt idx="237">
                    <c:v>16</c:v>
                  </c:pt>
                  <c:pt idx="238">
                    <c:v>19</c:v>
                  </c:pt>
                  <c:pt idx="239">
                    <c:v>22</c:v>
                  </c:pt>
                  <c:pt idx="240">
                    <c:v>1</c:v>
                  </c:pt>
                  <c:pt idx="241">
                    <c:v>4</c:v>
                  </c:pt>
                  <c:pt idx="242">
                    <c:v>7</c:v>
                  </c:pt>
                  <c:pt idx="243">
                    <c:v>10</c:v>
                  </c:pt>
                  <c:pt idx="244">
                    <c:v>13</c:v>
                  </c:pt>
                  <c:pt idx="245">
                    <c:v>16</c:v>
                  </c:pt>
                  <c:pt idx="246">
                    <c:v>19</c:v>
                  </c:pt>
                  <c:pt idx="247">
                    <c:v>22</c:v>
                  </c:pt>
                </c:lvl>
                <c:lvl>
                  <c:pt idx="0">
                    <c:v>1</c:v>
                  </c:pt>
                  <c:pt idx="8">
                    <c:v>2</c:v>
                  </c:pt>
                  <c:pt idx="16">
                    <c:v>3</c:v>
                  </c:pt>
                  <c:pt idx="24">
                    <c:v>4</c:v>
                  </c:pt>
                  <c:pt idx="32">
                    <c:v>5</c:v>
                  </c:pt>
                  <c:pt idx="40">
                    <c:v>6</c:v>
                  </c:pt>
                  <c:pt idx="48">
                    <c:v>7</c:v>
                  </c:pt>
                  <c:pt idx="56">
                    <c:v>8</c:v>
                  </c:pt>
                  <c:pt idx="64">
                    <c:v>9</c:v>
                  </c:pt>
                  <c:pt idx="72">
                    <c:v>10</c:v>
                  </c:pt>
                  <c:pt idx="80">
                    <c:v>11</c:v>
                  </c:pt>
                  <c:pt idx="88">
                    <c:v>12</c:v>
                  </c:pt>
                  <c:pt idx="96">
                    <c:v>13</c:v>
                  </c:pt>
                  <c:pt idx="104">
                    <c:v>14</c:v>
                  </c:pt>
                  <c:pt idx="112">
                    <c:v>15</c:v>
                  </c:pt>
                  <c:pt idx="120">
                    <c:v>16</c:v>
                  </c:pt>
                  <c:pt idx="128">
                    <c:v>17</c:v>
                  </c:pt>
                  <c:pt idx="136">
                    <c:v>18</c:v>
                  </c:pt>
                  <c:pt idx="144">
                    <c:v>19</c:v>
                  </c:pt>
                  <c:pt idx="152">
                    <c:v>20</c:v>
                  </c:pt>
                  <c:pt idx="160">
                    <c:v>21</c:v>
                  </c:pt>
                  <c:pt idx="168">
                    <c:v>22</c:v>
                  </c:pt>
                  <c:pt idx="176">
                    <c:v>23</c:v>
                  </c:pt>
                  <c:pt idx="184">
                    <c:v>24</c:v>
                  </c:pt>
                  <c:pt idx="192">
                    <c:v>25</c:v>
                  </c:pt>
                  <c:pt idx="200">
                    <c:v>26</c:v>
                  </c:pt>
                  <c:pt idx="208">
                    <c:v>27</c:v>
                  </c:pt>
                  <c:pt idx="216">
                    <c:v>28</c:v>
                  </c:pt>
                  <c:pt idx="224">
                    <c:v>29</c:v>
                  </c:pt>
                  <c:pt idx="232">
                    <c:v>30</c:v>
                  </c:pt>
                  <c:pt idx="240">
                    <c:v>31</c:v>
                  </c:pt>
                </c:lvl>
              </c:multiLvlStrCache>
            </c:multiLvlStrRef>
          </c:cat>
          <c:val>
            <c:numRef>
              <c:f>'P &amp; T(1) '!$P$11:$P$258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32-4866-ADAE-11CF28B14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748800"/>
        <c:axId val="154750336"/>
      </c:lineChart>
      <c:catAx>
        <c:axId val="154745472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.VnClarendon"/>
                <a:ea typeface=".VnClarendon"/>
                <a:cs typeface=".VnClarendon"/>
              </a:defRPr>
            </a:pPr>
            <a:endParaRPr lang="en-US"/>
          </a:p>
        </c:txPr>
        <c:crossAx val="154747264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154747264"/>
        <c:scaling>
          <c:orientation val="minMax"/>
        </c:scaling>
        <c:delete val="0"/>
        <c:axPos val="l"/>
        <c:numFmt formatCode="0.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154745472"/>
        <c:crosses val="autoZero"/>
        <c:crossBetween val="between"/>
      </c:valAx>
      <c:catAx>
        <c:axId val="154748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4750336"/>
        <c:crosses val="autoZero"/>
        <c:auto val="0"/>
        <c:lblAlgn val="ctr"/>
        <c:lblOffset val="100"/>
        <c:noMultiLvlLbl val="0"/>
      </c:catAx>
      <c:valAx>
        <c:axId val="154750336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154748800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 Tæng biÕn ¸p, nhiÖt 24h t¹i Thanh Hãa</a:t>
            </a:r>
          </a:p>
        </c:rich>
      </c:tx>
      <c:layout>
        <c:manualLayout>
          <c:xMode val="edge"/>
          <c:yMode val="edge"/>
          <c:x val="0.35884177869700101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3.6194415718717683E-2"/>
          <c:y val="0.11525423728813559"/>
          <c:w val="0.937952430196484"/>
          <c:h val="0.74745762711864405"/>
        </c:manualLayout>
      </c:layout>
      <c:lineChart>
        <c:grouping val="standard"/>
        <c:varyColors val="0"/>
        <c:ser>
          <c:idx val="0"/>
          <c:order val="0"/>
          <c:tx>
            <c:v>dP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T(1) '!$A$11:$B$258</c:f>
              <c:multiLvlStrCache>
                <c:ptCount val="248"/>
                <c:lvl>
                  <c:pt idx="0">
                    <c:v>1</c:v>
                  </c:pt>
                  <c:pt idx="1">
                    <c:v>4</c:v>
                  </c:pt>
                  <c:pt idx="2">
                    <c:v>7</c:v>
                  </c:pt>
                  <c:pt idx="3">
                    <c:v>10</c:v>
                  </c:pt>
                  <c:pt idx="4">
                    <c:v>13</c:v>
                  </c:pt>
                  <c:pt idx="5">
                    <c:v>16</c:v>
                  </c:pt>
                  <c:pt idx="6">
                    <c:v>19</c:v>
                  </c:pt>
                  <c:pt idx="7">
                    <c:v>22</c:v>
                  </c:pt>
                  <c:pt idx="8">
                    <c:v>1</c:v>
                  </c:pt>
                  <c:pt idx="9">
                    <c:v>4</c:v>
                  </c:pt>
                  <c:pt idx="10">
                    <c:v>7</c:v>
                  </c:pt>
                  <c:pt idx="11">
                    <c:v>10</c:v>
                  </c:pt>
                  <c:pt idx="12">
                    <c:v>13</c:v>
                  </c:pt>
                  <c:pt idx="13">
                    <c:v>16</c:v>
                  </c:pt>
                  <c:pt idx="14">
                    <c:v>19</c:v>
                  </c:pt>
                  <c:pt idx="15">
                    <c:v>22</c:v>
                  </c:pt>
                  <c:pt idx="16">
                    <c:v>1</c:v>
                  </c:pt>
                  <c:pt idx="17">
                    <c:v>4</c:v>
                  </c:pt>
                  <c:pt idx="18">
                    <c:v>7</c:v>
                  </c:pt>
                  <c:pt idx="19">
                    <c:v>10</c:v>
                  </c:pt>
                  <c:pt idx="20">
                    <c:v>13</c:v>
                  </c:pt>
                  <c:pt idx="21">
                    <c:v>16</c:v>
                  </c:pt>
                  <c:pt idx="22">
                    <c:v>19</c:v>
                  </c:pt>
                  <c:pt idx="23">
                    <c:v>22</c:v>
                  </c:pt>
                  <c:pt idx="24">
                    <c:v>1</c:v>
                  </c:pt>
                  <c:pt idx="25">
                    <c:v>4</c:v>
                  </c:pt>
                  <c:pt idx="26">
                    <c:v>7</c:v>
                  </c:pt>
                  <c:pt idx="27">
                    <c:v>10</c:v>
                  </c:pt>
                  <c:pt idx="28">
                    <c:v>13</c:v>
                  </c:pt>
                  <c:pt idx="29">
                    <c:v>16</c:v>
                  </c:pt>
                  <c:pt idx="30">
                    <c:v>19</c:v>
                  </c:pt>
                  <c:pt idx="31">
                    <c:v>22</c:v>
                  </c:pt>
                  <c:pt idx="32">
                    <c:v>1</c:v>
                  </c:pt>
                  <c:pt idx="33">
                    <c:v>4</c:v>
                  </c:pt>
                  <c:pt idx="34">
                    <c:v>7</c:v>
                  </c:pt>
                  <c:pt idx="35">
                    <c:v>10</c:v>
                  </c:pt>
                  <c:pt idx="36">
                    <c:v>13</c:v>
                  </c:pt>
                  <c:pt idx="37">
                    <c:v>16</c:v>
                  </c:pt>
                  <c:pt idx="38">
                    <c:v>19</c:v>
                  </c:pt>
                  <c:pt idx="39">
                    <c:v>22</c:v>
                  </c:pt>
                  <c:pt idx="40">
                    <c:v>1</c:v>
                  </c:pt>
                  <c:pt idx="41">
                    <c:v>4</c:v>
                  </c:pt>
                  <c:pt idx="42">
                    <c:v>7</c:v>
                  </c:pt>
                  <c:pt idx="43">
                    <c:v>10</c:v>
                  </c:pt>
                  <c:pt idx="44">
                    <c:v>13</c:v>
                  </c:pt>
                  <c:pt idx="45">
                    <c:v>16</c:v>
                  </c:pt>
                  <c:pt idx="46">
                    <c:v>19</c:v>
                  </c:pt>
                  <c:pt idx="47">
                    <c:v>22</c:v>
                  </c:pt>
                  <c:pt idx="48">
                    <c:v>1</c:v>
                  </c:pt>
                  <c:pt idx="49">
                    <c:v>4</c:v>
                  </c:pt>
                  <c:pt idx="50">
                    <c:v>7</c:v>
                  </c:pt>
                  <c:pt idx="51">
                    <c:v>10</c:v>
                  </c:pt>
                  <c:pt idx="52">
                    <c:v>13</c:v>
                  </c:pt>
                  <c:pt idx="53">
                    <c:v>16</c:v>
                  </c:pt>
                  <c:pt idx="54">
                    <c:v>19</c:v>
                  </c:pt>
                  <c:pt idx="55">
                    <c:v>22</c:v>
                  </c:pt>
                  <c:pt idx="56">
                    <c:v>1</c:v>
                  </c:pt>
                  <c:pt idx="57">
                    <c:v>4</c:v>
                  </c:pt>
                  <c:pt idx="58">
                    <c:v>7</c:v>
                  </c:pt>
                  <c:pt idx="59">
                    <c:v>10</c:v>
                  </c:pt>
                  <c:pt idx="60">
                    <c:v>13</c:v>
                  </c:pt>
                  <c:pt idx="61">
                    <c:v>16</c:v>
                  </c:pt>
                  <c:pt idx="62">
                    <c:v>19</c:v>
                  </c:pt>
                  <c:pt idx="63">
                    <c:v>22</c:v>
                  </c:pt>
                  <c:pt idx="64">
                    <c:v>1</c:v>
                  </c:pt>
                  <c:pt idx="65">
                    <c:v>4</c:v>
                  </c:pt>
                  <c:pt idx="66">
                    <c:v>7</c:v>
                  </c:pt>
                  <c:pt idx="67">
                    <c:v>10</c:v>
                  </c:pt>
                  <c:pt idx="68">
                    <c:v>13</c:v>
                  </c:pt>
                  <c:pt idx="69">
                    <c:v>16</c:v>
                  </c:pt>
                  <c:pt idx="70">
                    <c:v>19</c:v>
                  </c:pt>
                  <c:pt idx="71">
                    <c:v>22</c:v>
                  </c:pt>
                  <c:pt idx="72">
                    <c:v>1</c:v>
                  </c:pt>
                  <c:pt idx="73">
                    <c:v>4</c:v>
                  </c:pt>
                  <c:pt idx="74">
                    <c:v>7</c:v>
                  </c:pt>
                  <c:pt idx="75">
                    <c:v>10</c:v>
                  </c:pt>
                  <c:pt idx="76">
                    <c:v>13</c:v>
                  </c:pt>
                  <c:pt idx="77">
                    <c:v>16</c:v>
                  </c:pt>
                  <c:pt idx="78">
                    <c:v>19</c:v>
                  </c:pt>
                  <c:pt idx="79">
                    <c:v>22</c:v>
                  </c:pt>
                  <c:pt idx="80">
                    <c:v>1</c:v>
                  </c:pt>
                  <c:pt idx="81">
                    <c:v>4</c:v>
                  </c:pt>
                  <c:pt idx="82">
                    <c:v>7</c:v>
                  </c:pt>
                  <c:pt idx="83">
                    <c:v>10</c:v>
                  </c:pt>
                  <c:pt idx="84">
                    <c:v>13</c:v>
                  </c:pt>
                  <c:pt idx="85">
                    <c:v>16</c:v>
                  </c:pt>
                  <c:pt idx="86">
                    <c:v>19</c:v>
                  </c:pt>
                  <c:pt idx="87">
                    <c:v>22</c:v>
                  </c:pt>
                  <c:pt idx="88">
                    <c:v>1</c:v>
                  </c:pt>
                  <c:pt idx="89">
                    <c:v>4</c:v>
                  </c:pt>
                  <c:pt idx="90">
                    <c:v>7</c:v>
                  </c:pt>
                  <c:pt idx="91">
                    <c:v>10</c:v>
                  </c:pt>
                  <c:pt idx="92">
                    <c:v>13</c:v>
                  </c:pt>
                  <c:pt idx="93">
                    <c:v>16</c:v>
                  </c:pt>
                  <c:pt idx="94">
                    <c:v>19</c:v>
                  </c:pt>
                  <c:pt idx="95">
                    <c:v>22</c:v>
                  </c:pt>
                  <c:pt idx="96">
                    <c:v>1</c:v>
                  </c:pt>
                  <c:pt idx="97">
                    <c:v>4</c:v>
                  </c:pt>
                  <c:pt idx="98">
                    <c:v>7</c:v>
                  </c:pt>
                  <c:pt idx="99">
                    <c:v>10</c:v>
                  </c:pt>
                  <c:pt idx="100">
                    <c:v>13</c:v>
                  </c:pt>
                  <c:pt idx="101">
                    <c:v>16</c:v>
                  </c:pt>
                  <c:pt idx="102">
                    <c:v>19</c:v>
                  </c:pt>
                  <c:pt idx="103">
                    <c:v>22</c:v>
                  </c:pt>
                  <c:pt idx="104">
                    <c:v>1</c:v>
                  </c:pt>
                  <c:pt idx="105">
                    <c:v>4</c:v>
                  </c:pt>
                  <c:pt idx="106">
                    <c:v>7</c:v>
                  </c:pt>
                  <c:pt idx="107">
                    <c:v>10</c:v>
                  </c:pt>
                  <c:pt idx="108">
                    <c:v>13</c:v>
                  </c:pt>
                  <c:pt idx="109">
                    <c:v>16</c:v>
                  </c:pt>
                  <c:pt idx="110">
                    <c:v>19</c:v>
                  </c:pt>
                  <c:pt idx="111">
                    <c:v>22</c:v>
                  </c:pt>
                  <c:pt idx="112">
                    <c:v>1</c:v>
                  </c:pt>
                  <c:pt idx="113">
                    <c:v>4</c:v>
                  </c:pt>
                  <c:pt idx="114">
                    <c:v>7</c:v>
                  </c:pt>
                  <c:pt idx="115">
                    <c:v>10</c:v>
                  </c:pt>
                  <c:pt idx="116">
                    <c:v>13</c:v>
                  </c:pt>
                  <c:pt idx="117">
                    <c:v>16</c:v>
                  </c:pt>
                  <c:pt idx="118">
                    <c:v>19</c:v>
                  </c:pt>
                  <c:pt idx="119">
                    <c:v>22</c:v>
                  </c:pt>
                  <c:pt idx="120">
                    <c:v>1</c:v>
                  </c:pt>
                  <c:pt idx="121">
                    <c:v>4</c:v>
                  </c:pt>
                  <c:pt idx="122">
                    <c:v>7</c:v>
                  </c:pt>
                  <c:pt idx="123">
                    <c:v>10</c:v>
                  </c:pt>
                  <c:pt idx="124">
                    <c:v>13</c:v>
                  </c:pt>
                  <c:pt idx="125">
                    <c:v>16</c:v>
                  </c:pt>
                  <c:pt idx="126">
                    <c:v>19</c:v>
                  </c:pt>
                  <c:pt idx="127">
                    <c:v>22</c:v>
                  </c:pt>
                  <c:pt idx="128">
                    <c:v>1</c:v>
                  </c:pt>
                  <c:pt idx="129">
                    <c:v>4</c:v>
                  </c:pt>
                  <c:pt idx="130">
                    <c:v>7</c:v>
                  </c:pt>
                  <c:pt idx="131">
                    <c:v>10</c:v>
                  </c:pt>
                  <c:pt idx="132">
                    <c:v>13</c:v>
                  </c:pt>
                  <c:pt idx="133">
                    <c:v>16</c:v>
                  </c:pt>
                  <c:pt idx="134">
                    <c:v>19</c:v>
                  </c:pt>
                  <c:pt idx="135">
                    <c:v>22</c:v>
                  </c:pt>
                  <c:pt idx="136">
                    <c:v>1</c:v>
                  </c:pt>
                  <c:pt idx="137">
                    <c:v>4</c:v>
                  </c:pt>
                  <c:pt idx="138">
                    <c:v>7</c:v>
                  </c:pt>
                  <c:pt idx="139">
                    <c:v>10</c:v>
                  </c:pt>
                  <c:pt idx="140">
                    <c:v>13</c:v>
                  </c:pt>
                  <c:pt idx="141">
                    <c:v>16</c:v>
                  </c:pt>
                  <c:pt idx="142">
                    <c:v>19</c:v>
                  </c:pt>
                  <c:pt idx="143">
                    <c:v>22</c:v>
                  </c:pt>
                  <c:pt idx="144">
                    <c:v>1</c:v>
                  </c:pt>
                  <c:pt idx="145">
                    <c:v>4</c:v>
                  </c:pt>
                  <c:pt idx="146">
                    <c:v>7</c:v>
                  </c:pt>
                  <c:pt idx="147">
                    <c:v>10</c:v>
                  </c:pt>
                  <c:pt idx="148">
                    <c:v>13</c:v>
                  </c:pt>
                  <c:pt idx="149">
                    <c:v>16</c:v>
                  </c:pt>
                  <c:pt idx="150">
                    <c:v>19</c:v>
                  </c:pt>
                  <c:pt idx="151">
                    <c:v>22</c:v>
                  </c:pt>
                  <c:pt idx="152">
                    <c:v>1</c:v>
                  </c:pt>
                  <c:pt idx="153">
                    <c:v>4</c:v>
                  </c:pt>
                  <c:pt idx="154">
                    <c:v>7</c:v>
                  </c:pt>
                  <c:pt idx="155">
                    <c:v>10</c:v>
                  </c:pt>
                  <c:pt idx="156">
                    <c:v>13</c:v>
                  </c:pt>
                  <c:pt idx="157">
                    <c:v>16</c:v>
                  </c:pt>
                  <c:pt idx="158">
                    <c:v>19</c:v>
                  </c:pt>
                  <c:pt idx="159">
                    <c:v>22</c:v>
                  </c:pt>
                  <c:pt idx="160">
                    <c:v>1</c:v>
                  </c:pt>
                  <c:pt idx="161">
                    <c:v>4</c:v>
                  </c:pt>
                  <c:pt idx="162">
                    <c:v>7</c:v>
                  </c:pt>
                  <c:pt idx="163">
                    <c:v>10</c:v>
                  </c:pt>
                  <c:pt idx="164">
                    <c:v>13</c:v>
                  </c:pt>
                  <c:pt idx="165">
                    <c:v>16</c:v>
                  </c:pt>
                  <c:pt idx="166">
                    <c:v>19</c:v>
                  </c:pt>
                  <c:pt idx="167">
                    <c:v>22</c:v>
                  </c:pt>
                  <c:pt idx="168">
                    <c:v>1</c:v>
                  </c:pt>
                  <c:pt idx="169">
                    <c:v>4</c:v>
                  </c:pt>
                  <c:pt idx="170">
                    <c:v>7</c:v>
                  </c:pt>
                  <c:pt idx="171">
                    <c:v>10</c:v>
                  </c:pt>
                  <c:pt idx="172">
                    <c:v>13</c:v>
                  </c:pt>
                  <c:pt idx="173">
                    <c:v>16</c:v>
                  </c:pt>
                  <c:pt idx="174">
                    <c:v>19</c:v>
                  </c:pt>
                  <c:pt idx="175">
                    <c:v>22</c:v>
                  </c:pt>
                  <c:pt idx="176">
                    <c:v>1</c:v>
                  </c:pt>
                  <c:pt idx="177">
                    <c:v>4</c:v>
                  </c:pt>
                  <c:pt idx="178">
                    <c:v>7</c:v>
                  </c:pt>
                  <c:pt idx="179">
                    <c:v>10</c:v>
                  </c:pt>
                  <c:pt idx="180">
                    <c:v>13</c:v>
                  </c:pt>
                  <c:pt idx="181">
                    <c:v>16</c:v>
                  </c:pt>
                  <c:pt idx="182">
                    <c:v>19</c:v>
                  </c:pt>
                  <c:pt idx="183">
                    <c:v>22</c:v>
                  </c:pt>
                  <c:pt idx="184">
                    <c:v>1</c:v>
                  </c:pt>
                  <c:pt idx="185">
                    <c:v>4</c:v>
                  </c:pt>
                  <c:pt idx="186">
                    <c:v>7</c:v>
                  </c:pt>
                  <c:pt idx="187">
                    <c:v>10</c:v>
                  </c:pt>
                  <c:pt idx="188">
                    <c:v>13</c:v>
                  </c:pt>
                  <c:pt idx="189">
                    <c:v>16</c:v>
                  </c:pt>
                  <c:pt idx="190">
                    <c:v>19</c:v>
                  </c:pt>
                  <c:pt idx="191">
                    <c:v>22</c:v>
                  </c:pt>
                  <c:pt idx="192">
                    <c:v>1</c:v>
                  </c:pt>
                  <c:pt idx="193">
                    <c:v>4</c:v>
                  </c:pt>
                  <c:pt idx="194">
                    <c:v>7</c:v>
                  </c:pt>
                  <c:pt idx="195">
                    <c:v>10</c:v>
                  </c:pt>
                  <c:pt idx="196">
                    <c:v>13</c:v>
                  </c:pt>
                  <c:pt idx="197">
                    <c:v>16</c:v>
                  </c:pt>
                  <c:pt idx="198">
                    <c:v>19</c:v>
                  </c:pt>
                  <c:pt idx="199">
                    <c:v>22</c:v>
                  </c:pt>
                  <c:pt idx="200">
                    <c:v>1</c:v>
                  </c:pt>
                  <c:pt idx="201">
                    <c:v>4</c:v>
                  </c:pt>
                  <c:pt idx="202">
                    <c:v>7</c:v>
                  </c:pt>
                  <c:pt idx="203">
                    <c:v>10</c:v>
                  </c:pt>
                  <c:pt idx="204">
                    <c:v>13</c:v>
                  </c:pt>
                  <c:pt idx="205">
                    <c:v>16</c:v>
                  </c:pt>
                  <c:pt idx="206">
                    <c:v>19</c:v>
                  </c:pt>
                  <c:pt idx="207">
                    <c:v>22</c:v>
                  </c:pt>
                  <c:pt idx="208">
                    <c:v>1</c:v>
                  </c:pt>
                  <c:pt idx="209">
                    <c:v>4</c:v>
                  </c:pt>
                  <c:pt idx="210">
                    <c:v>7</c:v>
                  </c:pt>
                  <c:pt idx="211">
                    <c:v>10</c:v>
                  </c:pt>
                  <c:pt idx="212">
                    <c:v>13</c:v>
                  </c:pt>
                  <c:pt idx="213">
                    <c:v>16</c:v>
                  </c:pt>
                  <c:pt idx="214">
                    <c:v>19</c:v>
                  </c:pt>
                  <c:pt idx="215">
                    <c:v>22</c:v>
                  </c:pt>
                  <c:pt idx="216">
                    <c:v>1</c:v>
                  </c:pt>
                  <c:pt idx="217">
                    <c:v>4</c:v>
                  </c:pt>
                  <c:pt idx="218">
                    <c:v>7</c:v>
                  </c:pt>
                  <c:pt idx="219">
                    <c:v>10</c:v>
                  </c:pt>
                  <c:pt idx="220">
                    <c:v>13</c:v>
                  </c:pt>
                  <c:pt idx="221">
                    <c:v>16</c:v>
                  </c:pt>
                  <c:pt idx="222">
                    <c:v>19</c:v>
                  </c:pt>
                  <c:pt idx="223">
                    <c:v>22</c:v>
                  </c:pt>
                  <c:pt idx="224">
                    <c:v>1</c:v>
                  </c:pt>
                  <c:pt idx="225">
                    <c:v>4</c:v>
                  </c:pt>
                  <c:pt idx="226">
                    <c:v>7</c:v>
                  </c:pt>
                  <c:pt idx="227">
                    <c:v>10</c:v>
                  </c:pt>
                  <c:pt idx="228">
                    <c:v>13</c:v>
                  </c:pt>
                  <c:pt idx="229">
                    <c:v>16</c:v>
                  </c:pt>
                  <c:pt idx="230">
                    <c:v>19</c:v>
                  </c:pt>
                  <c:pt idx="231">
                    <c:v>22</c:v>
                  </c:pt>
                  <c:pt idx="232">
                    <c:v>1</c:v>
                  </c:pt>
                  <c:pt idx="233">
                    <c:v>4</c:v>
                  </c:pt>
                  <c:pt idx="234">
                    <c:v>7</c:v>
                  </c:pt>
                  <c:pt idx="235">
                    <c:v>10</c:v>
                  </c:pt>
                  <c:pt idx="236">
                    <c:v>13</c:v>
                  </c:pt>
                  <c:pt idx="237">
                    <c:v>16</c:v>
                  </c:pt>
                  <c:pt idx="238">
                    <c:v>19</c:v>
                  </c:pt>
                  <c:pt idx="239">
                    <c:v>22</c:v>
                  </c:pt>
                  <c:pt idx="240">
                    <c:v>1</c:v>
                  </c:pt>
                  <c:pt idx="241">
                    <c:v>4</c:v>
                  </c:pt>
                  <c:pt idx="242">
                    <c:v>7</c:v>
                  </c:pt>
                  <c:pt idx="243">
                    <c:v>10</c:v>
                  </c:pt>
                  <c:pt idx="244">
                    <c:v>13</c:v>
                  </c:pt>
                  <c:pt idx="245">
                    <c:v>16</c:v>
                  </c:pt>
                  <c:pt idx="246">
                    <c:v>19</c:v>
                  </c:pt>
                  <c:pt idx="247">
                    <c:v>22</c:v>
                  </c:pt>
                </c:lvl>
                <c:lvl>
                  <c:pt idx="0">
                    <c:v>1</c:v>
                  </c:pt>
                  <c:pt idx="8">
                    <c:v>2</c:v>
                  </c:pt>
                  <c:pt idx="16">
                    <c:v>3</c:v>
                  </c:pt>
                  <c:pt idx="24">
                    <c:v>4</c:v>
                  </c:pt>
                  <c:pt idx="32">
                    <c:v>5</c:v>
                  </c:pt>
                  <c:pt idx="40">
                    <c:v>6</c:v>
                  </c:pt>
                  <c:pt idx="48">
                    <c:v>7</c:v>
                  </c:pt>
                  <c:pt idx="56">
                    <c:v>8</c:v>
                  </c:pt>
                  <c:pt idx="64">
                    <c:v>9</c:v>
                  </c:pt>
                  <c:pt idx="72">
                    <c:v>10</c:v>
                  </c:pt>
                  <c:pt idx="80">
                    <c:v>11</c:v>
                  </c:pt>
                  <c:pt idx="88">
                    <c:v>12</c:v>
                  </c:pt>
                  <c:pt idx="96">
                    <c:v>13</c:v>
                  </c:pt>
                  <c:pt idx="104">
                    <c:v>14</c:v>
                  </c:pt>
                  <c:pt idx="112">
                    <c:v>15</c:v>
                  </c:pt>
                  <c:pt idx="120">
                    <c:v>16</c:v>
                  </c:pt>
                  <c:pt idx="128">
                    <c:v>17</c:v>
                  </c:pt>
                  <c:pt idx="136">
                    <c:v>18</c:v>
                  </c:pt>
                  <c:pt idx="144">
                    <c:v>19</c:v>
                  </c:pt>
                  <c:pt idx="152">
                    <c:v>20</c:v>
                  </c:pt>
                  <c:pt idx="160">
                    <c:v>21</c:v>
                  </c:pt>
                  <c:pt idx="168">
                    <c:v>22</c:v>
                  </c:pt>
                  <c:pt idx="176">
                    <c:v>23</c:v>
                  </c:pt>
                  <c:pt idx="184">
                    <c:v>24</c:v>
                  </c:pt>
                  <c:pt idx="192">
                    <c:v>25</c:v>
                  </c:pt>
                  <c:pt idx="200">
                    <c:v>26</c:v>
                  </c:pt>
                  <c:pt idx="208">
                    <c:v>27</c:v>
                  </c:pt>
                  <c:pt idx="216">
                    <c:v>28</c:v>
                  </c:pt>
                  <c:pt idx="224">
                    <c:v>29</c:v>
                  </c:pt>
                  <c:pt idx="232">
                    <c:v>30</c:v>
                  </c:pt>
                  <c:pt idx="240">
                    <c:v>31</c:v>
                  </c:pt>
                </c:lvl>
              </c:multiLvlStrCache>
            </c:multiLvlStrRef>
          </c:cat>
          <c:val>
            <c:numRef>
              <c:f>'P &amp; T(1) '!$E$11:$E$258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7-472F-96E6-9CAD51C6E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851648"/>
        <c:axId val="203853184"/>
      </c:lineChart>
      <c:lineChart>
        <c:grouping val="standard"/>
        <c:varyColors val="0"/>
        <c:ser>
          <c:idx val="1"/>
          <c:order val="1"/>
          <c:tx>
            <c:v>dT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T(1) '!$A$11:$B$258</c:f>
              <c:multiLvlStrCache>
                <c:ptCount val="248"/>
                <c:lvl>
                  <c:pt idx="0">
                    <c:v>1</c:v>
                  </c:pt>
                  <c:pt idx="1">
                    <c:v>4</c:v>
                  </c:pt>
                  <c:pt idx="2">
                    <c:v>7</c:v>
                  </c:pt>
                  <c:pt idx="3">
                    <c:v>10</c:v>
                  </c:pt>
                  <c:pt idx="4">
                    <c:v>13</c:v>
                  </c:pt>
                  <c:pt idx="5">
                    <c:v>16</c:v>
                  </c:pt>
                  <c:pt idx="6">
                    <c:v>19</c:v>
                  </c:pt>
                  <c:pt idx="7">
                    <c:v>22</c:v>
                  </c:pt>
                  <c:pt idx="8">
                    <c:v>1</c:v>
                  </c:pt>
                  <c:pt idx="9">
                    <c:v>4</c:v>
                  </c:pt>
                  <c:pt idx="10">
                    <c:v>7</c:v>
                  </c:pt>
                  <c:pt idx="11">
                    <c:v>10</c:v>
                  </c:pt>
                  <c:pt idx="12">
                    <c:v>13</c:v>
                  </c:pt>
                  <c:pt idx="13">
                    <c:v>16</c:v>
                  </c:pt>
                  <c:pt idx="14">
                    <c:v>19</c:v>
                  </c:pt>
                  <c:pt idx="15">
                    <c:v>22</c:v>
                  </c:pt>
                  <c:pt idx="16">
                    <c:v>1</c:v>
                  </c:pt>
                  <c:pt idx="17">
                    <c:v>4</c:v>
                  </c:pt>
                  <c:pt idx="18">
                    <c:v>7</c:v>
                  </c:pt>
                  <c:pt idx="19">
                    <c:v>10</c:v>
                  </c:pt>
                  <c:pt idx="20">
                    <c:v>13</c:v>
                  </c:pt>
                  <c:pt idx="21">
                    <c:v>16</c:v>
                  </c:pt>
                  <c:pt idx="22">
                    <c:v>19</c:v>
                  </c:pt>
                  <c:pt idx="23">
                    <c:v>22</c:v>
                  </c:pt>
                  <c:pt idx="24">
                    <c:v>1</c:v>
                  </c:pt>
                  <c:pt idx="25">
                    <c:v>4</c:v>
                  </c:pt>
                  <c:pt idx="26">
                    <c:v>7</c:v>
                  </c:pt>
                  <c:pt idx="27">
                    <c:v>10</c:v>
                  </c:pt>
                  <c:pt idx="28">
                    <c:v>13</c:v>
                  </c:pt>
                  <c:pt idx="29">
                    <c:v>16</c:v>
                  </c:pt>
                  <c:pt idx="30">
                    <c:v>19</c:v>
                  </c:pt>
                  <c:pt idx="31">
                    <c:v>22</c:v>
                  </c:pt>
                  <c:pt idx="32">
                    <c:v>1</c:v>
                  </c:pt>
                  <c:pt idx="33">
                    <c:v>4</c:v>
                  </c:pt>
                  <c:pt idx="34">
                    <c:v>7</c:v>
                  </c:pt>
                  <c:pt idx="35">
                    <c:v>10</c:v>
                  </c:pt>
                  <c:pt idx="36">
                    <c:v>13</c:v>
                  </c:pt>
                  <c:pt idx="37">
                    <c:v>16</c:v>
                  </c:pt>
                  <c:pt idx="38">
                    <c:v>19</c:v>
                  </c:pt>
                  <c:pt idx="39">
                    <c:v>22</c:v>
                  </c:pt>
                  <c:pt idx="40">
                    <c:v>1</c:v>
                  </c:pt>
                  <c:pt idx="41">
                    <c:v>4</c:v>
                  </c:pt>
                  <c:pt idx="42">
                    <c:v>7</c:v>
                  </c:pt>
                  <c:pt idx="43">
                    <c:v>10</c:v>
                  </c:pt>
                  <c:pt idx="44">
                    <c:v>13</c:v>
                  </c:pt>
                  <c:pt idx="45">
                    <c:v>16</c:v>
                  </c:pt>
                  <c:pt idx="46">
                    <c:v>19</c:v>
                  </c:pt>
                  <c:pt idx="47">
                    <c:v>22</c:v>
                  </c:pt>
                  <c:pt idx="48">
                    <c:v>1</c:v>
                  </c:pt>
                  <c:pt idx="49">
                    <c:v>4</c:v>
                  </c:pt>
                  <c:pt idx="50">
                    <c:v>7</c:v>
                  </c:pt>
                  <c:pt idx="51">
                    <c:v>10</c:v>
                  </c:pt>
                  <c:pt idx="52">
                    <c:v>13</c:v>
                  </c:pt>
                  <c:pt idx="53">
                    <c:v>16</c:v>
                  </c:pt>
                  <c:pt idx="54">
                    <c:v>19</c:v>
                  </c:pt>
                  <c:pt idx="55">
                    <c:v>22</c:v>
                  </c:pt>
                  <c:pt idx="56">
                    <c:v>1</c:v>
                  </c:pt>
                  <c:pt idx="57">
                    <c:v>4</c:v>
                  </c:pt>
                  <c:pt idx="58">
                    <c:v>7</c:v>
                  </c:pt>
                  <c:pt idx="59">
                    <c:v>10</c:v>
                  </c:pt>
                  <c:pt idx="60">
                    <c:v>13</c:v>
                  </c:pt>
                  <c:pt idx="61">
                    <c:v>16</c:v>
                  </c:pt>
                  <c:pt idx="62">
                    <c:v>19</c:v>
                  </c:pt>
                  <c:pt idx="63">
                    <c:v>22</c:v>
                  </c:pt>
                  <c:pt idx="64">
                    <c:v>1</c:v>
                  </c:pt>
                  <c:pt idx="65">
                    <c:v>4</c:v>
                  </c:pt>
                  <c:pt idx="66">
                    <c:v>7</c:v>
                  </c:pt>
                  <c:pt idx="67">
                    <c:v>10</c:v>
                  </c:pt>
                  <c:pt idx="68">
                    <c:v>13</c:v>
                  </c:pt>
                  <c:pt idx="69">
                    <c:v>16</c:v>
                  </c:pt>
                  <c:pt idx="70">
                    <c:v>19</c:v>
                  </c:pt>
                  <c:pt idx="71">
                    <c:v>22</c:v>
                  </c:pt>
                  <c:pt idx="72">
                    <c:v>1</c:v>
                  </c:pt>
                  <c:pt idx="73">
                    <c:v>4</c:v>
                  </c:pt>
                  <c:pt idx="74">
                    <c:v>7</c:v>
                  </c:pt>
                  <c:pt idx="75">
                    <c:v>10</c:v>
                  </c:pt>
                  <c:pt idx="76">
                    <c:v>13</c:v>
                  </c:pt>
                  <c:pt idx="77">
                    <c:v>16</c:v>
                  </c:pt>
                  <c:pt idx="78">
                    <c:v>19</c:v>
                  </c:pt>
                  <c:pt idx="79">
                    <c:v>22</c:v>
                  </c:pt>
                  <c:pt idx="80">
                    <c:v>1</c:v>
                  </c:pt>
                  <c:pt idx="81">
                    <c:v>4</c:v>
                  </c:pt>
                  <c:pt idx="82">
                    <c:v>7</c:v>
                  </c:pt>
                  <c:pt idx="83">
                    <c:v>10</c:v>
                  </c:pt>
                  <c:pt idx="84">
                    <c:v>13</c:v>
                  </c:pt>
                  <c:pt idx="85">
                    <c:v>16</c:v>
                  </c:pt>
                  <c:pt idx="86">
                    <c:v>19</c:v>
                  </c:pt>
                  <c:pt idx="87">
                    <c:v>22</c:v>
                  </c:pt>
                  <c:pt idx="88">
                    <c:v>1</c:v>
                  </c:pt>
                  <c:pt idx="89">
                    <c:v>4</c:v>
                  </c:pt>
                  <c:pt idx="90">
                    <c:v>7</c:v>
                  </c:pt>
                  <c:pt idx="91">
                    <c:v>10</c:v>
                  </c:pt>
                  <c:pt idx="92">
                    <c:v>13</c:v>
                  </c:pt>
                  <c:pt idx="93">
                    <c:v>16</c:v>
                  </c:pt>
                  <c:pt idx="94">
                    <c:v>19</c:v>
                  </c:pt>
                  <c:pt idx="95">
                    <c:v>22</c:v>
                  </c:pt>
                  <c:pt idx="96">
                    <c:v>1</c:v>
                  </c:pt>
                  <c:pt idx="97">
                    <c:v>4</c:v>
                  </c:pt>
                  <c:pt idx="98">
                    <c:v>7</c:v>
                  </c:pt>
                  <c:pt idx="99">
                    <c:v>10</c:v>
                  </c:pt>
                  <c:pt idx="100">
                    <c:v>13</c:v>
                  </c:pt>
                  <c:pt idx="101">
                    <c:v>16</c:v>
                  </c:pt>
                  <c:pt idx="102">
                    <c:v>19</c:v>
                  </c:pt>
                  <c:pt idx="103">
                    <c:v>22</c:v>
                  </c:pt>
                  <c:pt idx="104">
                    <c:v>1</c:v>
                  </c:pt>
                  <c:pt idx="105">
                    <c:v>4</c:v>
                  </c:pt>
                  <c:pt idx="106">
                    <c:v>7</c:v>
                  </c:pt>
                  <c:pt idx="107">
                    <c:v>10</c:v>
                  </c:pt>
                  <c:pt idx="108">
                    <c:v>13</c:v>
                  </c:pt>
                  <c:pt idx="109">
                    <c:v>16</c:v>
                  </c:pt>
                  <c:pt idx="110">
                    <c:v>19</c:v>
                  </c:pt>
                  <c:pt idx="111">
                    <c:v>22</c:v>
                  </c:pt>
                  <c:pt idx="112">
                    <c:v>1</c:v>
                  </c:pt>
                  <c:pt idx="113">
                    <c:v>4</c:v>
                  </c:pt>
                  <c:pt idx="114">
                    <c:v>7</c:v>
                  </c:pt>
                  <c:pt idx="115">
                    <c:v>10</c:v>
                  </c:pt>
                  <c:pt idx="116">
                    <c:v>13</c:v>
                  </c:pt>
                  <c:pt idx="117">
                    <c:v>16</c:v>
                  </c:pt>
                  <c:pt idx="118">
                    <c:v>19</c:v>
                  </c:pt>
                  <c:pt idx="119">
                    <c:v>22</c:v>
                  </c:pt>
                  <c:pt idx="120">
                    <c:v>1</c:v>
                  </c:pt>
                  <c:pt idx="121">
                    <c:v>4</c:v>
                  </c:pt>
                  <c:pt idx="122">
                    <c:v>7</c:v>
                  </c:pt>
                  <c:pt idx="123">
                    <c:v>10</c:v>
                  </c:pt>
                  <c:pt idx="124">
                    <c:v>13</c:v>
                  </c:pt>
                  <c:pt idx="125">
                    <c:v>16</c:v>
                  </c:pt>
                  <c:pt idx="126">
                    <c:v>19</c:v>
                  </c:pt>
                  <c:pt idx="127">
                    <c:v>22</c:v>
                  </c:pt>
                  <c:pt idx="128">
                    <c:v>1</c:v>
                  </c:pt>
                  <c:pt idx="129">
                    <c:v>4</c:v>
                  </c:pt>
                  <c:pt idx="130">
                    <c:v>7</c:v>
                  </c:pt>
                  <c:pt idx="131">
                    <c:v>10</c:v>
                  </c:pt>
                  <c:pt idx="132">
                    <c:v>13</c:v>
                  </c:pt>
                  <c:pt idx="133">
                    <c:v>16</c:v>
                  </c:pt>
                  <c:pt idx="134">
                    <c:v>19</c:v>
                  </c:pt>
                  <c:pt idx="135">
                    <c:v>22</c:v>
                  </c:pt>
                  <c:pt idx="136">
                    <c:v>1</c:v>
                  </c:pt>
                  <c:pt idx="137">
                    <c:v>4</c:v>
                  </c:pt>
                  <c:pt idx="138">
                    <c:v>7</c:v>
                  </c:pt>
                  <c:pt idx="139">
                    <c:v>10</c:v>
                  </c:pt>
                  <c:pt idx="140">
                    <c:v>13</c:v>
                  </c:pt>
                  <c:pt idx="141">
                    <c:v>16</c:v>
                  </c:pt>
                  <c:pt idx="142">
                    <c:v>19</c:v>
                  </c:pt>
                  <c:pt idx="143">
                    <c:v>22</c:v>
                  </c:pt>
                  <c:pt idx="144">
                    <c:v>1</c:v>
                  </c:pt>
                  <c:pt idx="145">
                    <c:v>4</c:v>
                  </c:pt>
                  <c:pt idx="146">
                    <c:v>7</c:v>
                  </c:pt>
                  <c:pt idx="147">
                    <c:v>10</c:v>
                  </c:pt>
                  <c:pt idx="148">
                    <c:v>13</c:v>
                  </c:pt>
                  <c:pt idx="149">
                    <c:v>16</c:v>
                  </c:pt>
                  <c:pt idx="150">
                    <c:v>19</c:v>
                  </c:pt>
                  <c:pt idx="151">
                    <c:v>22</c:v>
                  </c:pt>
                  <c:pt idx="152">
                    <c:v>1</c:v>
                  </c:pt>
                  <c:pt idx="153">
                    <c:v>4</c:v>
                  </c:pt>
                  <c:pt idx="154">
                    <c:v>7</c:v>
                  </c:pt>
                  <c:pt idx="155">
                    <c:v>10</c:v>
                  </c:pt>
                  <c:pt idx="156">
                    <c:v>13</c:v>
                  </c:pt>
                  <c:pt idx="157">
                    <c:v>16</c:v>
                  </c:pt>
                  <c:pt idx="158">
                    <c:v>19</c:v>
                  </c:pt>
                  <c:pt idx="159">
                    <c:v>22</c:v>
                  </c:pt>
                  <c:pt idx="160">
                    <c:v>1</c:v>
                  </c:pt>
                  <c:pt idx="161">
                    <c:v>4</c:v>
                  </c:pt>
                  <c:pt idx="162">
                    <c:v>7</c:v>
                  </c:pt>
                  <c:pt idx="163">
                    <c:v>10</c:v>
                  </c:pt>
                  <c:pt idx="164">
                    <c:v>13</c:v>
                  </c:pt>
                  <c:pt idx="165">
                    <c:v>16</c:v>
                  </c:pt>
                  <c:pt idx="166">
                    <c:v>19</c:v>
                  </c:pt>
                  <c:pt idx="167">
                    <c:v>22</c:v>
                  </c:pt>
                  <c:pt idx="168">
                    <c:v>1</c:v>
                  </c:pt>
                  <c:pt idx="169">
                    <c:v>4</c:v>
                  </c:pt>
                  <c:pt idx="170">
                    <c:v>7</c:v>
                  </c:pt>
                  <c:pt idx="171">
                    <c:v>10</c:v>
                  </c:pt>
                  <c:pt idx="172">
                    <c:v>13</c:v>
                  </c:pt>
                  <c:pt idx="173">
                    <c:v>16</c:v>
                  </c:pt>
                  <c:pt idx="174">
                    <c:v>19</c:v>
                  </c:pt>
                  <c:pt idx="175">
                    <c:v>22</c:v>
                  </c:pt>
                  <c:pt idx="176">
                    <c:v>1</c:v>
                  </c:pt>
                  <c:pt idx="177">
                    <c:v>4</c:v>
                  </c:pt>
                  <c:pt idx="178">
                    <c:v>7</c:v>
                  </c:pt>
                  <c:pt idx="179">
                    <c:v>10</c:v>
                  </c:pt>
                  <c:pt idx="180">
                    <c:v>13</c:v>
                  </c:pt>
                  <c:pt idx="181">
                    <c:v>16</c:v>
                  </c:pt>
                  <c:pt idx="182">
                    <c:v>19</c:v>
                  </c:pt>
                  <c:pt idx="183">
                    <c:v>22</c:v>
                  </c:pt>
                  <c:pt idx="184">
                    <c:v>1</c:v>
                  </c:pt>
                  <c:pt idx="185">
                    <c:v>4</c:v>
                  </c:pt>
                  <c:pt idx="186">
                    <c:v>7</c:v>
                  </c:pt>
                  <c:pt idx="187">
                    <c:v>10</c:v>
                  </c:pt>
                  <c:pt idx="188">
                    <c:v>13</c:v>
                  </c:pt>
                  <c:pt idx="189">
                    <c:v>16</c:v>
                  </c:pt>
                  <c:pt idx="190">
                    <c:v>19</c:v>
                  </c:pt>
                  <c:pt idx="191">
                    <c:v>22</c:v>
                  </c:pt>
                  <c:pt idx="192">
                    <c:v>1</c:v>
                  </c:pt>
                  <c:pt idx="193">
                    <c:v>4</c:v>
                  </c:pt>
                  <c:pt idx="194">
                    <c:v>7</c:v>
                  </c:pt>
                  <c:pt idx="195">
                    <c:v>10</c:v>
                  </c:pt>
                  <c:pt idx="196">
                    <c:v>13</c:v>
                  </c:pt>
                  <c:pt idx="197">
                    <c:v>16</c:v>
                  </c:pt>
                  <c:pt idx="198">
                    <c:v>19</c:v>
                  </c:pt>
                  <c:pt idx="199">
                    <c:v>22</c:v>
                  </c:pt>
                  <c:pt idx="200">
                    <c:v>1</c:v>
                  </c:pt>
                  <c:pt idx="201">
                    <c:v>4</c:v>
                  </c:pt>
                  <c:pt idx="202">
                    <c:v>7</c:v>
                  </c:pt>
                  <c:pt idx="203">
                    <c:v>10</c:v>
                  </c:pt>
                  <c:pt idx="204">
                    <c:v>13</c:v>
                  </c:pt>
                  <c:pt idx="205">
                    <c:v>16</c:v>
                  </c:pt>
                  <c:pt idx="206">
                    <c:v>19</c:v>
                  </c:pt>
                  <c:pt idx="207">
                    <c:v>22</c:v>
                  </c:pt>
                  <c:pt idx="208">
                    <c:v>1</c:v>
                  </c:pt>
                  <c:pt idx="209">
                    <c:v>4</c:v>
                  </c:pt>
                  <c:pt idx="210">
                    <c:v>7</c:v>
                  </c:pt>
                  <c:pt idx="211">
                    <c:v>10</c:v>
                  </c:pt>
                  <c:pt idx="212">
                    <c:v>13</c:v>
                  </c:pt>
                  <c:pt idx="213">
                    <c:v>16</c:v>
                  </c:pt>
                  <c:pt idx="214">
                    <c:v>19</c:v>
                  </c:pt>
                  <c:pt idx="215">
                    <c:v>22</c:v>
                  </c:pt>
                  <c:pt idx="216">
                    <c:v>1</c:v>
                  </c:pt>
                  <c:pt idx="217">
                    <c:v>4</c:v>
                  </c:pt>
                  <c:pt idx="218">
                    <c:v>7</c:v>
                  </c:pt>
                  <c:pt idx="219">
                    <c:v>10</c:v>
                  </c:pt>
                  <c:pt idx="220">
                    <c:v>13</c:v>
                  </c:pt>
                  <c:pt idx="221">
                    <c:v>16</c:v>
                  </c:pt>
                  <c:pt idx="222">
                    <c:v>19</c:v>
                  </c:pt>
                  <c:pt idx="223">
                    <c:v>22</c:v>
                  </c:pt>
                  <c:pt idx="224">
                    <c:v>1</c:v>
                  </c:pt>
                  <c:pt idx="225">
                    <c:v>4</c:v>
                  </c:pt>
                  <c:pt idx="226">
                    <c:v>7</c:v>
                  </c:pt>
                  <c:pt idx="227">
                    <c:v>10</c:v>
                  </c:pt>
                  <c:pt idx="228">
                    <c:v>13</c:v>
                  </c:pt>
                  <c:pt idx="229">
                    <c:v>16</c:v>
                  </c:pt>
                  <c:pt idx="230">
                    <c:v>19</c:v>
                  </c:pt>
                  <c:pt idx="231">
                    <c:v>22</c:v>
                  </c:pt>
                  <c:pt idx="232">
                    <c:v>1</c:v>
                  </c:pt>
                  <c:pt idx="233">
                    <c:v>4</c:v>
                  </c:pt>
                  <c:pt idx="234">
                    <c:v>7</c:v>
                  </c:pt>
                  <c:pt idx="235">
                    <c:v>10</c:v>
                  </c:pt>
                  <c:pt idx="236">
                    <c:v>13</c:v>
                  </c:pt>
                  <c:pt idx="237">
                    <c:v>16</c:v>
                  </c:pt>
                  <c:pt idx="238">
                    <c:v>19</c:v>
                  </c:pt>
                  <c:pt idx="239">
                    <c:v>22</c:v>
                  </c:pt>
                  <c:pt idx="240">
                    <c:v>1</c:v>
                  </c:pt>
                  <c:pt idx="241">
                    <c:v>4</c:v>
                  </c:pt>
                  <c:pt idx="242">
                    <c:v>7</c:v>
                  </c:pt>
                  <c:pt idx="243">
                    <c:v>10</c:v>
                  </c:pt>
                  <c:pt idx="244">
                    <c:v>13</c:v>
                  </c:pt>
                  <c:pt idx="245">
                    <c:v>16</c:v>
                  </c:pt>
                  <c:pt idx="246">
                    <c:v>19</c:v>
                  </c:pt>
                  <c:pt idx="247">
                    <c:v>22</c:v>
                  </c:pt>
                </c:lvl>
                <c:lvl>
                  <c:pt idx="0">
                    <c:v>1</c:v>
                  </c:pt>
                  <c:pt idx="8">
                    <c:v>2</c:v>
                  </c:pt>
                  <c:pt idx="16">
                    <c:v>3</c:v>
                  </c:pt>
                  <c:pt idx="24">
                    <c:v>4</c:v>
                  </c:pt>
                  <c:pt idx="32">
                    <c:v>5</c:v>
                  </c:pt>
                  <c:pt idx="40">
                    <c:v>6</c:v>
                  </c:pt>
                  <c:pt idx="48">
                    <c:v>7</c:v>
                  </c:pt>
                  <c:pt idx="56">
                    <c:v>8</c:v>
                  </c:pt>
                  <c:pt idx="64">
                    <c:v>9</c:v>
                  </c:pt>
                  <c:pt idx="72">
                    <c:v>10</c:v>
                  </c:pt>
                  <c:pt idx="80">
                    <c:v>11</c:v>
                  </c:pt>
                  <c:pt idx="88">
                    <c:v>12</c:v>
                  </c:pt>
                  <c:pt idx="96">
                    <c:v>13</c:v>
                  </c:pt>
                  <c:pt idx="104">
                    <c:v>14</c:v>
                  </c:pt>
                  <c:pt idx="112">
                    <c:v>15</c:v>
                  </c:pt>
                  <c:pt idx="120">
                    <c:v>16</c:v>
                  </c:pt>
                  <c:pt idx="128">
                    <c:v>17</c:v>
                  </c:pt>
                  <c:pt idx="136">
                    <c:v>18</c:v>
                  </c:pt>
                  <c:pt idx="144">
                    <c:v>19</c:v>
                  </c:pt>
                  <c:pt idx="152">
                    <c:v>20</c:v>
                  </c:pt>
                  <c:pt idx="160">
                    <c:v>21</c:v>
                  </c:pt>
                  <c:pt idx="168">
                    <c:v>22</c:v>
                  </c:pt>
                  <c:pt idx="176">
                    <c:v>23</c:v>
                  </c:pt>
                  <c:pt idx="184">
                    <c:v>24</c:v>
                  </c:pt>
                  <c:pt idx="192">
                    <c:v>25</c:v>
                  </c:pt>
                  <c:pt idx="200">
                    <c:v>26</c:v>
                  </c:pt>
                  <c:pt idx="208">
                    <c:v>27</c:v>
                  </c:pt>
                  <c:pt idx="216">
                    <c:v>28</c:v>
                  </c:pt>
                  <c:pt idx="224">
                    <c:v>29</c:v>
                  </c:pt>
                  <c:pt idx="232">
                    <c:v>30</c:v>
                  </c:pt>
                  <c:pt idx="240">
                    <c:v>31</c:v>
                  </c:pt>
                </c:lvl>
              </c:multiLvlStrCache>
            </c:multiLvlStrRef>
          </c:cat>
          <c:val>
            <c:numRef>
              <c:f>'P &amp; T(1) '!$I$11:$I$258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C7-472F-96E6-9CAD51C6E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859072"/>
        <c:axId val="203860608"/>
      </c:lineChart>
      <c:catAx>
        <c:axId val="20385164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00" b="0" i="0" u="none" strike="noStrike" baseline="0">
                <a:solidFill>
                  <a:srgbClr val="000000"/>
                </a:solidFill>
                <a:latin typeface=".VnClarendon"/>
                <a:ea typeface=".VnClarendon"/>
                <a:cs typeface=".VnClarendon"/>
              </a:defRPr>
            </a:pPr>
            <a:endParaRPr lang="en-US"/>
          </a:p>
        </c:txPr>
        <c:crossAx val="203853184"/>
        <c:crosses val="autoZero"/>
        <c:auto val="0"/>
        <c:lblAlgn val="ctr"/>
        <c:lblOffset val="100"/>
        <c:tickLblSkip val="4"/>
        <c:tickMarkSkip val="1"/>
        <c:noMultiLvlLbl val="0"/>
      </c:catAx>
      <c:valAx>
        <c:axId val="20385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851648"/>
        <c:crosses val="autoZero"/>
        <c:crossBetween val="between"/>
      </c:valAx>
      <c:catAx>
        <c:axId val="2038590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860608"/>
        <c:crosses val="autoZero"/>
        <c:auto val="0"/>
        <c:lblAlgn val="ctr"/>
        <c:lblOffset val="100"/>
        <c:noMultiLvlLbl val="0"/>
      </c:catAx>
      <c:valAx>
        <c:axId val="203860608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85907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Tæng biÕn ¸p, nhiÖt 24h t¹i tr¹m B¾c Giang</a:t>
            </a:r>
          </a:p>
        </c:rich>
      </c:tx>
      <c:layout>
        <c:manualLayout>
          <c:xMode val="edge"/>
          <c:yMode val="edge"/>
          <c:x val="0.36124176857949203"/>
          <c:y val="2.4781341107871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206961429915336E-2"/>
          <c:y val="0.10641399416909621"/>
          <c:w val="0.90216368767638755"/>
          <c:h val="0.7784256559766763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T(2)'!$A$7:$B$130</c:f>
              <c:multiLvlStrCache>
                <c:ptCount val="124"/>
                <c:lvl>
                  <c:pt idx="0">
                    <c:v>1</c:v>
                  </c:pt>
                  <c:pt idx="1">
                    <c:v>7</c:v>
                  </c:pt>
                  <c:pt idx="2">
                    <c:v>13</c:v>
                  </c:pt>
                  <c:pt idx="3">
                    <c:v>19</c:v>
                  </c:pt>
                  <c:pt idx="4">
                    <c:v>1</c:v>
                  </c:pt>
                  <c:pt idx="5">
                    <c:v>7</c:v>
                  </c:pt>
                  <c:pt idx="6">
                    <c:v>13</c:v>
                  </c:pt>
                  <c:pt idx="7">
                    <c:v>19</c:v>
                  </c:pt>
                  <c:pt idx="8">
                    <c:v>1</c:v>
                  </c:pt>
                  <c:pt idx="9">
                    <c:v>7</c:v>
                  </c:pt>
                  <c:pt idx="10">
                    <c:v>13</c:v>
                  </c:pt>
                  <c:pt idx="11">
                    <c:v>19</c:v>
                  </c:pt>
                  <c:pt idx="12">
                    <c:v>1</c:v>
                  </c:pt>
                  <c:pt idx="13">
                    <c:v>7</c:v>
                  </c:pt>
                  <c:pt idx="14">
                    <c:v>13</c:v>
                  </c:pt>
                  <c:pt idx="15">
                    <c:v>19</c:v>
                  </c:pt>
                  <c:pt idx="16">
                    <c:v>1</c:v>
                  </c:pt>
                  <c:pt idx="17">
                    <c:v>7</c:v>
                  </c:pt>
                  <c:pt idx="18">
                    <c:v>13</c:v>
                  </c:pt>
                  <c:pt idx="19">
                    <c:v>19</c:v>
                  </c:pt>
                  <c:pt idx="20">
                    <c:v>1</c:v>
                  </c:pt>
                  <c:pt idx="21">
                    <c:v>7</c:v>
                  </c:pt>
                  <c:pt idx="22">
                    <c:v>13</c:v>
                  </c:pt>
                  <c:pt idx="23">
                    <c:v>19</c:v>
                  </c:pt>
                  <c:pt idx="24">
                    <c:v>1</c:v>
                  </c:pt>
                  <c:pt idx="25">
                    <c:v>7</c:v>
                  </c:pt>
                  <c:pt idx="26">
                    <c:v>13</c:v>
                  </c:pt>
                  <c:pt idx="27">
                    <c:v>19</c:v>
                  </c:pt>
                  <c:pt idx="28">
                    <c:v>1</c:v>
                  </c:pt>
                  <c:pt idx="29">
                    <c:v>7</c:v>
                  </c:pt>
                  <c:pt idx="30">
                    <c:v>13</c:v>
                  </c:pt>
                  <c:pt idx="31">
                    <c:v>19</c:v>
                  </c:pt>
                  <c:pt idx="32">
                    <c:v>1</c:v>
                  </c:pt>
                  <c:pt idx="33">
                    <c:v>7</c:v>
                  </c:pt>
                  <c:pt idx="34">
                    <c:v>13</c:v>
                  </c:pt>
                  <c:pt idx="35">
                    <c:v>19</c:v>
                  </c:pt>
                  <c:pt idx="36">
                    <c:v>1</c:v>
                  </c:pt>
                  <c:pt idx="37">
                    <c:v>7</c:v>
                  </c:pt>
                  <c:pt idx="38">
                    <c:v>13</c:v>
                  </c:pt>
                  <c:pt idx="39">
                    <c:v>19</c:v>
                  </c:pt>
                  <c:pt idx="40">
                    <c:v>1</c:v>
                  </c:pt>
                  <c:pt idx="41">
                    <c:v>7</c:v>
                  </c:pt>
                  <c:pt idx="42">
                    <c:v>13</c:v>
                  </c:pt>
                  <c:pt idx="43">
                    <c:v>19</c:v>
                  </c:pt>
                  <c:pt idx="44">
                    <c:v>1</c:v>
                  </c:pt>
                  <c:pt idx="45">
                    <c:v>7</c:v>
                  </c:pt>
                  <c:pt idx="46">
                    <c:v>13</c:v>
                  </c:pt>
                  <c:pt idx="47">
                    <c:v>19</c:v>
                  </c:pt>
                  <c:pt idx="48">
                    <c:v>1</c:v>
                  </c:pt>
                  <c:pt idx="49">
                    <c:v>7</c:v>
                  </c:pt>
                  <c:pt idx="50">
                    <c:v>13</c:v>
                  </c:pt>
                  <c:pt idx="51">
                    <c:v>19</c:v>
                  </c:pt>
                  <c:pt idx="52">
                    <c:v>1</c:v>
                  </c:pt>
                  <c:pt idx="53">
                    <c:v>7</c:v>
                  </c:pt>
                  <c:pt idx="54">
                    <c:v>13</c:v>
                  </c:pt>
                  <c:pt idx="55">
                    <c:v>19</c:v>
                  </c:pt>
                  <c:pt idx="56">
                    <c:v>1</c:v>
                  </c:pt>
                  <c:pt idx="57">
                    <c:v>7</c:v>
                  </c:pt>
                  <c:pt idx="58">
                    <c:v>13</c:v>
                  </c:pt>
                  <c:pt idx="59">
                    <c:v>19</c:v>
                  </c:pt>
                  <c:pt idx="60">
                    <c:v>1</c:v>
                  </c:pt>
                  <c:pt idx="61">
                    <c:v>7</c:v>
                  </c:pt>
                  <c:pt idx="62">
                    <c:v>13</c:v>
                  </c:pt>
                  <c:pt idx="63">
                    <c:v>19</c:v>
                  </c:pt>
                  <c:pt idx="64">
                    <c:v>1</c:v>
                  </c:pt>
                  <c:pt idx="65">
                    <c:v>7</c:v>
                  </c:pt>
                  <c:pt idx="66">
                    <c:v>13</c:v>
                  </c:pt>
                  <c:pt idx="67">
                    <c:v>19</c:v>
                  </c:pt>
                  <c:pt idx="68">
                    <c:v>1</c:v>
                  </c:pt>
                  <c:pt idx="69">
                    <c:v>7</c:v>
                  </c:pt>
                  <c:pt idx="70">
                    <c:v>13</c:v>
                  </c:pt>
                  <c:pt idx="71">
                    <c:v>19</c:v>
                  </c:pt>
                  <c:pt idx="72">
                    <c:v>1</c:v>
                  </c:pt>
                  <c:pt idx="73">
                    <c:v>7</c:v>
                  </c:pt>
                  <c:pt idx="74">
                    <c:v>13</c:v>
                  </c:pt>
                  <c:pt idx="75">
                    <c:v>19</c:v>
                  </c:pt>
                  <c:pt idx="76">
                    <c:v>1</c:v>
                  </c:pt>
                  <c:pt idx="77">
                    <c:v>7</c:v>
                  </c:pt>
                  <c:pt idx="78">
                    <c:v>13</c:v>
                  </c:pt>
                  <c:pt idx="79">
                    <c:v>19</c:v>
                  </c:pt>
                  <c:pt idx="80">
                    <c:v>1</c:v>
                  </c:pt>
                  <c:pt idx="81">
                    <c:v>7</c:v>
                  </c:pt>
                  <c:pt idx="82">
                    <c:v>13</c:v>
                  </c:pt>
                  <c:pt idx="83">
                    <c:v>19</c:v>
                  </c:pt>
                  <c:pt idx="84">
                    <c:v>1</c:v>
                  </c:pt>
                  <c:pt idx="85">
                    <c:v>7</c:v>
                  </c:pt>
                  <c:pt idx="86">
                    <c:v>13</c:v>
                  </c:pt>
                  <c:pt idx="87">
                    <c:v>19</c:v>
                  </c:pt>
                  <c:pt idx="88">
                    <c:v>1</c:v>
                  </c:pt>
                  <c:pt idx="89">
                    <c:v>7</c:v>
                  </c:pt>
                  <c:pt idx="90">
                    <c:v>13</c:v>
                  </c:pt>
                  <c:pt idx="91">
                    <c:v>19</c:v>
                  </c:pt>
                  <c:pt idx="92">
                    <c:v>1</c:v>
                  </c:pt>
                  <c:pt idx="93">
                    <c:v>7</c:v>
                  </c:pt>
                  <c:pt idx="94">
                    <c:v>13</c:v>
                  </c:pt>
                  <c:pt idx="95">
                    <c:v>19</c:v>
                  </c:pt>
                  <c:pt idx="96">
                    <c:v>1</c:v>
                  </c:pt>
                  <c:pt idx="97">
                    <c:v>7</c:v>
                  </c:pt>
                  <c:pt idx="98">
                    <c:v>13</c:v>
                  </c:pt>
                  <c:pt idx="99">
                    <c:v>19</c:v>
                  </c:pt>
                  <c:pt idx="100">
                    <c:v>1</c:v>
                  </c:pt>
                  <c:pt idx="101">
                    <c:v>7</c:v>
                  </c:pt>
                  <c:pt idx="102">
                    <c:v>13</c:v>
                  </c:pt>
                  <c:pt idx="103">
                    <c:v>19</c:v>
                  </c:pt>
                  <c:pt idx="104">
                    <c:v>1</c:v>
                  </c:pt>
                  <c:pt idx="105">
                    <c:v>7</c:v>
                  </c:pt>
                  <c:pt idx="106">
                    <c:v>13</c:v>
                  </c:pt>
                  <c:pt idx="107">
                    <c:v>19</c:v>
                  </c:pt>
                  <c:pt idx="108">
                    <c:v>1</c:v>
                  </c:pt>
                  <c:pt idx="109">
                    <c:v>7</c:v>
                  </c:pt>
                  <c:pt idx="110">
                    <c:v>13</c:v>
                  </c:pt>
                  <c:pt idx="111">
                    <c:v>19</c:v>
                  </c:pt>
                  <c:pt idx="112">
                    <c:v>1</c:v>
                  </c:pt>
                  <c:pt idx="113">
                    <c:v>7</c:v>
                  </c:pt>
                  <c:pt idx="114">
                    <c:v>13</c:v>
                  </c:pt>
                  <c:pt idx="115">
                    <c:v>19</c:v>
                  </c:pt>
                  <c:pt idx="116">
                    <c:v>1</c:v>
                  </c:pt>
                  <c:pt idx="117">
                    <c:v>7</c:v>
                  </c:pt>
                  <c:pt idx="118">
                    <c:v>13</c:v>
                  </c:pt>
                  <c:pt idx="119">
                    <c:v>19</c:v>
                  </c:pt>
                  <c:pt idx="120">
                    <c:v>1</c:v>
                  </c:pt>
                  <c:pt idx="121">
                    <c:v>7</c:v>
                  </c:pt>
                  <c:pt idx="122">
                    <c:v>13</c:v>
                  </c:pt>
                  <c:pt idx="123">
                    <c:v>19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  <c:pt idx="48">
                    <c:v>13</c:v>
                  </c:pt>
                  <c:pt idx="52">
                    <c:v>14</c:v>
                  </c:pt>
                  <c:pt idx="56">
                    <c:v>15</c:v>
                  </c:pt>
                  <c:pt idx="60">
                    <c:v>16</c:v>
                  </c:pt>
                  <c:pt idx="64">
                    <c:v>17</c:v>
                  </c:pt>
                  <c:pt idx="68">
                    <c:v>18</c:v>
                  </c:pt>
                  <c:pt idx="72">
                    <c:v>19</c:v>
                  </c:pt>
                  <c:pt idx="76">
                    <c:v>20</c:v>
                  </c:pt>
                  <c:pt idx="80">
                    <c:v>21</c:v>
                  </c:pt>
                  <c:pt idx="84">
                    <c:v>22</c:v>
                  </c:pt>
                  <c:pt idx="88">
                    <c:v>23</c:v>
                  </c:pt>
                  <c:pt idx="92">
                    <c:v>24</c:v>
                  </c:pt>
                  <c:pt idx="96">
                    <c:v>25</c:v>
                  </c:pt>
                  <c:pt idx="100">
                    <c:v>26</c:v>
                  </c:pt>
                  <c:pt idx="104">
                    <c:v>27</c:v>
                  </c:pt>
                  <c:pt idx="108">
                    <c:v>28</c:v>
                  </c:pt>
                  <c:pt idx="112">
                    <c:v>29</c:v>
                  </c:pt>
                  <c:pt idx="116">
                    <c:v>30</c:v>
                  </c:pt>
                  <c:pt idx="120">
                    <c:v>31</c:v>
                  </c:pt>
                </c:lvl>
              </c:multiLvlStrCache>
            </c:multiLvlStrRef>
          </c:cat>
          <c:val>
            <c:numRef>
              <c:f>'P &amp; T(2)'!$S$7:$S$130</c:f>
              <c:numCache>
                <c:formatCode>General</c:formatCode>
                <c:ptCount val="1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7-48F3-A9FA-82386AC8A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68960"/>
        <c:axId val="203770880"/>
      </c:lineChart>
      <c:lineChart>
        <c:grouping val="standard"/>
        <c:varyColors val="0"/>
        <c:ser>
          <c:idx val="1"/>
          <c:order val="1"/>
          <c:tx>
            <c:v>NhiÖt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T(2)'!$A$7:$B$130</c:f>
              <c:multiLvlStrCache>
                <c:ptCount val="124"/>
                <c:lvl>
                  <c:pt idx="0">
                    <c:v>1</c:v>
                  </c:pt>
                  <c:pt idx="1">
                    <c:v>7</c:v>
                  </c:pt>
                  <c:pt idx="2">
                    <c:v>13</c:v>
                  </c:pt>
                  <c:pt idx="3">
                    <c:v>19</c:v>
                  </c:pt>
                  <c:pt idx="4">
                    <c:v>1</c:v>
                  </c:pt>
                  <c:pt idx="5">
                    <c:v>7</c:v>
                  </c:pt>
                  <c:pt idx="6">
                    <c:v>13</c:v>
                  </c:pt>
                  <c:pt idx="7">
                    <c:v>19</c:v>
                  </c:pt>
                  <c:pt idx="8">
                    <c:v>1</c:v>
                  </c:pt>
                  <c:pt idx="9">
                    <c:v>7</c:v>
                  </c:pt>
                  <c:pt idx="10">
                    <c:v>13</c:v>
                  </c:pt>
                  <c:pt idx="11">
                    <c:v>19</c:v>
                  </c:pt>
                  <c:pt idx="12">
                    <c:v>1</c:v>
                  </c:pt>
                  <c:pt idx="13">
                    <c:v>7</c:v>
                  </c:pt>
                  <c:pt idx="14">
                    <c:v>13</c:v>
                  </c:pt>
                  <c:pt idx="15">
                    <c:v>19</c:v>
                  </c:pt>
                  <c:pt idx="16">
                    <c:v>1</c:v>
                  </c:pt>
                  <c:pt idx="17">
                    <c:v>7</c:v>
                  </c:pt>
                  <c:pt idx="18">
                    <c:v>13</c:v>
                  </c:pt>
                  <c:pt idx="19">
                    <c:v>19</c:v>
                  </c:pt>
                  <c:pt idx="20">
                    <c:v>1</c:v>
                  </c:pt>
                  <c:pt idx="21">
                    <c:v>7</c:v>
                  </c:pt>
                  <c:pt idx="22">
                    <c:v>13</c:v>
                  </c:pt>
                  <c:pt idx="23">
                    <c:v>19</c:v>
                  </c:pt>
                  <c:pt idx="24">
                    <c:v>1</c:v>
                  </c:pt>
                  <c:pt idx="25">
                    <c:v>7</c:v>
                  </c:pt>
                  <c:pt idx="26">
                    <c:v>13</c:v>
                  </c:pt>
                  <c:pt idx="27">
                    <c:v>19</c:v>
                  </c:pt>
                  <c:pt idx="28">
                    <c:v>1</c:v>
                  </c:pt>
                  <c:pt idx="29">
                    <c:v>7</c:v>
                  </c:pt>
                  <c:pt idx="30">
                    <c:v>13</c:v>
                  </c:pt>
                  <c:pt idx="31">
                    <c:v>19</c:v>
                  </c:pt>
                  <c:pt idx="32">
                    <c:v>1</c:v>
                  </c:pt>
                  <c:pt idx="33">
                    <c:v>7</c:v>
                  </c:pt>
                  <c:pt idx="34">
                    <c:v>13</c:v>
                  </c:pt>
                  <c:pt idx="35">
                    <c:v>19</c:v>
                  </c:pt>
                  <c:pt idx="36">
                    <c:v>1</c:v>
                  </c:pt>
                  <c:pt idx="37">
                    <c:v>7</c:v>
                  </c:pt>
                  <c:pt idx="38">
                    <c:v>13</c:v>
                  </c:pt>
                  <c:pt idx="39">
                    <c:v>19</c:v>
                  </c:pt>
                  <c:pt idx="40">
                    <c:v>1</c:v>
                  </c:pt>
                  <c:pt idx="41">
                    <c:v>7</c:v>
                  </c:pt>
                  <c:pt idx="42">
                    <c:v>13</c:v>
                  </c:pt>
                  <c:pt idx="43">
                    <c:v>19</c:v>
                  </c:pt>
                  <c:pt idx="44">
                    <c:v>1</c:v>
                  </c:pt>
                  <c:pt idx="45">
                    <c:v>7</c:v>
                  </c:pt>
                  <c:pt idx="46">
                    <c:v>13</c:v>
                  </c:pt>
                  <c:pt idx="47">
                    <c:v>19</c:v>
                  </c:pt>
                  <c:pt idx="48">
                    <c:v>1</c:v>
                  </c:pt>
                  <c:pt idx="49">
                    <c:v>7</c:v>
                  </c:pt>
                  <c:pt idx="50">
                    <c:v>13</c:v>
                  </c:pt>
                  <c:pt idx="51">
                    <c:v>19</c:v>
                  </c:pt>
                  <c:pt idx="52">
                    <c:v>1</c:v>
                  </c:pt>
                  <c:pt idx="53">
                    <c:v>7</c:v>
                  </c:pt>
                  <c:pt idx="54">
                    <c:v>13</c:v>
                  </c:pt>
                  <c:pt idx="55">
                    <c:v>19</c:v>
                  </c:pt>
                  <c:pt idx="56">
                    <c:v>1</c:v>
                  </c:pt>
                  <c:pt idx="57">
                    <c:v>7</c:v>
                  </c:pt>
                  <c:pt idx="58">
                    <c:v>13</c:v>
                  </c:pt>
                  <c:pt idx="59">
                    <c:v>19</c:v>
                  </c:pt>
                  <c:pt idx="60">
                    <c:v>1</c:v>
                  </c:pt>
                  <c:pt idx="61">
                    <c:v>7</c:v>
                  </c:pt>
                  <c:pt idx="62">
                    <c:v>13</c:v>
                  </c:pt>
                  <c:pt idx="63">
                    <c:v>19</c:v>
                  </c:pt>
                  <c:pt idx="64">
                    <c:v>1</c:v>
                  </c:pt>
                  <c:pt idx="65">
                    <c:v>7</c:v>
                  </c:pt>
                  <c:pt idx="66">
                    <c:v>13</c:v>
                  </c:pt>
                  <c:pt idx="67">
                    <c:v>19</c:v>
                  </c:pt>
                  <c:pt idx="68">
                    <c:v>1</c:v>
                  </c:pt>
                  <c:pt idx="69">
                    <c:v>7</c:v>
                  </c:pt>
                  <c:pt idx="70">
                    <c:v>13</c:v>
                  </c:pt>
                  <c:pt idx="71">
                    <c:v>19</c:v>
                  </c:pt>
                  <c:pt idx="72">
                    <c:v>1</c:v>
                  </c:pt>
                  <c:pt idx="73">
                    <c:v>7</c:v>
                  </c:pt>
                  <c:pt idx="74">
                    <c:v>13</c:v>
                  </c:pt>
                  <c:pt idx="75">
                    <c:v>19</c:v>
                  </c:pt>
                  <c:pt idx="76">
                    <c:v>1</c:v>
                  </c:pt>
                  <c:pt idx="77">
                    <c:v>7</c:v>
                  </c:pt>
                  <c:pt idx="78">
                    <c:v>13</c:v>
                  </c:pt>
                  <c:pt idx="79">
                    <c:v>19</c:v>
                  </c:pt>
                  <c:pt idx="80">
                    <c:v>1</c:v>
                  </c:pt>
                  <c:pt idx="81">
                    <c:v>7</c:v>
                  </c:pt>
                  <c:pt idx="82">
                    <c:v>13</c:v>
                  </c:pt>
                  <c:pt idx="83">
                    <c:v>19</c:v>
                  </c:pt>
                  <c:pt idx="84">
                    <c:v>1</c:v>
                  </c:pt>
                  <c:pt idx="85">
                    <c:v>7</c:v>
                  </c:pt>
                  <c:pt idx="86">
                    <c:v>13</c:v>
                  </c:pt>
                  <c:pt idx="87">
                    <c:v>19</c:v>
                  </c:pt>
                  <c:pt idx="88">
                    <c:v>1</c:v>
                  </c:pt>
                  <c:pt idx="89">
                    <c:v>7</c:v>
                  </c:pt>
                  <c:pt idx="90">
                    <c:v>13</c:v>
                  </c:pt>
                  <c:pt idx="91">
                    <c:v>19</c:v>
                  </c:pt>
                  <c:pt idx="92">
                    <c:v>1</c:v>
                  </c:pt>
                  <c:pt idx="93">
                    <c:v>7</c:v>
                  </c:pt>
                  <c:pt idx="94">
                    <c:v>13</c:v>
                  </c:pt>
                  <c:pt idx="95">
                    <c:v>19</c:v>
                  </c:pt>
                  <c:pt idx="96">
                    <c:v>1</c:v>
                  </c:pt>
                  <c:pt idx="97">
                    <c:v>7</c:v>
                  </c:pt>
                  <c:pt idx="98">
                    <c:v>13</c:v>
                  </c:pt>
                  <c:pt idx="99">
                    <c:v>19</c:v>
                  </c:pt>
                  <c:pt idx="100">
                    <c:v>1</c:v>
                  </c:pt>
                  <c:pt idx="101">
                    <c:v>7</c:v>
                  </c:pt>
                  <c:pt idx="102">
                    <c:v>13</c:v>
                  </c:pt>
                  <c:pt idx="103">
                    <c:v>19</c:v>
                  </c:pt>
                  <c:pt idx="104">
                    <c:v>1</c:v>
                  </c:pt>
                  <c:pt idx="105">
                    <c:v>7</c:v>
                  </c:pt>
                  <c:pt idx="106">
                    <c:v>13</c:v>
                  </c:pt>
                  <c:pt idx="107">
                    <c:v>19</c:v>
                  </c:pt>
                  <c:pt idx="108">
                    <c:v>1</c:v>
                  </c:pt>
                  <c:pt idx="109">
                    <c:v>7</c:v>
                  </c:pt>
                  <c:pt idx="110">
                    <c:v>13</c:v>
                  </c:pt>
                  <c:pt idx="111">
                    <c:v>19</c:v>
                  </c:pt>
                  <c:pt idx="112">
                    <c:v>1</c:v>
                  </c:pt>
                  <c:pt idx="113">
                    <c:v>7</c:v>
                  </c:pt>
                  <c:pt idx="114">
                    <c:v>13</c:v>
                  </c:pt>
                  <c:pt idx="115">
                    <c:v>19</c:v>
                  </c:pt>
                  <c:pt idx="116">
                    <c:v>1</c:v>
                  </c:pt>
                  <c:pt idx="117">
                    <c:v>7</c:v>
                  </c:pt>
                  <c:pt idx="118">
                    <c:v>13</c:v>
                  </c:pt>
                  <c:pt idx="119">
                    <c:v>19</c:v>
                  </c:pt>
                  <c:pt idx="120">
                    <c:v>1</c:v>
                  </c:pt>
                  <c:pt idx="121">
                    <c:v>7</c:v>
                  </c:pt>
                  <c:pt idx="122">
                    <c:v>13</c:v>
                  </c:pt>
                  <c:pt idx="123">
                    <c:v>19</c:v>
                  </c:pt>
                </c:lvl>
                <c:lvl>
                  <c:pt idx="0">
                    <c:v>1</c:v>
                  </c:pt>
                  <c:pt idx="4">
                    <c:v>2</c:v>
                  </c:pt>
                  <c:pt idx="8">
                    <c:v>3</c:v>
                  </c:pt>
                  <c:pt idx="12">
                    <c:v>4</c:v>
                  </c:pt>
                  <c:pt idx="16">
                    <c:v>5</c:v>
                  </c:pt>
                  <c:pt idx="20">
                    <c:v>6</c:v>
                  </c:pt>
                  <c:pt idx="24">
                    <c:v>7</c:v>
                  </c:pt>
                  <c:pt idx="28">
                    <c:v>8</c:v>
                  </c:pt>
                  <c:pt idx="32">
                    <c:v>9</c:v>
                  </c:pt>
                  <c:pt idx="36">
                    <c:v>10</c:v>
                  </c:pt>
                  <c:pt idx="40">
                    <c:v>11</c:v>
                  </c:pt>
                  <c:pt idx="44">
                    <c:v>12</c:v>
                  </c:pt>
                  <c:pt idx="48">
                    <c:v>13</c:v>
                  </c:pt>
                  <c:pt idx="52">
                    <c:v>14</c:v>
                  </c:pt>
                  <c:pt idx="56">
                    <c:v>15</c:v>
                  </c:pt>
                  <c:pt idx="60">
                    <c:v>16</c:v>
                  </c:pt>
                  <c:pt idx="64">
                    <c:v>17</c:v>
                  </c:pt>
                  <c:pt idx="68">
                    <c:v>18</c:v>
                  </c:pt>
                  <c:pt idx="72">
                    <c:v>19</c:v>
                  </c:pt>
                  <c:pt idx="76">
                    <c:v>20</c:v>
                  </c:pt>
                  <c:pt idx="80">
                    <c:v>21</c:v>
                  </c:pt>
                  <c:pt idx="84">
                    <c:v>22</c:v>
                  </c:pt>
                  <c:pt idx="88">
                    <c:v>23</c:v>
                  </c:pt>
                  <c:pt idx="92">
                    <c:v>24</c:v>
                  </c:pt>
                  <c:pt idx="96">
                    <c:v>25</c:v>
                  </c:pt>
                  <c:pt idx="100">
                    <c:v>26</c:v>
                  </c:pt>
                  <c:pt idx="104">
                    <c:v>27</c:v>
                  </c:pt>
                  <c:pt idx="108">
                    <c:v>28</c:v>
                  </c:pt>
                  <c:pt idx="112">
                    <c:v>29</c:v>
                  </c:pt>
                  <c:pt idx="116">
                    <c:v>30</c:v>
                  </c:pt>
                  <c:pt idx="120">
                    <c:v>31</c:v>
                  </c:pt>
                </c:lvl>
              </c:multiLvlStrCache>
            </c:multiLvlStrRef>
          </c:cat>
          <c:val>
            <c:numRef>
              <c:f>'P &amp; T(2)'!$W$7:$W$130</c:f>
              <c:numCache>
                <c:formatCode>General</c:formatCode>
                <c:ptCount val="1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67-48F3-A9FA-82386AC8A6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777152"/>
        <c:axId val="203778688"/>
      </c:lineChart>
      <c:catAx>
        <c:axId val="203768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dP</a:t>
                </a:r>
              </a:p>
            </c:rich>
          </c:tx>
          <c:layout>
            <c:manualLayout>
              <c:xMode val="edge"/>
              <c:yMode val="edge"/>
              <c:x val="4.8918156161806212E-2"/>
              <c:y val="5.247813411078717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770880"/>
        <c:crosses val="autoZero"/>
        <c:auto val="0"/>
        <c:lblAlgn val="ctr"/>
        <c:lblOffset val="100"/>
        <c:tickLblSkip val="3"/>
        <c:tickMarkSkip val="1"/>
        <c:noMultiLvlLbl val="0"/>
      </c:catAx>
      <c:valAx>
        <c:axId val="20377088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Ngay, gio</a:t>
                </a:r>
              </a:p>
            </c:rich>
          </c:tx>
          <c:layout>
            <c:manualLayout>
              <c:xMode val="edge"/>
              <c:yMode val="edge"/>
              <c:x val="0.48635936030103483"/>
              <c:y val="0.96647230320699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768960"/>
        <c:crosses val="autoZero"/>
        <c:crossBetween val="between"/>
      </c:valAx>
      <c:catAx>
        <c:axId val="2037771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778688"/>
        <c:crosses val="autoZero"/>
        <c:auto val="0"/>
        <c:lblAlgn val="ctr"/>
        <c:lblOffset val="100"/>
        <c:noMultiLvlLbl val="0"/>
      </c:catAx>
      <c:valAx>
        <c:axId val="203778688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7771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Tæng biÕn ¸p, nhiÖt 24h t¹i tr¹m Håi Xu©n</a:t>
            </a:r>
          </a:p>
        </c:rich>
      </c:tx>
      <c:layout>
        <c:manualLayout>
          <c:xMode val="edge"/>
          <c:yMode val="edge"/>
          <c:x val="0.36876763875823143"/>
          <c:y val="3.206997084548104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206961429915336E-2"/>
          <c:y val="0.10641399416909621"/>
          <c:w val="0.90216368767638755"/>
          <c:h val="0.77842565597667635"/>
        </c:manualLayout>
      </c:layout>
      <c:lineChart>
        <c:grouping val="standard"/>
        <c:varyColors val="0"/>
        <c:ser>
          <c:idx val="0"/>
          <c:order val="0"/>
          <c:tx>
            <c:v>dP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T(1) '!$A$10:$B$257</c:f>
              <c:multiLvlStrCache>
                <c:ptCount val="248"/>
                <c:lvl>
                  <c:pt idx="0">
                    <c:v>22</c:v>
                  </c:pt>
                  <c:pt idx="1">
                    <c:v>1</c:v>
                  </c:pt>
                  <c:pt idx="2">
                    <c:v>4</c:v>
                  </c:pt>
                  <c:pt idx="3">
                    <c:v>7</c:v>
                  </c:pt>
                  <c:pt idx="4">
                    <c:v>10</c:v>
                  </c:pt>
                  <c:pt idx="5">
                    <c:v>13</c:v>
                  </c:pt>
                  <c:pt idx="6">
                    <c:v>16</c:v>
                  </c:pt>
                  <c:pt idx="7">
                    <c:v>19</c:v>
                  </c:pt>
                  <c:pt idx="8">
                    <c:v>22</c:v>
                  </c:pt>
                  <c:pt idx="9">
                    <c:v>1</c:v>
                  </c:pt>
                  <c:pt idx="10">
                    <c:v>4</c:v>
                  </c:pt>
                  <c:pt idx="11">
                    <c:v>7</c:v>
                  </c:pt>
                  <c:pt idx="12">
                    <c:v>10</c:v>
                  </c:pt>
                  <c:pt idx="13">
                    <c:v>13</c:v>
                  </c:pt>
                  <c:pt idx="14">
                    <c:v>16</c:v>
                  </c:pt>
                  <c:pt idx="15">
                    <c:v>19</c:v>
                  </c:pt>
                  <c:pt idx="16">
                    <c:v>22</c:v>
                  </c:pt>
                  <c:pt idx="17">
                    <c:v>1</c:v>
                  </c:pt>
                  <c:pt idx="18">
                    <c:v>4</c:v>
                  </c:pt>
                  <c:pt idx="19">
                    <c:v>7</c:v>
                  </c:pt>
                  <c:pt idx="20">
                    <c:v>10</c:v>
                  </c:pt>
                  <c:pt idx="21">
                    <c:v>13</c:v>
                  </c:pt>
                  <c:pt idx="22">
                    <c:v>16</c:v>
                  </c:pt>
                  <c:pt idx="23">
                    <c:v>19</c:v>
                  </c:pt>
                  <c:pt idx="24">
                    <c:v>22</c:v>
                  </c:pt>
                  <c:pt idx="25">
                    <c:v>1</c:v>
                  </c:pt>
                  <c:pt idx="26">
                    <c:v>4</c:v>
                  </c:pt>
                  <c:pt idx="27">
                    <c:v>7</c:v>
                  </c:pt>
                  <c:pt idx="28">
                    <c:v>10</c:v>
                  </c:pt>
                  <c:pt idx="29">
                    <c:v>13</c:v>
                  </c:pt>
                  <c:pt idx="30">
                    <c:v>16</c:v>
                  </c:pt>
                  <c:pt idx="31">
                    <c:v>19</c:v>
                  </c:pt>
                  <c:pt idx="32">
                    <c:v>22</c:v>
                  </c:pt>
                  <c:pt idx="33">
                    <c:v>1</c:v>
                  </c:pt>
                  <c:pt idx="34">
                    <c:v>4</c:v>
                  </c:pt>
                  <c:pt idx="35">
                    <c:v>7</c:v>
                  </c:pt>
                  <c:pt idx="36">
                    <c:v>10</c:v>
                  </c:pt>
                  <c:pt idx="37">
                    <c:v>13</c:v>
                  </c:pt>
                  <c:pt idx="38">
                    <c:v>16</c:v>
                  </c:pt>
                  <c:pt idx="39">
                    <c:v>19</c:v>
                  </c:pt>
                  <c:pt idx="40">
                    <c:v>22</c:v>
                  </c:pt>
                  <c:pt idx="41">
                    <c:v>1</c:v>
                  </c:pt>
                  <c:pt idx="42">
                    <c:v>4</c:v>
                  </c:pt>
                  <c:pt idx="43">
                    <c:v>7</c:v>
                  </c:pt>
                  <c:pt idx="44">
                    <c:v>10</c:v>
                  </c:pt>
                  <c:pt idx="45">
                    <c:v>13</c:v>
                  </c:pt>
                  <c:pt idx="46">
                    <c:v>16</c:v>
                  </c:pt>
                  <c:pt idx="47">
                    <c:v>19</c:v>
                  </c:pt>
                  <c:pt idx="48">
                    <c:v>22</c:v>
                  </c:pt>
                  <c:pt idx="49">
                    <c:v>1</c:v>
                  </c:pt>
                  <c:pt idx="50">
                    <c:v>4</c:v>
                  </c:pt>
                  <c:pt idx="51">
                    <c:v>7</c:v>
                  </c:pt>
                  <c:pt idx="52">
                    <c:v>10</c:v>
                  </c:pt>
                  <c:pt idx="53">
                    <c:v>13</c:v>
                  </c:pt>
                  <c:pt idx="54">
                    <c:v>16</c:v>
                  </c:pt>
                  <c:pt idx="55">
                    <c:v>19</c:v>
                  </c:pt>
                  <c:pt idx="56">
                    <c:v>22</c:v>
                  </c:pt>
                  <c:pt idx="57">
                    <c:v>1</c:v>
                  </c:pt>
                  <c:pt idx="58">
                    <c:v>4</c:v>
                  </c:pt>
                  <c:pt idx="59">
                    <c:v>7</c:v>
                  </c:pt>
                  <c:pt idx="60">
                    <c:v>10</c:v>
                  </c:pt>
                  <c:pt idx="61">
                    <c:v>13</c:v>
                  </c:pt>
                  <c:pt idx="62">
                    <c:v>16</c:v>
                  </c:pt>
                  <c:pt idx="63">
                    <c:v>19</c:v>
                  </c:pt>
                  <c:pt idx="64">
                    <c:v>22</c:v>
                  </c:pt>
                  <c:pt idx="65">
                    <c:v>1</c:v>
                  </c:pt>
                  <c:pt idx="66">
                    <c:v>4</c:v>
                  </c:pt>
                  <c:pt idx="67">
                    <c:v>7</c:v>
                  </c:pt>
                  <c:pt idx="68">
                    <c:v>10</c:v>
                  </c:pt>
                  <c:pt idx="69">
                    <c:v>13</c:v>
                  </c:pt>
                  <c:pt idx="70">
                    <c:v>16</c:v>
                  </c:pt>
                  <c:pt idx="71">
                    <c:v>19</c:v>
                  </c:pt>
                  <c:pt idx="72">
                    <c:v>22</c:v>
                  </c:pt>
                  <c:pt idx="73">
                    <c:v>1</c:v>
                  </c:pt>
                  <c:pt idx="74">
                    <c:v>4</c:v>
                  </c:pt>
                  <c:pt idx="75">
                    <c:v>7</c:v>
                  </c:pt>
                  <c:pt idx="76">
                    <c:v>10</c:v>
                  </c:pt>
                  <c:pt idx="77">
                    <c:v>13</c:v>
                  </c:pt>
                  <c:pt idx="78">
                    <c:v>16</c:v>
                  </c:pt>
                  <c:pt idx="79">
                    <c:v>19</c:v>
                  </c:pt>
                  <c:pt idx="80">
                    <c:v>22</c:v>
                  </c:pt>
                  <c:pt idx="81">
                    <c:v>1</c:v>
                  </c:pt>
                  <c:pt idx="82">
                    <c:v>4</c:v>
                  </c:pt>
                  <c:pt idx="83">
                    <c:v>7</c:v>
                  </c:pt>
                  <c:pt idx="84">
                    <c:v>10</c:v>
                  </c:pt>
                  <c:pt idx="85">
                    <c:v>13</c:v>
                  </c:pt>
                  <c:pt idx="86">
                    <c:v>16</c:v>
                  </c:pt>
                  <c:pt idx="87">
                    <c:v>19</c:v>
                  </c:pt>
                  <c:pt idx="88">
                    <c:v>22</c:v>
                  </c:pt>
                  <c:pt idx="89">
                    <c:v>1</c:v>
                  </c:pt>
                  <c:pt idx="90">
                    <c:v>4</c:v>
                  </c:pt>
                  <c:pt idx="91">
                    <c:v>7</c:v>
                  </c:pt>
                  <c:pt idx="92">
                    <c:v>10</c:v>
                  </c:pt>
                  <c:pt idx="93">
                    <c:v>13</c:v>
                  </c:pt>
                  <c:pt idx="94">
                    <c:v>16</c:v>
                  </c:pt>
                  <c:pt idx="95">
                    <c:v>19</c:v>
                  </c:pt>
                  <c:pt idx="96">
                    <c:v>22</c:v>
                  </c:pt>
                  <c:pt idx="97">
                    <c:v>1</c:v>
                  </c:pt>
                  <c:pt idx="98">
                    <c:v>4</c:v>
                  </c:pt>
                  <c:pt idx="99">
                    <c:v>7</c:v>
                  </c:pt>
                  <c:pt idx="100">
                    <c:v>10</c:v>
                  </c:pt>
                  <c:pt idx="101">
                    <c:v>13</c:v>
                  </c:pt>
                  <c:pt idx="102">
                    <c:v>16</c:v>
                  </c:pt>
                  <c:pt idx="103">
                    <c:v>19</c:v>
                  </c:pt>
                  <c:pt idx="104">
                    <c:v>22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7</c:v>
                  </c:pt>
                  <c:pt idx="108">
                    <c:v>10</c:v>
                  </c:pt>
                  <c:pt idx="109">
                    <c:v>13</c:v>
                  </c:pt>
                  <c:pt idx="110">
                    <c:v>16</c:v>
                  </c:pt>
                  <c:pt idx="111">
                    <c:v>19</c:v>
                  </c:pt>
                  <c:pt idx="112">
                    <c:v>22</c:v>
                  </c:pt>
                  <c:pt idx="113">
                    <c:v>1</c:v>
                  </c:pt>
                  <c:pt idx="114">
                    <c:v>4</c:v>
                  </c:pt>
                  <c:pt idx="115">
                    <c:v>7</c:v>
                  </c:pt>
                  <c:pt idx="116">
                    <c:v>10</c:v>
                  </c:pt>
                  <c:pt idx="117">
                    <c:v>13</c:v>
                  </c:pt>
                  <c:pt idx="118">
                    <c:v>16</c:v>
                  </c:pt>
                  <c:pt idx="119">
                    <c:v>19</c:v>
                  </c:pt>
                  <c:pt idx="120">
                    <c:v>22</c:v>
                  </c:pt>
                  <c:pt idx="121">
                    <c:v>1</c:v>
                  </c:pt>
                  <c:pt idx="122">
                    <c:v>4</c:v>
                  </c:pt>
                  <c:pt idx="123">
                    <c:v>7</c:v>
                  </c:pt>
                  <c:pt idx="124">
                    <c:v>10</c:v>
                  </c:pt>
                  <c:pt idx="125">
                    <c:v>13</c:v>
                  </c:pt>
                  <c:pt idx="126">
                    <c:v>16</c:v>
                  </c:pt>
                  <c:pt idx="127">
                    <c:v>19</c:v>
                  </c:pt>
                  <c:pt idx="128">
                    <c:v>22</c:v>
                  </c:pt>
                  <c:pt idx="129">
                    <c:v>1</c:v>
                  </c:pt>
                  <c:pt idx="130">
                    <c:v>4</c:v>
                  </c:pt>
                  <c:pt idx="131">
                    <c:v>7</c:v>
                  </c:pt>
                  <c:pt idx="132">
                    <c:v>10</c:v>
                  </c:pt>
                  <c:pt idx="133">
                    <c:v>13</c:v>
                  </c:pt>
                  <c:pt idx="134">
                    <c:v>16</c:v>
                  </c:pt>
                  <c:pt idx="135">
                    <c:v>19</c:v>
                  </c:pt>
                  <c:pt idx="136">
                    <c:v>22</c:v>
                  </c:pt>
                  <c:pt idx="137">
                    <c:v>1</c:v>
                  </c:pt>
                  <c:pt idx="138">
                    <c:v>4</c:v>
                  </c:pt>
                  <c:pt idx="139">
                    <c:v>7</c:v>
                  </c:pt>
                  <c:pt idx="140">
                    <c:v>10</c:v>
                  </c:pt>
                  <c:pt idx="141">
                    <c:v>13</c:v>
                  </c:pt>
                  <c:pt idx="142">
                    <c:v>16</c:v>
                  </c:pt>
                  <c:pt idx="143">
                    <c:v>19</c:v>
                  </c:pt>
                  <c:pt idx="144">
                    <c:v>22</c:v>
                  </c:pt>
                  <c:pt idx="145">
                    <c:v>1</c:v>
                  </c:pt>
                  <c:pt idx="146">
                    <c:v>4</c:v>
                  </c:pt>
                  <c:pt idx="147">
                    <c:v>7</c:v>
                  </c:pt>
                  <c:pt idx="148">
                    <c:v>10</c:v>
                  </c:pt>
                  <c:pt idx="149">
                    <c:v>13</c:v>
                  </c:pt>
                  <c:pt idx="150">
                    <c:v>16</c:v>
                  </c:pt>
                  <c:pt idx="151">
                    <c:v>19</c:v>
                  </c:pt>
                  <c:pt idx="152">
                    <c:v>22</c:v>
                  </c:pt>
                  <c:pt idx="153">
                    <c:v>1</c:v>
                  </c:pt>
                  <c:pt idx="154">
                    <c:v>4</c:v>
                  </c:pt>
                  <c:pt idx="155">
                    <c:v>7</c:v>
                  </c:pt>
                  <c:pt idx="156">
                    <c:v>10</c:v>
                  </c:pt>
                  <c:pt idx="157">
                    <c:v>13</c:v>
                  </c:pt>
                  <c:pt idx="158">
                    <c:v>16</c:v>
                  </c:pt>
                  <c:pt idx="159">
                    <c:v>19</c:v>
                  </c:pt>
                  <c:pt idx="160">
                    <c:v>22</c:v>
                  </c:pt>
                  <c:pt idx="161">
                    <c:v>1</c:v>
                  </c:pt>
                  <c:pt idx="162">
                    <c:v>4</c:v>
                  </c:pt>
                  <c:pt idx="163">
                    <c:v>7</c:v>
                  </c:pt>
                  <c:pt idx="164">
                    <c:v>10</c:v>
                  </c:pt>
                  <c:pt idx="165">
                    <c:v>13</c:v>
                  </c:pt>
                  <c:pt idx="166">
                    <c:v>16</c:v>
                  </c:pt>
                  <c:pt idx="167">
                    <c:v>19</c:v>
                  </c:pt>
                  <c:pt idx="168">
                    <c:v>22</c:v>
                  </c:pt>
                  <c:pt idx="169">
                    <c:v>1</c:v>
                  </c:pt>
                  <c:pt idx="170">
                    <c:v>4</c:v>
                  </c:pt>
                  <c:pt idx="171">
                    <c:v>7</c:v>
                  </c:pt>
                  <c:pt idx="172">
                    <c:v>10</c:v>
                  </c:pt>
                  <c:pt idx="173">
                    <c:v>13</c:v>
                  </c:pt>
                  <c:pt idx="174">
                    <c:v>16</c:v>
                  </c:pt>
                  <c:pt idx="175">
                    <c:v>19</c:v>
                  </c:pt>
                  <c:pt idx="176">
                    <c:v>22</c:v>
                  </c:pt>
                  <c:pt idx="177">
                    <c:v>1</c:v>
                  </c:pt>
                  <c:pt idx="178">
                    <c:v>4</c:v>
                  </c:pt>
                  <c:pt idx="179">
                    <c:v>7</c:v>
                  </c:pt>
                  <c:pt idx="180">
                    <c:v>10</c:v>
                  </c:pt>
                  <c:pt idx="181">
                    <c:v>13</c:v>
                  </c:pt>
                  <c:pt idx="182">
                    <c:v>16</c:v>
                  </c:pt>
                  <c:pt idx="183">
                    <c:v>19</c:v>
                  </c:pt>
                  <c:pt idx="184">
                    <c:v>22</c:v>
                  </c:pt>
                  <c:pt idx="185">
                    <c:v>1</c:v>
                  </c:pt>
                  <c:pt idx="186">
                    <c:v>4</c:v>
                  </c:pt>
                  <c:pt idx="187">
                    <c:v>7</c:v>
                  </c:pt>
                  <c:pt idx="188">
                    <c:v>10</c:v>
                  </c:pt>
                  <c:pt idx="189">
                    <c:v>13</c:v>
                  </c:pt>
                  <c:pt idx="190">
                    <c:v>16</c:v>
                  </c:pt>
                  <c:pt idx="191">
                    <c:v>19</c:v>
                  </c:pt>
                  <c:pt idx="192">
                    <c:v>22</c:v>
                  </c:pt>
                  <c:pt idx="193">
                    <c:v>1</c:v>
                  </c:pt>
                  <c:pt idx="194">
                    <c:v>4</c:v>
                  </c:pt>
                  <c:pt idx="195">
                    <c:v>7</c:v>
                  </c:pt>
                  <c:pt idx="196">
                    <c:v>10</c:v>
                  </c:pt>
                  <c:pt idx="197">
                    <c:v>13</c:v>
                  </c:pt>
                  <c:pt idx="198">
                    <c:v>16</c:v>
                  </c:pt>
                  <c:pt idx="199">
                    <c:v>19</c:v>
                  </c:pt>
                  <c:pt idx="200">
                    <c:v>22</c:v>
                  </c:pt>
                  <c:pt idx="201">
                    <c:v>1</c:v>
                  </c:pt>
                  <c:pt idx="202">
                    <c:v>4</c:v>
                  </c:pt>
                  <c:pt idx="203">
                    <c:v>7</c:v>
                  </c:pt>
                  <c:pt idx="204">
                    <c:v>10</c:v>
                  </c:pt>
                  <c:pt idx="205">
                    <c:v>13</c:v>
                  </c:pt>
                  <c:pt idx="206">
                    <c:v>16</c:v>
                  </c:pt>
                  <c:pt idx="207">
                    <c:v>19</c:v>
                  </c:pt>
                  <c:pt idx="208">
                    <c:v>22</c:v>
                  </c:pt>
                  <c:pt idx="209">
                    <c:v>1</c:v>
                  </c:pt>
                  <c:pt idx="210">
                    <c:v>4</c:v>
                  </c:pt>
                  <c:pt idx="211">
                    <c:v>7</c:v>
                  </c:pt>
                  <c:pt idx="212">
                    <c:v>10</c:v>
                  </c:pt>
                  <c:pt idx="213">
                    <c:v>13</c:v>
                  </c:pt>
                  <c:pt idx="214">
                    <c:v>16</c:v>
                  </c:pt>
                  <c:pt idx="215">
                    <c:v>19</c:v>
                  </c:pt>
                  <c:pt idx="216">
                    <c:v>22</c:v>
                  </c:pt>
                  <c:pt idx="217">
                    <c:v>1</c:v>
                  </c:pt>
                  <c:pt idx="218">
                    <c:v>4</c:v>
                  </c:pt>
                  <c:pt idx="219">
                    <c:v>7</c:v>
                  </c:pt>
                  <c:pt idx="220">
                    <c:v>10</c:v>
                  </c:pt>
                  <c:pt idx="221">
                    <c:v>13</c:v>
                  </c:pt>
                  <c:pt idx="222">
                    <c:v>16</c:v>
                  </c:pt>
                  <c:pt idx="223">
                    <c:v>19</c:v>
                  </c:pt>
                  <c:pt idx="224">
                    <c:v>22</c:v>
                  </c:pt>
                  <c:pt idx="225">
                    <c:v>1</c:v>
                  </c:pt>
                  <c:pt idx="226">
                    <c:v>4</c:v>
                  </c:pt>
                  <c:pt idx="227">
                    <c:v>7</c:v>
                  </c:pt>
                  <c:pt idx="228">
                    <c:v>10</c:v>
                  </c:pt>
                  <c:pt idx="229">
                    <c:v>13</c:v>
                  </c:pt>
                  <c:pt idx="230">
                    <c:v>16</c:v>
                  </c:pt>
                  <c:pt idx="231">
                    <c:v>19</c:v>
                  </c:pt>
                  <c:pt idx="232">
                    <c:v>22</c:v>
                  </c:pt>
                  <c:pt idx="233">
                    <c:v>1</c:v>
                  </c:pt>
                  <c:pt idx="234">
                    <c:v>4</c:v>
                  </c:pt>
                  <c:pt idx="235">
                    <c:v>7</c:v>
                  </c:pt>
                  <c:pt idx="236">
                    <c:v>10</c:v>
                  </c:pt>
                  <c:pt idx="237">
                    <c:v>13</c:v>
                  </c:pt>
                  <c:pt idx="238">
                    <c:v>16</c:v>
                  </c:pt>
                  <c:pt idx="239">
                    <c:v>19</c:v>
                  </c:pt>
                  <c:pt idx="240">
                    <c:v>22</c:v>
                  </c:pt>
                  <c:pt idx="241">
                    <c:v>1</c:v>
                  </c:pt>
                  <c:pt idx="242">
                    <c:v>4</c:v>
                  </c:pt>
                  <c:pt idx="243">
                    <c:v>7</c:v>
                  </c:pt>
                  <c:pt idx="244">
                    <c:v>10</c:v>
                  </c:pt>
                  <c:pt idx="245">
                    <c:v>13</c:v>
                  </c:pt>
                  <c:pt idx="246">
                    <c:v>16</c:v>
                  </c:pt>
                  <c:pt idx="247">
                    <c:v>19</c:v>
                  </c:pt>
                </c:lvl>
                <c:lvl>
                  <c:pt idx="1">
                    <c:v>1</c:v>
                  </c:pt>
                  <c:pt idx="9">
                    <c:v>2</c:v>
                  </c:pt>
                  <c:pt idx="17">
                    <c:v>3</c:v>
                  </c:pt>
                  <c:pt idx="25">
                    <c:v>4</c:v>
                  </c:pt>
                  <c:pt idx="33">
                    <c:v>5</c:v>
                  </c:pt>
                  <c:pt idx="41">
                    <c:v>6</c:v>
                  </c:pt>
                  <c:pt idx="49">
                    <c:v>7</c:v>
                  </c:pt>
                  <c:pt idx="57">
                    <c:v>8</c:v>
                  </c:pt>
                  <c:pt idx="65">
                    <c:v>9</c:v>
                  </c:pt>
                  <c:pt idx="73">
                    <c:v>10</c:v>
                  </c:pt>
                  <c:pt idx="81">
                    <c:v>11</c:v>
                  </c:pt>
                  <c:pt idx="89">
                    <c:v>12</c:v>
                  </c:pt>
                  <c:pt idx="97">
                    <c:v>13</c:v>
                  </c:pt>
                  <c:pt idx="105">
                    <c:v>14</c:v>
                  </c:pt>
                  <c:pt idx="113">
                    <c:v>15</c:v>
                  </c:pt>
                  <c:pt idx="121">
                    <c:v>16</c:v>
                  </c:pt>
                  <c:pt idx="129">
                    <c:v>17</c:v>
                  </c:pt>
                  <c:pt idx="137">
                    <c:v>18</c:v>
                  </c:pt>
                  <c:pt idx="145">
                    <c:v>19</c:v>
                  </c:pt>
                  <c:pt idx="153">
                    <c:v>20</c:v>
                  </c:pt>
                  <c:pt idx="161">
                    <c:v>21</c:v>
                  </c:pt>
                  <c:pt idx="169">
                    <c:v>22</c:v>
                  </c:pt>
                  <c:pt idx="177">
                    <c:v>23</c:v>
                  </c:pt>
                  <c:pt idx="185">
                    <c:v>24</c:v>
                  </c:pt>
                  <c:pt idx="193">
                    <c:v>25</c:v>
                  </c:pt>
                  <c:pt idx="201">
                    <c:v>26</c:v>
                  </c:pt>
                  <c:pt idx="209">
                    <c:v>27</c:v>
                  </c:pt>
                  <c:pt idx="217">
                    <c:v>28</c:v>
                  </c:pt>
                  <c:pt idx="225">
                    <c:v>29</c:v>
                  </c:pt>
                  <c:pt idx="233">
                    <c:v>30</c:v>
                  </c:pt>
                  <c:pt idx="241">
                    <c:v>31</c:v>
                  </c:pt>
                </c:lvl>
              </c:multiLvlStrCache>
            </c:multiLvlStrRef>
          </c:cat>
          <c:val>
            <c:numRef>
              <c:f>'P &amp; T(1) '!$L$10:$L$257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9F-4A04-ABDC-593E37875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20832"/>
        <c:axId val="204122752"/>
      </c:lineChart>
      <c:lineChart>
        <c:grouping val="standard"/>
        <c:varyColors val="0"/>
        <c:ser>
          <c:idx val="1"/>
          <c:order val="1"/>
          <c:tx>
            <c:v>dT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T(1) '!$A$10:$B$257</c:f>
              <c:multiLvlStrCache>
                <c:ptCount val="248"/>
                <c:lvl>
                  <c:pt idx="0">
                    <c:v>22</c:v>
                  </c:pt>
                  <c:pt idx="1">
                    <c:v>1</c:v>
                  </c:pt>
                  <c:pt idx="2">
                    <c:v>4</c:v>
                  </c:pt>
                  <c:pt idx="3">
                    <c:v>7</c:v>
                  </c:pt>
                  <c:pt idx="4">
                    <c:v>10</c:v>
                  </c:pt>
                  <c:pt idx="5">
                    <c:v>13</c:v>
                  </c:pt>
                  <c:pt idx="6">
                    <c:v>16</c:v>
                  </c:pt>
                  <c:pt idx="7">
                    <c:v>19</c:v>
                  </c:pt>
                  <c:pt idx="8">
                    <c:v>22</c:v>
                  </c:pt>
                  <c:pt idx="9">
                    <c:v>1</c:v>
                  </c:pt>
                  <c:pt idx="10">
                    <c:v>4</c:v>
                  </c:pt>
                  <c:pt idx="11">
                    <c:v>7</c:v>
                  </c:pt>
                  <c:pt idx="12">
                    <c:v>10</c:v>
                  </c:pt>
                  <c:pt idx="13">
                    <c:v>13</c:v>
                  </c:pt>
                  <c:pt idx="14">
                    <c:v>16</c:v>
                  </c:pt>
                  <c:pt idx="15">
                    <c:v>19</c:v>
                  </c:pt>
                  <c:pt idx="16">
                    <c:v>22</c:v>
                  </c:pt>
                  <c:pt idx="17">
                    <c:v>1</c:v>
                  </c:pt>
                  <c:pt idx="18">
                    <c:v>4</c:v>
                  </c:pt>
                  <c:pt idx="19">
                    <c:v>7</c:v>
                  </c:pt>
                  <c:pt idx="20">
                    <c:v>10</c:v>
                  </c:pt>
                  <c:pt idx="21">
                    <c:v>13</c:v>
                  </c:pt>
                  <c:pt idx="22">
                    <c:v>16</c:v>
                  </c:pt>
                  <c:pt idx="23">
                    <c:v>19</c:v>
                  </c:pt>
                  <c:pt idx="24">
                    <c:v>22</c:v>
                  </c:pt>
                  <c:pt idx="25">
                    <c:v>1</c:v>
                  </c:pt>
                  <c:pt idx="26">
                    <c:v>4</c:v>
                  </c:pt>
                  <c:pt idx="27">
                    <c:v>7</c:v>
                  </c:pt>
                  <c:pt idx="28">
                    <c:v>10</c:v>
                  </c:pt>
                  <c:pt idx="29">
                    <c:v>13</c:v>
                  </c:pt>
                  <c:pt idx="30">
                    <c:v>16</c:v>
                  </c:pt>
                  <c:pt idx="31">
                    <c:v>19</c:v>
                  </c:pt>
                  <c:pt idx="32">
                    <c:v>22</c:v>
                  </c:pt>
                  <c:pt idx="33">
                    <c:v>1</c:v>
                  </c:pt>
                  <c:pt idx="34">
                    <c:v>4</c:v>
                  </c:pt>
                  <c:pt idx="35">
                    <c:v>7</c:v>
                  </c:pt>
                  <c:pt idx="36">
                    <c:v>10</c:v>
                  </c:pt>
                  <c:pt idx="37">
                    <c:v>13</c:v>
                  </c:pt>
                  <c:pt idx="38">
                    <c:v>16</c:v>
                  </c:pt>
                  <c:pt idx="39">
                    <c:v>19</c:v>
                  </c:pt>
                  <c:pt idx="40">
                    <c:v>22</c:v>
                  </c:pt>
                  <c:pt idx="41">
                    <c:v>1</c:v>
                  </c:pt>
                  <c:pt idx="42">
                    <c:v>4</c:v>
                  </c:pt>
                  <c:pt idx="43">
                    <c:v>7</c:v>
                  </c:pt>
                  <c:pt idx="44">
                    <c:v>10</c:v>
                  </c:pt>
                  <c:pt idx="45">
                    <c:v>13</c:v>
                  </c:pt>
                  <c:pt idx="46">
                    <c:v>16</c:v>
                  </c:pt>
                  <c:pt idx="47">
                    <c:v>19</c:v>
                  </c:pt>
                  <c:pt idx="48">
                    <c:v>22</c:v>
                  </c:pt>
                  <c:pt idx="49">
                    <c:v>1</c:v>
                  </c:pt>
                  <c:pt idx="50">
                    <c:v>4</c:v>
                  </c:pt>
                  <c:pt idx="51">
                    <c:v>7</c:v>
                  </c:pt>
                  <c:pt idx="52">
                    <c:v>10</c:v>
                  </c:pt>
                  <c:pt idx="53">
                    <c:v>13</c:v>
                  </c:pt>
                  <c:pt idx="54">
                    <c:v>16</c:v>
                  </c:pt>
                  <c:pt idx="55">
                    <c:v>19</c:v>
                  </c:pt>
                  <c:pt idx="56">
                    <c:v>22</c:v>
                  </c:pt>
                  <c:pt idx="57">
                    <c:v>1</c:v>
                  </c:pt>
                  <c:pt idx="58">
                    <c:v>4</c:v>
                  </c:pt>
                  <c:pt idx="59">
                    <c:v>7</c:v>
                  </c:pt>
                  <c:pt idx="60">
                    <c:v>10</c:v>
                  </c:pt>
                  <c:pt idx="61">
                    <c:v>13</c:v>
                  </c:pt>
                  <c:pt idx="62">
                    <c:v>16</c:v>
                  </c:pt>
                  <c:pt idx="63">
                    <c:v>19</c:v>
                  </c:pt>
                  <c:pt idx="64">
                    <c:v>22</c:v>
                  </c:pt>
                  <c:pt idx="65">
                    <c:v>1</c:v>
                  </c:pt>
                  <c:pt idx="66">
                    <c:v>4</c:v>
                  </c:pt>
                  <c:pt idx="67">
                    <c:v>7</c:v>
                  </c:pt>
                  <c:pt idx="68">
                    <c:v>10</c:v>
                  </c:pt>
                  <c:pt idx="69">
                    <c:v>13</c:v>
                  </c:pt>
                  <c:pt idx="70">
                    <c:v>16</c:v>
                  </c:pt>
                  <c:pt idx="71">
                    <c:v>19</c:v>
                  </c:pt>
                  <c:pt idx="72">
                    <c:v>22</c:v>
                  </c:pt>
                  <c:pt idx="73">
                    <c:v>1</c:v>
                  </c:pt>
                  <c:pt idx="74">
                    <c:v>4</c:v>
                  </c:pt>
                  <c:pt idx="75">
                    <c:v>7</c:v>
                  </c:pt>
                  <c:pt idx="76">
                    <c:v>10</c:v>
                  </c:pt>
                  <c:pt idx="77">
                    <c:v>13</c:v>
                  </c:pt>
                  <c:pt idx="78">
                    <c:v>16</c:v>
                  </c:pt>
                  <c:pt idx="79">
                    <c:v>19</c:v>
                  </c:pt>
                  <c:pt idx="80">
                    <c:v>22</c:v>
                  </c:pt>
                  <c:pt idx="81">
                    <c:v>1</c:v>
                  </c:pt>
                  <c:pt idx="82">
                    <c:v>4</c:v>
                  </c:pt>
                  <c:pt idx="83">
                    <c:v>7</c:v>
                  </c:pt>
                  <c:pt idx="84">
                    <c:v>10</c:v>
                  </c:pt>
                  <c:pt idx="85">
                    <c:v>13</c:v>
                  </c:pt>
                  <c:pt idx="86">
                    <c:v>16</c:v>
                  </c:pt>
                  <c:pt idx="87">
                    <c:v>19</c:v>
                  </c:pt>
                  <c:pt idx="88">
                    <c:v>22</c:v>
                  </c:pt>
                  <c:pt idx="89">
                    <c:v>1</c:v>
                  </c:pt>
                  <c:pt idx="90">
                    <c:v>4</c:v>
                  </c:pt>
                  <c:pt idx="91">
                    <c:v>7</c:v>
                  </c:pt>
                  <c:pt idx="92">
                    <c:v>10</c:v>
                  </c:pt>
                  <c:pt idx="93">
                    <c:v>13</c:v>
                  </c:pt>
                  <c:pt idx="94">
                    <c:v>16</c:v>
                  </c:pt>
                  <c:pt idx="95">
                    <c:v>19</c:v>
                  </c:pt>
                  <c:pt idx="96">
                    <c:v>22</c:v>
                  </c:pt>
                  <c:pt idx="97">
                    <c:v>1</c:v>
                  </c:pt>
                  <c:pt idx="98">
                    <c:v>4</c:v>
                  </c:pt>
                  <c:pt idx="99">
                    <c:v>7</c:v>
                  </c:pt>
                  <c:pt idx="100">
                    <c:v>10</c:v>
                  </c:pt>
                  <c:pt idx="101">
                    <c:v>13</c:v>
                  </c:pt>
                  <c:pt idx="102">
                    <c:v>16</c:v>
                  </c:pt>
                  <c:pt idx="103">
                    <c:v>19</c:v>
                  </c:pt>
                  <c:pt idx="104">
                    <c:v>22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7</c:v>
                  </c:pt>
                  <c:pt idx="108">
                    <c:v>10</c:v>
                  </c:pt>
                  <c:pt idx="109">
                    <c:v>13</c:v>
                  </c:pt>
                  <c:pt idx="110">
                    <c:v>16</c:v>
                  </c:pt>
                  <c:pt idx="111">
                    <c:v>19</c:v>
                  </c:pt>
                  <c:pt idx="112">
                    <c:v>22</c:v>
                  </c:pt>
                  <c:pt idx="113">
                    <c:v>1</c:v>
                  </c:pt>
                  <c:pt idx="114">
                    <c:v>4</c:v>
                  </c:pt>
                  <c:pt idx="115">
                    <c:v>7</c:v>
                  </c:pt>
                  <c:pt idx="116">
                    <c:v>10</c:v>
                  </c:pt>
                  <c:pt idx="117">
                    <c:v>13</c:v>
                  </c:pt>
                  <c:pt idx="118">
                    <c:v>16</c:v>
                  </c:pt>
                  <c:pt idx="119">
                    <c:v>19</c:v>
                  </c:pt>
                  <c:pt idx="120">
                    <c:v>22</c:v>
                  </c:pt>
                  <c:pt idx="121">
                    <c:v>1</c:v>
                  </c:pt>
                  <c:pt idx="122">
                    <c:v>4</c:v>
                  </c:pt>
                  <c:pt idx="123">
                    <c:v>7</c:v>
                  </c:pt>
                  <c:pt idx="124">
                    <c:v>10</c:v>
                  </c:pt>
                  <c:pt idx="125">
                    <c:v>13</c:v>
                  </c:pt>
                  <c:pt idx="126">
                    <c:v>16</c:v>
                  </c:pt>
                  <c:pt idx="127">
                    <c:v>19</c:v>
                  </c:pt>
                  <c:pt idx="128">
                    <c:v>22</c:v>
                  </c:pt>
                  <c:pt idx="129">
                    <c:v>1</c:v>
                  </c:pt>
                  <c:pt idx="130">
                    <c:v>4</c:v>
                  </c:pt>
                  <c:pt idx="131">
                    <c:v>7</c:v>
                  </c:pt>
                  <c:pt idx="132">
                    <c:v>10</c:v>
                  </c:pt>
                  <c:pt idx="133">
                    <c:v>13</c:v>
                  </c:pt>
                  <c:pt idx="134">
                    <c:v>16</c:v>
                  </c:pt>
                  <c:pt idx="135">
                    <c:v>19</c:v>
                  </c:pt>
                  <c:pt idx="136">
                    <c:v>22</c:v>
                  </c:pt>
                  <c:pt idx="137">
                    <c:v>1</c:v>
                  </c:pt>
                  <c:pt idx="138">
                    <c:v>4</c:v>
                  </c:pt>
                  <c:pt idx="139">
                    <c:v>7</c:v>
                  </c:pt>
                  <c:pt idx="140">
                    <c:v>10</c:v>
                  </c:pt>
                  <c:pt idx="141">
                    <c:v>13</c:v>
                  </c:pt>
                  <c:pt idx="142">
                    <c:v>16</c:v>
                  </c:pt>
                  <c:pt idx="143">
                    <c:v>19</c:v>
                  </c:pt>
                  <c:pt idx="144">
                    <c:v>22</c:v>
                  </c:pt>
                  <c:pt idx="145">
                    <c:v>1</c:v>
                  </c:pt>
                  <c:pt idx="146">
                    <c:v>4</c:v>
                  </c:pt>
                  <c:pt idx="147">
                    <c:v>7</c:v>
                  </c:pt>
                  <c:pt idx="148">
                    <c:v>10</c:v>
                  </c:pt>
                  <c:pt idx="149">
                    <c:v>13</c:v>
                  </c:pt>
                  <c:pt idx="150">
                    <c:v>16</c:v>
                  </c:pt>
                  <c:pt idx="151">
                    <c:v>19</c:v>
                  </c:pt>
                  <c:pt idx="152">
                    <c:v>22</c:v>
                  </c:pt>
                  <c:pt idx="153">
                    <c:v>1</c:v>
                  </c:pt>
                  <c:pt idx="154">
                    <c:v>4</c:v>
                  </c:pt>
                  <c:pt idx="155">
                    <c:v>7</c:v>
                  </c:pt>
                  <c:pt idx="156">
                    <c:v>10</c:v>
                  </c:pt>
                  <c:pt idx="157">
                    <c:v>13</c:v>
                  </c:pt>
                  <c:pt idx="158">
                    <c:v>16</c:v>
                  </c:pt>
                  <c:pt idx="159">
                    <c:v>19</c:v>
                  </c:pt>
                  <c:pt idx="160">
                    <c:v>22</c:v>
                  </c:pt>
                  <c:pt idx="161">
                    <c:v>1</c:v>
                  </c:pt>
                  <c:pt idx="162">
                    <c:v>4</c:v>
                  </c:pt>
                  <c:pt idx="163">
                    <c:v>7</c:v>
                  </c:pt>
                  <c:pt idx="164">
                    <c:v>10</c:v>
                  </c:pt>
                  <c:pt idx="165">
                    <c:v>13</c:v>
                  </c:pt>
                  <c:pt idx="166">
                    <c:v>16</c:v>
                  </c:pt>
                  <c:pt idx="167">
                    <c:v>19</c:v>
                  </c:pt>
                  <c:pt idx="168">
                    <c:v>22</c:v>
                  </c:pt>
                  <c:pt idx="169">
                    <c:v>1</c:v>
                  </c:pt>
                  <c:pt idx="170">
                    <c:v>4</c:v>
                  </c:pt>
                  <c:pt idx="171">
                    <c:v>7</c:v>
                  </c:pt>
                  <c:pt idx="172">
                    <c:v>10</c:v>
                  </c:pt>
                  <c:pt idx="173">
                    <c:v>13</c:v>
                  </c:pt>
                  <c:pt idx="174">
                    <c:v>16</c:v>
                  </c:pt>
                  <c:pt idx="175">
                    <c:v>19</c:v>
                  </c:pt>
                  <c:pt idx="176">
                    <c:v>22</c:v>
                  </c:pt>
                  <c:pt idx="177">
                    <c:v>1</c:v>
                  </c:pt>
                  <c:pt idx="178">
                    <c:v>4</c:v>
                  </c:pt>
                  <c:pt idx="179">
                    <c:v>7</c:v>
                  </c:pt>
                  <c:pt idx="180">
                    <c:v>10</c:v>
                  </c:pt>
                  <c:pt idx="181">
                    <c:v>13</c:v>
                  </c:pt>
                  <c:pt idx="182">
                    <c:v>16</c:v>
                  </c:pt>
                  <c:pt idx="183">
                    <c:v>19</c:v>
                  </c:pt>
                  <c:pt idx="184">
                    <c:v>22</c:v>
                  </c:pt>
                  <c:pt idx="185">
                    <c:v>1</c:v>
                  </c:pt>
                  <c:pt idx="186">
                    <c:v>4</c:v>
                  </c:pt>
                  <c:pt idx="187">
                    <c:v>7</c:v>
                  </c:pt>
                  <c:pt idx="188">
                    <c:v>10</c:v>
                  </c:pt>
                  <c:pt idx="189">
                    <c:v>13</c:v>
                  </c:pt>
                  <c:pt idx="190">
                    <c:v>16</c:v>
                  </c:pt>
                  <c:pt idx="191">
                    <c:v>19</c:v>
                  </c:pt>
                  <c:pt idx="192">
                    <c:v>22</c:v>
                  </c:pt>
                  <c:pt idx="193">
                    <c:v>1</c:v>
                  </c:pt>
                  <c:pt idx="194">
                    <c:v>4</c:v>
                  </c:pt>
                  <c:pt idx="195">
                    <c:v>7</c:v>
                  </c:pt>
                  <c:pt idx="196">
                    <c:v>10</c:v>
                  </c:pt>
                  <c:pt idx="197">
                    <c:v>13</c:v>
                  </c:pt>
                  <c:pt idx="198">
                    <c:v>16</c:v>
                  </c:pt>
                  <c:pt idx="199">
                    <c:v>19</c:v>
                  </c:pt>
                  <c:pt idx="200">
                    <c:v>22</c:v>
                  </c:pt>
                  <c:pt idx="201">
                    <c:v>1</c:v>
                  </c:pt>
                  <c:pt idx="202">
                    <c:v>4</c:v>
                  </c:pt>
                  <c:pt idx="203">
                    <c:v>7</c:v>
                  </c:pt>
                  <c:pt idx="204">
                    <c:v>10</c:v>
                  </c:pt>
                  <c:pt idx="205">
                    <c:v>13</c:v>
                  </c:pt>
                  <c:pt idx="206">
                    <c:v>16</c:v>
                  </c:pt>
                  <c:pt idx="207">
                    <c:v>19</c:v>
                  </c:pt>
                  <c:pt idx="208">
                    <c:v>22</c:v>
                  </c:pt>
                  <c:pt idx="209">
                    <c:v>1</c:v>
                  </c:pt>
                  <c:pt idx="210">
                    <c:v>4</c:v>
                  </c:pt>
                  <c:pt idx="211">
                    <c:v>7</c:v>
                  </c:pt>
                  <c:pt idx="212">
                    <c:v>10</c:v>
                  </c:pt>
                  <c:pt idx="213">
                    <c:v>13</c:v>
                  </c:pt>
                  <c:pt idx="214">
                    <c:v>16</c:v>
                  </c:pt>
                  <c:pt idx="215">
                    <c:v>19</c:v>
                  </c:pt>
                  <c:pt idx="216">
                    <c:v>22</c:v>
                  </c:pt>
                  <c:pt idx="217">
                    <c:v>1</c:v>
                  </c:pt>
                  <c:pt idx="218">
                    <c:v>4</c:v>
                  </c:pt>
                  <c:pt idx="219">
                    <c:v>7</c:v>
                  </c:pt>
                  <c:pt idx="220">
                    <c:v>10</c:v>
                  </c:pt>
                  <c:pt idx="221">
                    <c:v>13</c:v>
                  </c:pt>
                  <c:pt idx="222">
                    <c:v>16</c:v>
                  </c:pt>
                  <c:pt idx="223">
                    <c:v>19</c:v>
                  </c:pt>
                  <c:pt idx="224">
                    <c:v>22</c:v>
                  </c:pt>
                  <c:pt idx="225">
                    <c:v>1</c:v>
                  </c:pt>
                  <c:pt idx="226">
                    <c:v>4</c:v>
                  </c:pt>
                  <c:pt idx="227">
                    <c:v>7</c:v>
                  </c:pt>
                  <c:pt idx="228">
                    <c:v>10</c:v>
                  </c:pt>
                  <c:pt idx="229">
                    <c:v>13</c:v>
                  </c:pt>
                  <c:pt idx="230">
                    <c:v>16</c:v>
                  </c:pt>
                  <c:pt idx="231">
                    <c:v>19</c:v>
                  </c:pt>
                  <c:pt idx="232">
                    <c:v>22</c:v>
                  </c:pt>
                  <c:pt idx="233">
                    <c:v>1</c:v>
                  </c:pt>
                  <c:pt idx="234">
                    <c:v>4</c:v>
                  </c:pt>
                  <c:pt idx="235">
                    <c:v>7</c:v>
                  </c:pt>
                  <c:pt idx="236">
                    <c:v>10</c:v>
                  </c:pt>
                  <c:pt idx="237">
                    <c:v>13</c:v>
                  </c:pt>
                  <c:pt idx="238">
                    <c:v>16</c:v>
                  </c:pt>
                  <c:pt idx="239">
                    <c:v>19</c:v>
                  </c:pt>
                  <c:pt idx="240">
                    <c:v>22</c:v>
                  </c:pt>
                  <c:pt idx="241">
                    <c:v>1</c:v>
                  </c:pt>
                  <c:pt idx="242">
                    <c:v>4</c:v>
                  </c:pt>
                  <c:pt idx="243">
                    <c:v>7</c:v>
                  </c:pt>
                  <c:pt idx="244">
                    <c:v>10</c:v>
                  </c:pt>
                  <c:pt idx="245">
                    <c:v>13</c:v>
                  </c:pt>
                  <c:pt idx="246">
                    <c:v>16</c:v>
                  </c:pt>
                  <c:pt idx="247">
                    <c:v>19</c:v>
                  </c:pt>
                </c:lvl>
                <c:lvl>
                  <c:pt idx="1">
                    <c:v>1</c:v>
                  </c:pt>
                  <c:pt idx="9">
                    <c:v>2</c:v>
                  </c:pt>
                  <c:pt idx="17">
                    <c:v>3</c:v>
                  </c:pt>
                  <c:pt idx="25">
                    <c:v>4</c:v>
                  </c:pt>
                  <c:pt idx="33">
                    <c:v>5</c:v>
                  </c:pt>
                  <c:pt idx="41">
                    <c:v>6</c:v>
                  </c:pt>
                  <c:pt idx="49">
                    <c:v>7</c:v>
                  </c:pt>
                  <c:pt idx="57">
                    <c:v>8</c:v>
                  </c:pt>
                  <c:pt idx="65">
                    <c:v>9</c:v>
                  </c:pt>
                  <c:pt idx="73">
                    <c:v>10</c:v>
                  </c:pt>
                  <c:pt idx="81">
                    <c:v>11</c:v>
                  </c:pt>
                  <c:pt idx="89">
                    <c:v>12</c:v>
                  </c:pt>
                  <c:pt idx="97">
                    <c:v>13</c:v>
                  </c:pt>
                  <c:pt idx="105">
                    <c:v>14</c:v>
                  </c:pt>
                  <c:pt idx="113">
                    <c:v>15</c:v>
                  </c:pt>
                  <c:pt idx="121">
                    <c:v>16</c:v>
                  </c:pt>
                  <c:pt idx="129">
                    <c:v>17</c:v>
                  </c:pt>
                  <c:pt idx="137">
                    <c:v>18</c:v>
                  </c:pt>
                  <c:pt idx="145">
                    <c:v>19</c:v>
                  </c:pt>
                  <c:pt idx="153">
                    <c:v>20</c:v>
                  </c:pt>
                  <c:pt idx="161">
                    <c:v>21</c:v>
                  </c:pt>
                  <c:pt idx="169">
                    <c:v>22</c:v>
                  </c:pt>
                  <c:pt idx="177">
                    <c:v>23</c:v>
                  </c:pt>
                  <c:pt idx="185">
                    <c:v>24</c:v>
                  </c:pt>
                  <c:pt idx="193">
                    <c:v>25</c:v>
                  </c:pt>
                  <c:pt idx="201">
                    <c:v>26</c:v>
                  </c:pt>
                  <c:pt idx="209">
                    <c:v>27</c:v>
                  </c:pt>
                  <c:pt idx="217">
                    <c:v>28</c:v>
                  </c:pt>
                  <c:pt idx="225">
                    <c:v>29</c:v>
                  </c:pt>
                  <c:pt idx="233">
                    <c:v>30</c:v>
                  </c:pt>
                  <c:pt idx="241">
                    <c:v>31</c:v>
                  </c:pt>
                </c:lvl>
              </c:multiLvlStrCache>
            </c:multiLvlStrRef>
          </c:cat>
          <c:val>
            <c:numRef>
              <c:f>'P &amp; T(1) '!$P$10:$P$257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9F-4A04-ABDC-593E37875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129024"/>
        <c:axId val="204130560"/>
      </c:lineChart>
      <c:catAx>
        <c:axId val="20412083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dP</a:t>
                </a:r>
              </a:p>
            </c:rich>
          </c:tx>
          <c:layout>
            <c:manualLayout>
              <c:xMode val="edge"/>
              <c:yMode val="edge"/>
              <c:x val="4.8918156161806212E-2"/>
              <c:y val="5.247813411078717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4122752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204122752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Ngay, gio</a:t>
                </a:r>
              </a:p>
            </c:rich>
          </c:tx>
          <c:layout>
            <c:manualLayout>
              <c:xMode val="edge"/>
              <c:yMode val="edge"/>
              <c:x val="0.48071495766698025"/>
              <c:y val="0.96647230320699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4120832"/>
        <c:crosses val="autoZero"/>
        <c:crossBetween val="between"/>
      </c:valAx>
      <c:catAx>
        <c:axId val="204129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4130560"/>
        <c:crosses val="autoZero"/>
        <c:auto val="0"/>
        <c:lblAlgn val="ctr"/>
        <c:lblOffset val="100"/>
        <c:noMultiLvlLbl val="0"/>
      </c:catAx>
      <c:valAx>
        <c:axId val="20413056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412902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Tæng biÕn ¸p, nhiÖt 24h t¹i tr¹m Vinh</a:t>
            </a:r>
          </a:p>
        </c:rich>
      </c:tx>
      <c:layout>
        <c:manualLayout>
          <c:xMode val="edge"/>
          <c:yMode val="edge"/>
          <c:x val="0.38005644402634053"/>
          <c:y val="5.39358600583090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206961429915336E-2"/>
          <c:y val="0.10641399416909621"/>
          <c:w val="0.90216368767638755"/>
          <c:h val="0.77842565597667635"/>
        </c:manualLayout>
      </c:layout>
      <c:lineChart>
        <c:grouping val="standard"/>
        <c:varyColors val="0"/>
        <c:ser>
          <c:idx val="0"/>
          <c:order val="0"/>
          <c:tx>
            <c:v>dP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T(1) '!$A$10:$B$257</c:f>
              <c:multiLvlStrCache>
                <c:ptCount val="248"/>
                <c:lvl>
                  <c:pt idx="0">
                    <c:v>22</c:v>
                  </c:pt>
                  <c:pt idx="1">
                    <c:v>1</c:v>
                  </c:pt>
                  <c:pt idx="2">
                    <c:v>4</c:v>
                  </c:pt>
                  <c:pt idx="3">
                    <c:v>7</c:v>
                  </c:pt>
                  <c:pt idx="4">
                    <c:v>10</c:v>
                  </c:pt>
                  <c:pt idx="5">
                    <c:v>13</c:v>
                  </c:pt>
                  <c:pt idx="6">
                    <c:v>16</c:v>
                  </c:pt>
                  <c:pt idx="7">
                    <c:v>19</c:v>
                  </c:pt>
                  <c:pt idx="8">
                    <c:v>22</c:v>
                  </c:pt>
                  <c:pt idx="9">
                    <c:v>1</c:v>
                  </c:pt>
                  <c:pt idx="10">
                    <c:v>4</c:v>
                  </c:pt>
                  <c:pt idx="11">
                    <c:v>7</c:v>
                  </c:pt>
                  <c:pt idx="12">
                    <c:v>10</c:v>
                  </c:pt>
                  <c:pt idx="13">
                    <c:v>13</c:v>
                  </c:pt>
                  <c:pt idx="14">
                    <c:v>16</c:v>
                  </c:pt>
                  <c:pt idx="15">
                    <c:v>19</c:v>
                  </c:pt>
                  <c:pt idx="16">
                    <c:v>22</c:v>
                  </c:pt>
                  <c:pt idx="17">
                    <c:v>1</c:v>
                  </c:pt>
                  <c:pt idx="18">
                    <c:v>4</c:v>
                  </c:pt>
                  <c:pt idx="19">
                    <c:v>7</c:v>
                  </c:pt>
                  <c:pt idx="20">
                    <c:v>10</c:v>
                  </c:pt>
                  <c:pt idx="21">
                    <c:v>13</c:v>
                  </c:pt>
                  <c:pt idx="22">
                    <c:v>16</c:v>
                  </c:pt>
                  <c:pt idx="23">
                    <c:v>19</c:v>
                  </c:pt>
                  <c:pt idx="24">
                    <c:v>22</c:v>
                  </c:pt>
                  <c:pt idx="25">
                    <c:v>1</c:v>
                  </c:pt>
                  <c:pt idx="26">
                    <c:v>4</c:v>
                  </c:pt>
                  <c:pt idx="27">
                    <c:v>7</c:v>
                  </c:pt>
                  <c:pt idx="28">
                    <c:v>10</c:v>
                  </c:pt>
                  <c:pt idx="29">
                    <c:v>13</c:v>
                  </c:pt>
                  <c:pt idx="30">
                    <c:v>16</c:v>
                  </c:pt>
                  <c:pt idx="31">
                    <c:v>19</c:v>
                  </c:pt>
                  <c:pt idx="32">
                    <c:v>22</c:v>
                  </c:pt>
                  <c:pt idx="33">
                    <c:v>1</c:v>
                  </c:pt>
                  <c:pt idx="34">
                    <c:v>4</c:v>
                  </c:pt>
                  <c:pt idx="35">
                    <c:v>7</c:v>
                  </c:pt>
                  <c:pt idx="36">
                    <c:v>10</c:v>
                  </c:pt>
                  <c:pt idx="37">
                    <c:v>13</c:v>
                  </c:pt>
                  <c:pt idx="38">
                    <c:v>16</c:v>
                  </c:pt>
                  <c:pt idx="39">
                    <c:v>19</c:v>
                  </c:pt>
                  <c:pt idx="40">
                    <c:v>22</c:v>
                  </c:pt>
                  <c:pt idx="41">
                    <c:v>1</c:v>
                  </c:pt>
                  <c:pt idx="42">
                    <c:v>4</c:v>
                  </c:pt>
                  <c:pt idx="43">
                    <c:v>7</c:v>
                  </c:pt>
                  <c:pt idx="44">
                    <c:v>10</c:v>
                  </c:pt>
                  <c:pt idx="45">
                    <c:v>13</c:v>
                  </c:pt>
                  <c:pt idx="46">
                    <c:v>16</c:v>
                  </c:pt>
                  <c:pt idx="47">
                    <c:v>19</c:v>
                  </c:pt>
                  <c:pt idx="48">
                    <c:v>22</c:v>
                  </c:pt>
                  <c:pt idx="49">
                    <c:v>1</c:v>
                  </c:pt>
                  <c:pt idx="50">
                    <c:v>4</c:v>
                  </c:pt>
                  <c:pt idx="51">
                    <c:v>7</c:v>
                  </c:pt>
                  <c:pt idx="52">
                    <c:v>10</c:v>
                  </c:pt>
                  <c:pt idx="53">
                    <c:v>13</c:v>
                  </c:pt>
                  <c:pt idx="54">
                    <c:v>16</c:v>
                  </c:pt>
                  <c:pt idx="55">
                    <c:v>19</c:v>
                  </c:pt>
                  <c:pt idx="56">
                    <c:v>22</c:v>
                  </c:pt>
                  <c:pt idx="57">
                    <c:v>1</c:v>
                  </c:pt>
                  <c:pt idx="58">
                    <c:v>4</c:v>
                  </c:pt>
                  <c:pt idx="59">
                    <c:v>7</c:v>
                  </c:pt>
                  <c:pt idx="60">
                    <c:v>10</c:v>
                  </c:pt>
                  <c:pt idx="61">
                    <c:v>13</c:v>
                  </c:pt>
                  <c:pt idx="62">
                    <c:v>16</c:v>
                  </c:pt>
                  <c:pt idx="63">
                    <c:v>19</c:v>
                  </c:pt>
                  <c:pt idx="64">
                    <c:v>22</c:v>
                  </c:pt>
                  <c:pt idx="65">
                    <c:v>1</c:v>
                  </c:pt>
                  <c:pt idx="66">
                    <c:v>4</c:v>
                  </c:pt>
                  <c:pt idx="67">
                    <c:v>7</c:v>
                  </c:pt>
                  <c:pt idx="68">
                    <c:v>10</c:v>
                  </c:pt>
                  <c:pt idx="69">
                    <c:v>13</c:v>
                  </c:pt>
                  <c:pt idx="70">
                    <c:v>16</c:v>
                  </c:pt>
                  <c:pt idx="71">
                    <c:v>19</c:v>
                  </c:pt>
                  <c:pt idx="72">
                    <c:v>22</c:v>
                  </c:pt>
                  <c:pt idx="73">
                    <c:v>1</c:v>
                  </c:pt>
                  <c:pt idx="74">
                    <c:v>4</c:v>
                  </c:pt>
                  <c:pt idx="75">
                    <c:v>7</c:v>
                  </c:pt>
                  <c:pt idx="76">
                    <c:v>10</c:v>
                  </c:pt>
                  <c:pt idx="77">
                    <c:v>13</c:v>
                  </c:pt>
                  <c:pt idx="78">
                    <c:v>16</c:v>
                  </c:pt>
                  <c:pt idx="79">
                    <c:v>19</c:v>
                  </c:pt>
                  <c:pt idx="80">
                    <c:v>22</c:v>
                  </c:pt>
                  <c:pt idx="81">
                    <c:v>1</c:v>
                  </c:pt>
                  <c:pt idx="82">
                    <c:v>4</c:v>
                  </c:pt>
                  <c:pt idx="83">
                    <c:v>7</c:v>
                  </c:pt>
                  <c:pt idx="84">
                    <c:v>10</c:v>
                  </c:pt>
                  <c:pt idx="85">
                    <c:v>13</c:v>
                  </c:pt>
                  <c:pt idx="86">
                    <c:v>16</c:v>
                  </c:pt>
                  <c:pt idx="87">
                    <c:v>19</c:v>
                  </c:pt>
                  <c:pt idx="88">
                    <c:v>22</c:v>
                  </c:pt>
                  <c:pt idx="89">
                    <c:v>1</c:v>
                  </c:pt>
                  <c:pt idx="90">
                    <c:v>4</c:v>
                  </c:pt>
                  <c:pt idx="91">
                    <c:v>7</c:v>
                  </c:pt>
                  <c:pt idx="92">
                    <c:v>10</c:v>
                  </c:pt>
                  <c:pt idx="93">
                    <c:v>13</c:v>
                  </c:pt>
                  <c:pt idx="94">
                    <c:v>16</c:v>
                  </c:pt>
                  <c:pt idx="95">
                    <c:v>19</c:v>
                  </c:pt>
                  <c:pt idx="96">
                    <c:v>22</c:v>
                  </c:pt>
                  <c:pt idx="97">
                    <c:v>1</c:v>
                  </c:pt>
                  <c:pt idx="98">
                    <c:v>4</c:v>
                  </c:pt>
                  <c:pt idx="99">
                    <c:v>7</c:v>
                  </c:pt>
                  <c:pt idx="100">
                    <c:v>10</c:v>
                  </c:pt>
                  <c:pt idx="101">
                    <c:v>13</c:v>
                  </c:pt>
                  <c:pt idx="102">
                    <c:v>16</c:v>
                  </c:pt>
                  <c:pt idx="103">
                    <c:v>19</c:v>
                  </c:pt>
                  <c:pt idx="104">
                    <c:v>22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7</c:v>
                  </c:pt>
                  <c:pt idx="108">
                    <c:v>10</c:v>
                  </c:pt>
                  <c:pt idx="109">
                    <c:v>13</c:v>
                  </c:pt>
                  <c:pt idx="110">
                    <c:v>16</c:v>
                  </c:pt>
                  <c:pt idx="111">
                    <c:v>19</c:v>
                  </c:pt>
                  <c:pt idx="112">
                    <c:v>22</c:v>
                  </c:pt>
                  <c:pt idx="113">
                    <c:v>1</c:v>
                  </c:pt>
                  <c:pt idx="114">
                    <c:v>4</c:v>
                  </c:pt>
                  <c:pt idx="115">
                    <c:v>7</c:v>
                  </c:pt>
                  <c:pt idx="116">
                    <c:v>10</c:v>
                  </c:pt>
                  <c:pt idx="117">
                    <c:v>13</c:v>
                  </c:pt>
                  <c:pt idx="118">
                    <c:v>16</c:v>
                  </c:pt>
                  <c:pt idx="119">
                    <c:v>19</c:v>
                  </c:pt>
                  <c:pt idx="120">
                    <c:v>22</c:v>
                  </c:pt>
                  <c:pt idx="121">
                    <c:v>1</c:v>
                  </c:pt>
                  <c:pt idx="122">
                    <c:v>4</c:v>
                  </c:pt>
                  <c:pt idx="123">
                    <c:v>7</c:v>
                  </c:pt>
                  <c:pt idx="124">
                    <c:v>10</c:v>
                  </c:pt>
                  <c:pt idx="125">
                    <c:v>13</c:v>
                  </c:pt>
                  <c:pt idx="126">
                    <c:v>16</c:v>
                  </c:pt>
                  <c:pt idx="127">
                    <c:v>19</c:v>
                  </c:pt>
                  <c:pt idx="128">
                    <c:v>22</c:v>
                  </c:pt>
                  <c:pt idx="129">
                    <c:v>1</c:v>
                  </c:pt>
                  <c:pt idx="130">
                    <c:v>4</c:v>
                  </c:pt>
                  <c:pt idx="131">
                    <c:v>7</c:v>
                  </c:pt>
                  <c:pt idx="132">
                    <c:v>10</c:v>
                  </c:pt>
                  <c:pt idx="133">
                    <c:v>13</c:v>
                  </c:pt>
                  <c:pt idx="134">
                    <c:v>16</c:v>
                  </c:pt>
                  <c:pt idx="135">
                    <c:v>19</c:v>
                  </c:pt>
                  <c:pt idx="136">
                    <c:v>22</c:v>
                  </c:pt>
                  <c:pt idx="137">
                    <c:v>1</c:v>
                  </c:pt>
                  <c:pt idx="138">
                    <c:v>4</c:v>
                  </c:pt>
                  <c:pt idx="139">
                    <c:v>7</c:v>
                  </c:pt>
                  <c:pt idx="140">
                    <c:v>10</c:v>
                  </c:pt>
                  <c:pt idx="141">
                    <c:v>13</c:v>
                  </c:pt>
                  <c:pt idx="142">
                    <c:v>16</c:v>
                  </c:pt>
                  <c:pt idx="143">
                    <c:v>19</c:v>
                  </c:pt>
                  <c:pt idx="144">
                    <c:v>22</c:v>
                  </c:pt>
                  <c:pt idx="145">
                    <c:v>1</c:v>
                  </c:pt>
                  <c:pt idx="146">
                    <c:v>4</c:v>
                  </c:pt>
                  <c:pt idx="147">
                    <c:v>7</c:v>
                  </c:pt>
                  <c:pt idx="148">
                    <c:v>10</c:v>
                  </c:pt>
                  <c:pt idx="149">
                    <c:v>13</c:v>
                  </c:pt>
                  <c:pt idx="150">
                    <c:v>16</c:v>
                  </c:pt>
                  <c:pt idx="151">
                    <c:v>19</c:v>
                  </c:pt>
                  <c:pt idx="152">
                    <c:v>22</c:v>
                  </c:pt>
                  <c:pt idx="153">
                    <c:v>1</c:v>
                  </c:pt>
                  <c:pt idx="154">
                    <c:v>4</c:v>
                  </c:pt>
                  <c:pt idx="155">
                    <c:v>7</c:v>
                  </c:pt>
                  <c:pt idx="156">
                    <c:v>10</c:v>
                  </c:pt>
                  <c:pt idx="157">
                    <c:v>13</c:v>
                  </c:pt>
                  <c:pt idx="158">
                    <c:v>16</c:v>
                  </c:pt>
                  <c:pt idx="159">
                    <c:v>19</c:v>
                  </c:pt>
                  <c:pt idx="160">
                    <c:v>22</c:v>
                  </c:pt>
                  <c:pt idx="161">
                    <c:v>1</c:v>
                  </c:pt>
                  <c:pt idx="162">
                    <c:v>4</c:v>
                  </c:pt>
                  <c:pt idx="163">
                    <c:v>7</c:v>
                  </c:pt>
                  <c:pt idx="164">
                    <c:v>10</c:v>
                  </c:pt>
                  <c:pt idx="165">
                    <c:v>13</c:v>
                  </c:pt>
                  <c:pt idx="166">
                    <c:v>16</c:v>
                  </c:pt>
                  <c:pt idx="167">
                    <c:v>19</c:v>
                  </c:pt>
                  <c:pt idx="168">
                    <c:v>22</c:v>
                  </c:pt>
                  <c:pt idx="169">
                    <c:v>1</c:v>
                  </c:pt>
                  <c:pt idx="170">
                    <c:v>4</c:v>
                  </c:pt>
                  <c:pt idx="171">
                    <c:v>7</c:v>
                  </c:pt>
                  <c:pt idx="172">
                    <c:v>10</c:v>
                  </c:pt>
                  <c:pt idx="173">
                    <c:v>13</c:v>
                  </c:pt>
                  <c:pt idx="174">
                    <c:v>16</c:v>
                  </c:pt>
                  <c:pt idx="175">
                    <c:v>19</c:v>
                  </c:pt>
                  <c:pt idx="176">
                    <c:v>22</c:v>
                  </c:pt>
                  <c:pt idx="177">
                    <c:v>1</c:v>
                  </c:pt>
                  <c:pt idx="178">
                    <c:v>4</c:v>
                  </c:pt>
                  <c:pt idx="179">
                    <c:v>7</c:v>
                  </c:pt>
                  <c:pt idx="180">
                    <c:v>10</c:v>
                  </c:pt>
                  <c:pt idx="181">
                    <c:v>13</c:v>
                  </c:pt>
                  <c:pt idx="182">
                    <c:v>16</c:v>
                  </c:pt>
                  <c:pt idx="183">
                    <c:v>19</c:v>
                  </c:pt>
                  <c:pt idx="184">
                    <c:v>22</c:v>
                  </c:pt>
                  <c:pt idx="185">
                    <c:v>1</c:v>
                  </c:pt>
                  <c:pt idx="186">
                    <c:v>4</c:v>
                  </c:pt>
                  <c:pt idx="187">
                    <c:v>7</c:v>
                  </c:pt>
                  <c:pt idx="188">
                    <c:v>10</c:v>
                  </c:pt>
                  <c:pt idx="189">
                    <c:v>13</c:v>
                  </c:pt>
                  <c:pt idx="190">
                    <c:v>16</c:v>
                  </c:pt>
                  <c:pt idx="191">
                    <c:v>19</c:v>
                  </c:pt>
                  <c:pt idx="192">
                    <c:v>22</c:v>
                  </c:pt>
                  <c:pt idx="193">
                    <c:v>1</c:v>
                  </c:pt>
                  <c:pt idx="194">
                    <c:v>4</c:v>
                  </c:pt>
                  <c:pt idx="195">
                    <c:v>7</c:v>
                  </c:pt>
                  <c:pt idx="196">
                    <c:v>10</c:v>
                  </c:pt>
                  <c:pt idx="197">
                    <c:v>13</c:v>
                  </c:pt>
                  <c:pt idx="198">
                    <c:v>16</c:v>
                  </c:pt>
                  <c:pt idx="199">
                    <c:v>19</c:v>
                  </c:pt>
                  <c:pt idx="200">
                    <c:v>22</c:v>
                  </c:pt>
                  <c:pt idx="201">
                    <c:v>1</c:v>
                  </c:pt>
                  <c:pt idx="202">
                    <c:v>4</c:v>
                  </c:pt>
                  <c:pt idx="203">
                    <c:v>7</c:v>
                  </c:pt>
                  <c:pt idx="204">
                    <c:v>10</c:v>
                  </c:pt>
                  <c:pt idx="205">
                    <c:v>13</c:v>
                  </c:pt>
                  <c:pt idx="206">
                    <c:v>16</c:v>
                  </c:pt>
                  <c:pt idx="207">
                    <c:v>19</c:v>
                  </c:pt>
                  <c:pt idx="208">
                    <c:v>22</c:v>
                  </c:pt>
                  <c:pt idx="209">
                    <c:v>1</c:v>
                  </c:pt>
                  <c:pt idx="210">
                    <c:v>4</c:v>
                  </c:pt>
                  <c:pt idx="211">
                    <c:v>7</c:v>
                  </c:pt>
                  <c:pt idx="212">
                    <c:v>10</c:v>
                  </c:pt>
                  <c:pt idx="213">
                    <c:v>13</c:v>
                  </c:pt>
                  <c:pt idx="214">
                    <c:v>16</c:v>
                  </c:pt>
                  <c:pt idx="215">
                    <c:v>19</c:v>
                  </c:pt>
                  <c:pt idx="216">
                    <c:v>22</c:v>
                  </c:pt>
                  <c:pt idx="217">
                    <c:v>1</c:v>
                  </c:pt>
                  <c:pt idx="218">
                    <c:v>4</c:v>
                  </c:pt>
                  <c:pt idx="219">
                    <c:v>7</c:v>
                  </c:pt>
                  <c:pt idx="220">
                    <c:v>10</c:v>
                  </c:pt>
                  <c:pt idx="221">
                    <c:v>13</c:v>
                  </c:pt>
                  <c:pt idx="222">
                    <c:v>16</c:v>
                  </c:pt>
                  <c:pt idx="223">
                    <c:v>19</c:v>
                  </c:pt>
                  <c:pt idx="224">
                    <c:v>22</c:v>
                  </c:pt>
                  <c:pt idx="225">
                    <c:v>1</c:v>
                  </c:pt>
                  <c:pt idx="226">
                    <c:v>4</c:v>
                  </c:pt>
                  <c:pt idx="227">
                    <c:v>7</c:v>
                  </c:pt>
                  <c:pt idx="228">
                    <c:v>10</c:v>
                  </c:pt>
                  <c:pt idx="229">
                    <c:v>13</c:v>
                  </c:pt>
                  <c:pt idx="230">
                    <c:v>16</c:v>
                  </c:pt>
                  <c:pt idx="231">
                    <c:v>19</c:v>
                  </c:pt>
                  <c:pt idx="232">
                    <c:v>22</c:v>
                  </c:pt>
                  <c:pt idx="233">
                    <c:v>1</c:v>
                  </c:pt>
                  <c:pt idx="234">
                    <c:v>4</c:v>
                  </c:pt>
                  <c:pt idx="235">
                    <c:v>7</c:v>
                  </c:pt>
                  <c:pt idx="236">
                    <c:v>10</c:v>
                  </c:pt>
                  <c:pt idx="237">
                    <c:v>13</c:v>
                  </c:pt>
                  <c:pt idx="238">
                    <c:v>16</c:v>
                  </c:pt>
                  <c:pt idx="239">
                    <c:v>19</c:v>
                  </c:pt>
                  <c:pt idx="240">
                    <c:v>22</c:v>
                  </c:pt>
                  <c:pt idx="241">
                    <c:v>1</c:v>
                  </c:pt>
                  <c:pt idx="242">
                    <c:v>4</c:v>
                  </c:pt>
                  <c:pt idx="243">
                    <c:v>7</c:v>
                  </c:pt>
                  <c:pt idx="244">
                    <c:v>10</c:v>
                  </c:pt>
                  <c:pt idx="245">
                    <c:v>13</c:v>
                  </c:pt>
                  <c:pt idx="246">
                    <c:v>16</c:v>
                  </c:pt>
                  <c:pt idx="247">
                    <c:v>19</c:v>
                  </c:pt>
                </c:lvl>
                <c:lvl>
                  <c:pt idx="1">
                    <c:v>1</c:v>
                  </c:pt>
                  <c:pt idx="9">
                    <c:v>2</c:v>
                  </c:pt>
                  <c:pt idx="17">
                    <c:v>3</c:v>
                  </c:pt>
                  <c:pt idx="25">
                    <c:v>4</c:v>
                  </c:pt>
                  <c:pt idx="33">
                    <c:v>5</c:v>
                  </c:pt>
                  <c:pt idx="41">
                    <c:v>6</c:v>
                  </c:pt>
                  <c:pt idx="49">
                    <c:v>7</c:v>
                  </c:pt>
                  <c:pt idx="57">
                    <c:v>8</c:v>
                  </c:pt>
                  <c:pt idx="65">
                    <c:v>9</c:v>
                  </c:pt>
                  <c:pt idx="73">
                    <c:v>10</c:v>
                  </c:pt>
                  <c:pt idx="81">
                    <c:v>11</c:v>
                  </c:pt>
                  <c:pt idx="89">
                    <c:v>12</c:v>
                  </c:pt>
                  <c:pt idx="97">
                    <c:v>13</c:v>
                  </c:pt>
                  <c:pt idx="105">
                    <c:v>14</c:v>
                  </c:pt>
                  <c:pt idx="113">
                    <c:v>15</c:v>
                  </c:pt>
                  <c:pt idx="121">
                    <c:v>16</c:v>
                  </c:pt>
                  <c:pt idx="129">
                    <c:v>17</c:v>
                  </c:pt>
                  <c:pt idx="137">
                    <c:v>18</c:v>
                  </c:pt>
                  <c:pt idx="145">
                    <c:v>19</c:v>
                  </c:pt>
                  <c:pt idx="153">
                    <c:v>20</c:v>
                  </c:pt>
                  <c:pt idx="161">
                    <c:v>21</c:v>
                  </c:pt>
                  <c:pt idx="169">
                    <c:v>22</c:v>
                  </c:pt>
                  <c:pt idx="177">
                    <c:v>23</c:v>
                  </c:pt>
                  <c:pt idx="185">
                    <c:v>24</c:v>
                  </c:pt>
                  <c:pt idx="193">
                    <c:v>25</c:v>
                  </c:pt>
                  <c:pt idx="201">
                    <c:v>26</c:v>
                  </c:pt>
                  <c:pt idx="209">
                    <c:v>27</c:v>
                  </c:pt>
                  <c:pt idx="217">
                    <c:v>28</c:v>
                  </c:pt>
                  <c:pt idx="225">
                    <c:v>29</c:v>
                  </c:pt>
                  <c:pt idx="233">
                    <c:v>30</c:v>
                  </c:pt>
                  <c:pt idx="241">
                    <c:v>31</c:v>
                  </c:pt>
                </c:lvl>
              </c:multiLvlStrCache>
            </c:multiLvlStrRef>
          </c:cat>
          <c:val>
            <c:numRef>
              <c:f>'P &amp; T(1) '!$S$10:$S$257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CA-46C3-95DB-C280F52ED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11936"/>
        <c:axId val="203913856"/>
      </c:lineChart>
      <c:lineChart>
        <c:grouping val="standard"/>
        <c:varyColors val="0"/>
        <c:ser>
          <c:idx val="1"/>
          <c:order val="1"/>
          <c:tx>
            <c:v>dT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T(1) '!$A$10:$B$257</c:f>
              <c:multiLvlStrCache>
                <c:ptCount val="248"/>
                <c:lvl>
                  <c:pt idx="0">
                    <c:v>22</c:v>
                  </c:pt>
                  <c:pt idx="1">
                    <c:v>1</c:v>
                  </c:pt>
                  <c:pt idx="2">
                    <c:v>4</c:v>
                  </c:pt>
                  <c:pt idx="3">
                    <c:v>7</c:v>
                  </c:pt>
                  <c:pt idx="4">
                    <c:v>10</c:v>
                  </c:pt>
                  <c:pt idx="5">
                    <c:v>13</c:v>
                  </c:pt>
                  <c:pt idx="6">
                    <c:v>16</c:v>
                  </c:pt>
                  <c:pt idx="7">
                    <c:v>19</c:v>
                  </c:pt>
                  <c:pt idx="8">
                    <c:v>22</c:v>
                  </c:pt>
                  <c:pt idx="9">
                    <c:v>1</c:v>
                  </c:pt>
                  <c:pt idx="10">
                    <c:v>4</c:v>
                  </c:pt>
                  <c:pt idx="11">
                    <c:v>7</c:v>
                  </c:pt>
                  <c:pt idx="12">
                    <c:v>10</c:v>
                  </c:pt>
                  <c:pt idx="13">
                    <c:v>13</c:v>
                  </c:pt>
                  <c:pt idx="14">
                    <c:v>16</c:v>
                  </c:pt>
                  <c:pt idx="15">
                    <c:v>19</c:v>
                  </c:pt>
                  <c:pt idx="16">
                    <c:v>22</c:v>
                  </c:pt>
                  <c:pt idx="17">
                    <c:v>1</c:v>
                  </c:pt>
                  <c:pt idx="18">
                    <c:v>4</c:v>
                  </c:pt>
                  <c:pt idx="19">
                    <c:v>7</c:v>
                  </c:pt>
                  <c:pt idx="20">
                    <c:v>10</c:v>
                  </c:pt>
                  <c:pt idx="21">
                    <c:v>13</c:v>
                  </c:pt>
                  <c:pt idx="22">
                    <c:v>16</c:v>
                  </c:pt>
                  <c:pt idx="23">
                    <c:v>19</c:v>
                  </c:pt>
                  <c:pt idx="24">
                    <c:v>22</c:v>
                  </c:pt>
                  <c:pt idx="25">
                    <c:v>1</c:v>
                  </c:pt>
                  <c:pt idx="26">
                    <c:v>4</c:v>
                  </c:pt>
                  <c:pt idx="27">
                    <c:v>7</c:v>
                  </c:pt>
                  <c:pt idx="28">
                    <c:v>10</c:v>
                  </c:pt>
                  <c:pt idx="29">
                    <c:v>13</c:v>
                  </c:pt>
                  <c:pt idx="30">
                    <c:v>16</c:v>
                  </c:pt>
                  <c:pt idx="31">
                    <c:v>19</c:v>
                  </c:pt>
                  <c:pt idx="32">
                    <c:v>22</c:v>
                  </c:pt>
                  <c:pt idx="33">
                    <c:v>1</c:v>
                  </c:pt>
                  <c:pt idx="34">
                    <c:v>4</c:v>
                  </c:pt>
                  <c:pt idx="35">
                    <c:v>7</c:v>
                  </c:pt>
                  <c:pt idx="36">
                    <c:v>10</c:v>
                  </c:pt>
                  <c:pt idx="37">
                    <c:v>13</c:v>
                  </c:pt>
                  <c:pt idx="38">
                    <c:v>16</c:v>
                  </c:pt>
                  <c:pt idx="39">
                    <c:v>19</c:v>
                  </c:pt>
                  <c:pt idx="40">
                    <c:v>22</c:v>
                  </c:pt>
                  <c:pt idx="41">
                    <c:v>1</c:v>
                  </c:pt>
                  <c:pt idx="42">
                    <c:v>4</c:v>
                  </c:pt>
                  <c:pt idx="43">
                    <c:v>7</c:v>
                  </c:pt>
                  <c:pt idx="44">
                    <c:v>10</c:v>
                  </c:pt>
                  <c:pt idx="45">
                    <c:v>13</c:v>
                  </c:pt>
                  <c:pt idx="46">
                    <c:v>16</c:v>
                  </c:pt>
                  <c:pt idx="47">
                    <c:v>19</c:v>
                  </c:pt>
                  <c:pt idx="48">
                    <c:v>22</c:v>
                  </c:pt>
                  <c:pt idx="49">
                    <c:v>1</c:v>
                  </c:pt>
                  <c:pt idx="50">
                    <c:v>4</c:v>
                  </c:pt>
                  <c:pt idx="51">
                    <c:v>7</c:v>
                  </c:pt>
                  <c:pt idx="52">
                    <c:v>10</c:v>
                  </c:pt>
                  <c:pt idx="53">
                    <c:v>13</c:v>
                  </c:pt>
                  <c:pt idx="54">
                    <c:v>16</c:v>
                  </c:pt>
                  <c:pt idx="55">
                    <c:v>19</c:v>
                  </c:pt>
                  <c:pt idx="56">
                    <c:v>22</c:v>
                  </c:pt>
                  <c:pt idx="57">
                    <c:v>1</c:v>
                  </c:pt>
                  <c:pt idx="58">
                    <c:v>4</c:v>
                  </c:pt>
                  <c:pt idx="59">
                    <c:v>7</c:v>
                  </c:pt>
                  <c:pt idx="60">
                    <c:v>10</c:v>
                  </c:pt>
                  <c:pt idx="61">
                    <c:v>13</c:v>
                  </c:pt>
                  <c:pt idx="62">
                    <c:v>16</c:v>
                  </c:pt>
                  <c:pt idx="63">
                    <c:v>19</c:v>
                  </c:pt>
                  <c:pt idx="64">
                    <c:v>22</c:v>
                  </c:pt>
                  <c:pt idx="65">
                    <c:v>1</c:v>
                  </c:pt>
                  <c:pt idx="66">
                    <c:v>4</c:v>
                  </c:pt>
                  <c:pt idx="67">
                    <c:v>7</c:v>
                  </c:pt>
                  <c:pt idx="68">
                    <c:v>10</c:v>
                  </c:pt>
                  <c:pt idx="69">
                    <c:v>13</c:v>
                  </c:pt>
                  <c:pt idx="70">
                    <c:v>16</c:v>
                  </c:pt>
                  <c:pt idx="71">
                    <c:v>19</c:v>
                  </c:pt>
                  <c:pt idx="72">
                    <c:v>22</c:v>
                  </c:pt>
                  <c:pt idx="73">
                    <c:v>1</c:v>
                  </c:pt>
                  <c:pt idx="74">
                    <c:v>4</c:v>
                  </c:pt>
                  <c:pt idx="75">
                    <c:v>7</c:v>
                  </c:pt>
                  <c:pt idx="76">
                    <c:v>10</c:v>
                  </c:pt>
                  <c:pt idx="77">
                    <c:v>13</c:v>
                  </c:pt>
                  <c:pt idx="78">
                    <c:v>16</c:v>
                  </c:pt>
                  <c:pt idx="79">
                    <c:v>19</c:v>
                  </c:pt>
                  <c:pt idx="80">
                    <c:v>22</c:v>
                  </c:pt>
                  <c:pt idx="81">
                    <c:v>1</c:v>
                  </c:pt>
                  <c:pt idx="82">
                    <c:v>4</c:v>
                  </c:pt>
                  <c:pt idx="83">
                    <c:v>7</c:v>
                  </c:pt>
                  <c:pt idx="84">
                    <c:v>10</c:v>
                  </c:pt>
                  <c:pt idx="85">
                    <c:v>13</c:v>
                  </c:pt>
                  <c:pt idx="86">
                    <c:v>16</c:v>
                  </c:pt>
                  <c:pt idx="87">
                    <c:v>19</c:v>
                  </c:pt>
                  <c:pt idx="88">
                    <c:v>22</c:v>
                  </c:pt>
                  <c:pt idx="89">
                    <c:v>1</c:v>
                  </c:pt>
                  <c:pt idx="90">
                    <c:v>4</c:v>
                  </c:pt>
                  <c:pt idx="91">
                    <c:v>7</c:v>
                  </c:pt>
                  <c:pt idx="92">
                    <c:v>10</c:v>
                  </c:pt>
                  <c:pt idx="93">
                    <c:v>13</c:v>
                  </c:pt>
                  <c:pt idx="94">
                    <c:v>16</c:v>
                  </c:pt>
                  <c:pt idx="95">
                    <c:v>19</c:v>
                  </c:pt>
                  <c:pt idx="96">
                    <c:v>22</c:v>
                  </c:pt>
                  <c:pt idx="97">
                    <c:v>1</c:v>
                  </c:pt>
                  <c:pt idx="98">
                    <c:v>4</c:v>
                  </c:pt>
                  <c:pt idx="99">
                    <c:v>7</c:v>
                  </c:pt>
                  <c:pt idx="100">
                    <c:v>10</c:v>
                  </c:pt>
                  <c:pt idx="101">
                    <c:v>13</c:v>
                  </c:pt>
                  <c:pt idx="102">
                    <c:v>16</c:v>
                  </c:pt>
                  <c:pt idx="103">
                    <c:v>19</c:v>
                  </c:pt>
                  <c:pt idx="104">
                    <c:v>22</c:v>
                  </c:pt>
                  <c:pt idx="105">
                    <c:v>1</c:v>
                  </c:pt>
                  <c:pt idx="106">
                    <c:v>4</c:v>
                  </c:pt>
                  <c:pt idx="107">
                    <c:v>7</c:v>
                  </c:pt>
                  <c:pt idx="108">
                    <c:v>10</c:v>
                  </c:pt>
                  <c:pt idx="109">
                    <c:v>13</c:v>
                  </c:pt>
                  <c:pt idx="110">
                    <c:v>16</c:v>
                  </c:pt>
                  <c:pt idx="111">
                    <c:v>19</c:v>
                  </c:pt>
                  <c:pt idx="112">
                    <c:v>22</c:v>
                  </c:pt>
                  <c:pt idx="113">
                    <c:v>1</c:v>
                  </c:pt>
                  <c:pt idx="114">
                    <c:v>4</c:v>
                  </c:pt>
                  <c:pt idx="115">
                    <c:v>7</c:v>
                  </c:pt>
                  <c:pt idx="116">
                    <c:v>10</c:v>
                  </c:pt>
                  <c:pt idx="117">
                    <c:v>13</c:v>
                  </c:pt>
                  <c:pt idx="118">
                    <c:v>16</c:v>
                  </c:pt>
                  <c:pt idx="119">
                    <c:v>19</c:v>
                  </c:pt>
                  <c:pt idx="120">
                    <c:v>22</c:v>
                  </c:pt>
                  <c:pt idx="121">
                    <c:v>1</c:v>
                  </c:pt>
                  <c:pt idx="122">
                    <c:v>4</c:v>
                  </c:pt>
                  <c:pt idx="123">
                    <c:v>7</c:v>
                  </c:pt>
                  <c:pt idx="124">
                    <c:v>10</c:v>
                  </c:pt>
                  <c:pt idx="125">
                    <c:v>13</c:v>
                  </c:pt>
                  <c:pt idx="126">
                    <c:v>16</c:v>
                  </c:pt>
                  <c:pt idx="127">
                    <c:v>19</c:v>
                  </c:pt>
                  <c:pt idx="128">
                    <c:v>22</c:v>
                  </c:pt>
                  <c:pt idx="129">
                    <c:v>1</c:v>
                  </c:pt>
                  <c:pt idx="130">
                    <c:v>4</c:v>
                  </c:pt>
                  <c:pt idx="131">
                    <c:v>7</c:v>
                  </c:pt>
                  <c:pt idx="132">
                    <c:v>10</c:v>
                  </c:pt>
                  <c:pt idx="133">
                    <c:v>13</c:v>
                  </c:pt>
                  <c:pt idx="134">
                    <c:v>16</c:v>
                  </c:pt>
                  <c:pt idx="135">
                    <c:v>19</c:v>
                  </c:pt>
                  <c:pt idx="136">
                    <c:v>22</c:v>
                  </c:pt>
                  <c:pt idx="137">
                    <c:v>1</c:v>
                  </c:pt>
                  <c:pt idx="138">
                    <c:v>4</c:v>
                  </c:pt>
                  <c:pt idx="139">
                    <c:v>7</c:v>
                  </c:pt>
                  <c:pt idx="140">
                    <c:v>10</c:v>
                  </c:pt>
                  <c:pt idx="141">
                    <c:v>13</c:v>
                  </c:pt>
                  <c:pt idx="142">
                    <c:v>16</c:v>
                  </c:pt>
                  <c:pt idx="143">
                    <c:v>19</c:v>
                  </c:pt>
                  <c:pt idx="144">
                    <c:v>22</c:v>
                  </c:pt>
                  <c:pt idx="145">
                    <c:v>1</c:v>
                  </c:pt>
                  <c:pt idx="146">
                    <c:v>4</c:v>
                  </c:pt>
                  <c:pt idx="147">
                    <c:v>7</c:v>
                  </c:pt>
                  <c:pt idx="148">
                    <c:v>10</c:v>
                  </c:pt>
                  <c:pt idx="149">
                    <c:v>13</c:v>
                  </c:pt>
                  <c:pt idx="150">
                    <c:v>16</c:v>
                  </c:pt>
                  <c:pt idx="151">
                    <c:v>19</c:v>
                  </c:pt>
                  <c:pt idx="152">
                    <c:v>22</c:v>
                  </c:pt>
                  <c:pt idx="153">
                    <c:v>1</c:v>
                  </c:pt>
                  <c:pt idx="154">
                    <c:v>4</c:v>
                  </c:pt>
                  <c:pt idx="155">
                    <c:v>7</c:v>
                  </c:pt>
                  <c:pt idx="156">
                    <c:v>10</c:v>
                  </c:pt>
                  <c:pt idx="157">
                    <c:v>13</c:v>
                  </c:pt>
                  <c:pt idx="158">
                    <c:v>16</c:v>
                  </c:pt>
                  <c:pt idx="159">
                    <c:v>19</c:v>
                  </c:pt>
                  <c:pt idx="160">
                    <c:v>22</c:v>
                  </c:pt>
                  <c:pt idx="161">
                    <c:v>1</c:v>
                  </c:pt>
                  <c:pt idx="162">
                    <c:v>4</c:v>
                  </c:pt>
                  <c:pt idx="163">
                    <c:v>7</c:v>
                  </c:pt>
                  <c:pt idx="164">
                    <c:v>10</c:v>
                  </c:pt>
                  <c:pt idx="165">
                    <c:v>13</c:v>
                  </c:pt>
                  <c:pt idx="166">
                    <c:v>16</c:v>
                  </c:pt>
                  <c:pt idx="167">
                    <c:v>19</c:v>
                  </c:pt>
                  <c:pt idx="168">
                    <c:v>22</c:v>
                  </c:pt>
                  <c:pt idx="169">
                    <c:v>1</c:v>
                  </c:pt>
                  <c:pt idx="170">
                    <c:v>4</c:v>
                  </c:pt>
                  <c:pt idx="171">
                    <c:v>7</c:v>
                  </c:pt>
                  <c:pt idx="172">
                    <c:v>10</c:v>
                  </c:pt>
                  <c:pt idx="173">
                    <c:v>13</c:v>
                  </c:pt>
                  <c:pt idx="174">
                    <c:v>16</c:v>
                  </c:pt>
                  <c:pt idx="175">
                    <c:v>19</c:v>
                  </c:pt>
                  <c:pt idx="176">
                    <c:v>22</c:v>
                  </c:pt>
                  <c:pt idx="177">
                    <c:v>1</c:v>
                  </c:pt>
                  <c:pt idx="178">
                    <c:v>4</c:v>
                  </c:pt>
                  <c:pt idx="179">
                    <c:v>7</c:v>
                  </c:pt>
                  <c:pt idx="180">
                    <c:v>10</c:v>
                  </c:pt>
                  <c:pt idx="181">
                    <c:v>13</c:v>
                  </c:pt>
                  <c:pt idx="182">
                    <c:v>16</c:v>
                  </c:pt>
                  <c:pt idx="183">
                    <c:v>19</c:v>
                  </c:pt>
                  <c:pt idx="184">
                    <c:v>22</c:v>
                  </c:pt>
                  <c:pt idx="185">
                    <c:v>1</c:v>
                  </c:pt>
                  <c:pt idx="186">
                    <c:v>4</c:v>
                  </c:pt>
                  <c:pt idx="187">
                    <c:v>7</c:v>
                  </c:pt>
                  <c:pt idx="188">
                    <c:v>10</c:v>
                  </c:pt>
                  <c:pt idx="189">
                    <c:v>13</c:v>
                  </c:pt>
                  <c:pt idx="190">
                    <c:v>16</c:v>
                  </c:pt>
                  <c:pt idx="191">
                    <c:v>19</c:v>
                  </c:pt>
                  <c:pt idx="192">
                    <c:v>22</c:v>
                  </c:pt>
                  <c:pt idx="193">
                    <c:v>1</c:v>
                  </c:pt>
                  <c:pt idx="194">
                    <c:v>4</c:v>
                  </c:pt>
                  <c:pt idx="195">
                    <c:v>7</c:v>
                  </c:pt>
                  <c:pt idx="196">
                    <c:v>10</c:v>
                  </c:pt>
                  <c:pt idx="197">
                    <c:v>13</c:v>
                  </c:pt>
                  <c:pt idx="198">
                    <c:v>16</c:v>
                  </c:pt>
                  <c:pt idx="199">
                    <c:v>19</c:v>
                  </c:pt>
                  <c:pt idx="200">
                    <c:v>22</c:v>
                  </c:pt>
                  <c:pt idx="201">
                    <c:v>1</c:v>
                  </c:pt>
                  <c:pt idx="202">
                    <c:v>4</c:v>
                  </c:pt>
                  <c:pt idx="203">
                    <c:v>7</c:v>
                  </c:pt>
                  <c:pt idx="204">
                    <c:v>10</c:v>
                  </c:pt>
                  <c:pt idx="205">
                    <c:v>13</c:v>
                  </c:pt>
                  <c:pt idx="206">
                    <c:v>16</c:v>
                  </c:pt>
                  <c:pt idx="207">
                    <c:v>19</c:v>
                  </c:pt>
                  <c:pt idx="208">
                    <c:v>22</c:v>
                  </c:pt>
                  <c:pt idx="209">
                    <c:v>1</c:v>
                  </c:pt>
                  <c:pt idx="210">
                    <c:v>4</c:v>
                  </c:pt>
                  <c:pt idx="211">
                    <c:v>7</c:v>
                  </c:pt>
                  <c:pt idx="212">
                    <c:v>10</c:v>
                  </c:pt>
                  <c:pt idx="213">
                    <c:v>13</c:v>
                  </c:pt>
                  <c:pt idx="214">
                    <c:v>16</c:v>
                  </c:pt>
                  <c:pt idx="215">
                    <c:v>19</c:v>
                  </c:pt>
                  <c:pt idx="216">
                    <c:v>22</c:v>
                  </c:pt>
                  <c:pt idx="217">
                    <c:v>1</c:v>
                  </c:pt>
                  <c:pt idx="218">
                    <c:v>4</c:v>
                  </c:pt>
                  <c:pt idx="219">
                    <c:v>7</c:v>
                  </c:pt>
                  <c:pt idx="220">
                    <c:v>10</c:v>
                  </c:pt>
                  <c:pt idx="221">
                    <c:v>13</c:v>
                  </c:pt>
                  <c:pt idx="222">
                    <c:v>16</c:v>
                  </c:pt>
                  <c:pt idx="223">
                    <c:v>19</c:v>
                  </c:pt>
                  <c:pt idx="224">
                    <c:v>22</c:v>
                  </c:pt>
                  <c:pt idx="225">
                    <c:v>1</c:v>
                  </c:pt>
                  <c:pt idx="226">
                    <c:v>4</c:v>
                  </c:pt>
                  <c:pt idx="227">
                    <c:v>7</c:v>
                  </c:pt>
                  <c:pt idx="228">
                    <c:v>10</c:v>
                  </c:pt>
                  <c:pt idx="229">
                    <c:v>13</c:v>
                  </c:pt>
                  <c:pt idx="230">
                    <c:v>16</c:v>
                  </c:pt>
                  <c:pt idx="231">
                    <c:v>19</c:v>
                  </c:pt>
                  <c:pt idx="232">
                    <c:v>22</c:v>
                  </c:pt>
                  <c:pt idx="233">
                    <c:v>1</c:v>
                  </c:pt>
                  <c:pt idx="234">
                    <c:v>4</c:v>
                  </c:pt>
                  <c:pt idx="235">
                    <c:v>7</c:v>
                  </c:pt>
                  <c:pt idx="236">
                    <c:v>10</c:v>
                  </c:pt>
                  <c:pt idx="237">
                    <c:v>13</c:v>
                  </c:pt>
                  <c:pt idx="238">
                    <c:v>16</c:v>
                  </c:pt>
                  <c:pt idx="239">
                    <c:v>19</c:v>
                  </c:pt>
                  <c:pt idx="240">
                    <c:v>22</c:v>
                  </c:pt>
                  <c:pt idx="241">
                    <c:v>1</c:v>
                  </c:pt>
                  <c:pt idx="242">
                    <c:v>4</c:v>
                  </c:pt>
                  <c:pt idx="243">
                    <c:v>7</c:v>
                  </c:pt>
                  <c:pt idx="244">
                    <c:v>10</c:v>
                  </c:pt>
                  <c:pt idx="245">
                    <c:v>13</c:v>
                  </c:pt>
                  <c:pt idx="246">
                    <c:v>16</c:v>
                  </c:pt>
                  <c:pt idx="247">
                    <c:v>19</c:v>
                  </c:pt>
                </c:lvl>
                <c:lvl>
                  <c:pt idx="1">
                    <c:v>1</c:v>
                  </c:pt>
                  <c:pt idx="9">
                    <c:v>2</c:v>
                  </c:pt>
                  <c:pt idx="17">
                    <c:v>3</c:v>
                  </c:pt>
                  <c:pt idx="25">
                    <c:v>4</c:v>
                  </c:pt>
                  <c:pt idx="33">
                    <c:v>5</c:v>
                  </c:pt>
                  <c:pt idx="41">
                    <c:v>6</c:v>
                  </c:pt>
                  <c:pt idx="49">
                    <c:v>7</c:v>
                  </c:pt>
                  <c:pt idx="57">
                    <c:v>8</c:v>
                  </c:pt>
                  <c:pt idx="65">
                    <c:v>9</c:v>
                  </c:pt>
                  <c:pt idx="73">
                    <c:v>10</c:v>
                  </c:pt>
                  <c:pt idx="81">
                    <c:v>11</c:v>
                  </c:pt>
                  <c:pt idx="89">
                    <c:v>12</c:v>
                  </c:pt>
                  <c:pt idx="97">
                    <c:v>13</c:v>
                  </c:pt>
                  <c:pt idx="105">
                    <c:v>14</c:v>
                  </c:pt>
                  <c:pt idx="113">
                    <c:v>15</c:v>
                  </c:pt>
                  <c:pt idx="121">
                    <c:v>16</c:v>
                  </c:pt>
                  <c:pt idx="129">
                    <c:v>17</c:v>
                  </c:pt>
                  <c:pt idx="137">
                    <c:v>18</c:v>
                  </c:pt>
                  <c:pt idx="145">
                    <c:v>19</c:v>
                  </c:pt>
                  <c:pt idx="153">
                    <c:v>20</c:v>
                  </c:pt>
                  <c:pt idx="161">
                    <c:v>21</c:v>
                  </c:pt>
                  <c:pt idx="169">
                    <c:v>22</c:v>
                  </c:pt>
                  <c:pt idx="177">
                    <c:v>23</c:v>
                  </c:pt>
                  <c:pt idx="185">
                    <c:v>24</c:v>
                  </c:pt>
                  <c:pt idx="193">
                    <c:v>25</c:v>
                  </c:pt>
                  <c:pt idx="201">
                    <c:v>26</c:v>
                  </c:pt>
                  <c:pt idx="209">
                    <c:v>27</c:v>
                  </c:pt>
                  <c:pt idx="217">
                    <c:v>28</c:v>
                  </c:pt>
                  <c:pt idx="225">
                    <c:v>29</c:v>
                  </c:pt>
                  <c:pt idx="233">
                    <c:v>30</c:v>
                  </c:pt>
                  <c:pt idx="241">
                    <c:v>31</c:v>
                  </c:pt>
                </c:lvl>
              </c:multiLvlStrCache>
            </c:multiLvlStrRef>
          </c:cat>
          <c:val>
            <c:numRef>
              <c:f>'P &amp; T(1) '!$W$10:$W$257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CA-46C3-95DB-C280F52ED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20128"/>
        <c:axId val="203921664"/>
      </c:lineChart>
      <c:catAx>
        <c:axId val="203911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dP</a:t>
                </a:r>
              </a:p>
            </c:rich>
          </c:tx>
          <c:layout>
            <c:manualLayout>
              <c:xMode val="edge"/>
              <c:yMode val="edge"/>
              <c:x val="4.8918156161806212E-2"/>
              <c:y val="5.2478134110787174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913856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20391385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Ngay, gio</a:t>
                </a:r>
              </a:p>
            </c:rich>
          </c:tx>
          <c:layout>
            <c:manualLayout>
              <c:xMode val="edge"/>
              <c:yMode val="edge"/>
              <c:x val="0.48824082784571965"/>
              <c:y val="0.96647230320699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911936"/>
        <c:crosses val="autoZero"/>
        <c:crossBetween val="between"/>
      </c:valAx>
      <c:catAx>
        <c:axId val="203920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3921664"/>
        <c:crosses val="autoZero"/>
        <c:auto val="0"/>
        <c:lblAlgn val="ctr"/>
        <c:lblOffset val="100"/>
        <c:noMultiLvlLbl val="0"/>
      </c:catAx>
      <c:valAx>
        <c:axId val="203921664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03920128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r>
              <a:t>Tæng biÕn ¸p, nhiÖt 24h t¹i tr¹m Hµ TÜnh
</a:t>
            </a:r>
          </a:p>
        </c:rich>
      </c:tx>
      <c:layout>
        <c:manualLayout>
          <c:xMode val="edge"/>
          <c:yMode val="edge"/>
          <c:x val="0.36970837253057387"/>
          <c:y val="4.3731778425655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0206961429915336E-2"/>
          <c:y val="0.10495626822157435"/>
          <c:w val="0.90216368767638755"/>
          <c:h val="0.77988338192419826"/>
        </c:manualLayout>
      </c:layout>
      <c:lineChart>
        <c:grouping val="standard"/>
        <c:varyColors val="0"/>
        <c:ser>
          <c:idx val="0"/>
          <c:order val="0"/>
          <c:tx>
            <c:v>dP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multiLvlStrRef>
              <c:f>'P &amp; T(1) '!$A$3:$B$257</c:f>
              <c:multiLvlStrCache>
                <c:ptCount val="255"/>
                <c:lvl>
                  <c:pt idx="0">
                    <c:v>1</c:v>
                  </c:pt>
                  <c:pt idx="1">
                    <c:v>4</c:v>
                  </c:pt>
                  <c:pt idx="2">
                    <c:v>7</c:v>
                  </c:pt>
                  <c:pt idx="3">
                    <c:v>10</c:v>
                  </c:pt>
                  <c:pt idx="4">
                    <c:v>13</c:v>
                  </c:pt>
                  <c:pt idx="5">
                    <c:v>16</c:v>
                  </c:pt>
                  <c:pt idx="6">
                    <c:v>19</c:v>
                  </c:pt>
                  <c:pt idx="7">
                    <c:v>22</c:v>
                  </c:pt>
                  <c:pt idx="8">
                    <c:v>1</c:v>
                  </c:pt>
                  <c:pt idx="9">
                    <c:v>4</c:v>
                  </c:pt>
                  <c:pt idx="10">
                    <c:v>7</c:v>
                  </c:pt>
                  <c:pt idx="11">
                    <c:v>10</c:v>
                  </c:pt>
                  <c:pt idx="12">
                    <c:v>13</c:v>
                  </c:pt>
                  <c:pt idx="13">
                    <c:v>16</c:v>
                  </c:pt>
                  <c:pt idx="14">
                    <c:v>19</c:v>
                  </c:pt>
                  <c:pt idx="15">
                    <c:v>22</c:v>
                  </c:pt>
                  <c:pt idx="16">
                    <c:v>1</c:v>
                  </c:pt>
                  <c:pt idx="17">
                    <c:v>4</c:v>
                  </c:pt>
                  <c:pt idx="18">
                    <c:v>7</c:v>
                  </c:pt>
                  <c:pt idx="19">
                    <c:v>10</c:v>
                  </c:pt>
                  <c:pt idx="20">
                    <c:v>13</c:v>
                  </c:pt>
                  <c:pt idx="21">
                    <c:v>16</c:v>
                  </c:pt>
                  <c:pt idx="22">
                    <c:v>19</c:v>
                  </c:pt>
                  <c:pt idx="23">
                    <c:v>22</c:v>
                  </c:pt>
                  <c:pt idx="24">
                    <c:v>1</c:v>
                  </c:pt>
                  <c:pt idx="25">
                    <c:v>4</c:v>
                  </c:pt>
                  <c:pt idx="26">
                    <c:v>7</c:v>
                  </c:pt>
                  <c:pt idx="27">
                    <c:v>10</c:v>
                  </c:pt>
                  <c:pt idx="28">
                    <c:v>13</c:v>
                  </c:pt>
                  <c:pt idx="29">
                    <c:v>16</c:v>
                  </c:pt>
                  <c:pt idx="30">
                    <c:v>19</c:v>
                  </c:pt>
                  <c:pt idx="31">
                    <c:v>22</c:v>
                  </c:pt>
                  <c:pt idx="32">
                    <c:v>1</c:v>
                  </c:pt>
                  <c:pt idx="33">
                    <c:v>4</c:v>
                  </c:pt>
                  <c:pt idx="34">
                    <c:v>7</c:v>
                  </c:pt>
                  <c:pt idx="35">
                    <c:v>10</c:v>
                  </c:pt>
                  <c:pt idx="36">
                    <c:v>13</c:v>
                  </c:pt>
                  <c:pt idx="37">
                    <c:v>16</c:v>
                  </c:pt>
                  <c:pt idx="38">
                    <c:v>19</c:v>
                  </c:pt>
                  <c:pt idx="39">
                    <c:v>22</c:v>
                  </c:pt>
                  <c:pt idx="40">
                    <c:v>1</c:v>
                  </c:pt>
                  <c:pt idx="41">
                    <c:v>4</c:v>
                  </c:pt>
                  <c:pt idx="42">
                    <c:v>7</c:v>
                  </c:pt>
                  <c:pt idx="43">
                    <c:v>10</c:v>
                  </c:pt>
                  <c:pt idx="44">
                    <c:v>13</c:v>
                  </c:pt>
                  <c:pt idx="45">
                    <c:v>16</c:v>
                  </c:pt>
                  <c:pt idx="46">
                    <c:v>19</c:v>
                  </c:pt>
                  <c:pt idx="47">
                    <c:v>22</c:v>
                  </c:pt>
                  <c:pt idx="48">
                    <c:v>1</c:v>
                  </c:pt>
                  <c:pt idx="49">
                    <c:v>4</c:v>
                  </c:pt>
                  <c:pt idx="50">
                    <c:v>7</c:v>
                  </c:pt>
                  <c:pt idx="51">
                    <c:v>10</c:v>
                  </c:pt>
                  <c:pt idx="52">
                    <c:v>13</c:v>
                  </c:pt>
                  <c:pt idx="53">
                    <c:v>16</c:v>
                  </c:pt>
                  <c:pt idx="54">
                    <c:v>19</c:v>
                  </c:pt>
                  <c:pt idx="55">
                    <c:v>22</c:v>
                  </c:pt>
                  <c:pt idx="56">
                    <c:v>1</c:v>
                  </c:pt>
                  <c:pt idx="57">
                    <c:v>4</c:v>
                  </c:pt>
                  <c:pt idx="58">
                    <c:v>7</c:v>
                  </c:pt>
                  <c:pt idx="59">
                    <c:v>10</c:v>
                  </c:pt>
                  <c:pt idx="60">
                    <c:v>13</c:v>
                  </c:pt>
                  <c:pt idx="61">
                    <c:v>16</c:v>
                  </c:pt>
                  <c:pt idx="62">
                    <c:v>19</c:v>
                  </c:pt>
                  <c:pt idx="63">
                    <c:v>22</c:v>
                  </c:pt>
                  <c:pt idx="64">
                    <c:v>1</c:v>
                  </c:pt>
                  <c:pt idx="65">
                    <c:v>4</c:v>
                  </c:pt>
                  <c:pt idx="66">
                    <c:v>7</c:v>
                  </c:pt>
                  <c:pt idx="67">
                    <c:v>10</c:v>
                  </c:pt>
                  <c:pt idx="68">
                    <c:v>13</c:v>
                  </c:pt>
                  <c:pt idx="69">
                    <c:v>16</c:v>
                  </c:pt>
                  <c:pt idx="70">
                    <c:v>19</c:v>
                  </c:pt>
                  <c:pt idx="71">
                    <c:v>22</c:v>
                  </c:pt>
                  <c:pt idx="72">
                    <c:v>1</c:v>
                  </c:pt>
                  <c:pt idx="73">
                    <c:v>4</c:v>
                  </c:pt>
                  <c:pt idx="74">
                    <c:v>7</c:v>
                  </c:pt>
                  <c:pt idx="75">
                    <c:v>10</c:v>
                  </c:pt>
                  <c:pt idx="76">
                    <c:v>13</c:v>
                  </c:pt>
                  <c:pt idx="77">
                    <c:v>16</c:v>
                  </c:pt>
                  <c:pt idx="78">
                    <c:v>19</c:v>
                  </c:pt>
                  <c:pt idx="79">
                    <c:v>22</c:v>
                  </c:pt>
                  <c:pt idx="80">
                    <c:v>1</c:v>
                  </c:pt>
                  <c:pt idx="81">
                    <c:v>4</c:v>
                  </c:pt>
                  <c:pt idx="82">
                    <c:v>7</c:v>
                  </c:pt>
                  <c:pt idx="83">
                    <c:v>10</c:v>
                  </c:pt>
                  <c:pt idx="84">
                    <c:v>13</c:v>
                  </c:pt>
                  <c:pt idx="85">
                    <c:v>16</c:v>
                  </c:pt>
                  <c:pt idx="86">
                    <c:v>19</c:v>
                  </c:pt>
                  <c:pt idx="87">
                    <c:v>22</c:v>
                  </c:pt>
                  <c:pt idx="88">
                    <c:v>1</c:v>
                  </c:pt>
                  <c:pt idx="89">
                    <c:v>4</c:v>
                  </c:pt>
                  <c:pt idx="90">
                    <c:v>7</c:v>
                  </c:pt>
                  <c:pt idx="91">
                    <c:v>10</c:v>
                  </c:pt>
                  <c:pt idx="92">
                    <c:v>13</c:v>
                  </c:pt>
                  <c:pt idx="93">
                    <c:v>16</c:v>
                  </c:pt>
                  <c:pt idx="94">
                    <c:v>19</c:v>
                  </c:pt>
                  <c:pt idx="95">
                    <c:v>22</c:v>
                  </c:pt>
                  <c:pt idx="96">
                    <c:v>1</c:v>
                  </c:pt>
                  <c:pt idx="97">
                    <c:v>4</c:v>
                  </c:pt>
                  <c:pt idx="98">
                    <c:v>7</c:v>
                  </c:pt>
                  <c:pt idx="99">
                    <c:v>10</c:v>
                  </c:pt>
                  <c:pt idx="100">
                    <c:v>13</c:v>
                  </c:pt>
                  <c:pt idx="101">
                    <c:v>16</c:v>
                  </c:pt>
                  <c:pt idx="102">
                    <c:v>19</c:v>
                  </c:pt>
                  <c:pt idx="103">
                    <c:v>22</c:v>
                  </c:pt>
                  <c:pt idx="104">
                    <c:v>1</c:v>
                  </c:pt>
                  <c:pt idx="105">
                    <c:v>4</c:v>
                  </c:pt>
                  <c:pt idx="106">
                    <c:v>7</c:v>
                  </c:pt>
                  <c:pt idx="107">
                    <c:v>10</c:v>
                  </c:pt>
                  <c:pt idx="108">
                    <c:v>13</c:v>
                  </c:pt>
                  <c:pt idx="109">
                    <c:v>16</c:v>
                  </c:pt>
                  <c:pt idx="110">
                    <c:v>19</c:v>
                  </c:pt>
                  <c:pt idx="111">
                    <c:v>22</c:v>
                  </c:pt>
                  <c:pt idx="112">
                    <c:v>1</c:v>
                  </c:pt>
                  <c:pt idx="113">
                    <c:v>4</c:v>
                  </c:pt>
                  <c:pt idx="114">
                    <c:v>7</c:v>
                  </c:pt>
                  <c:pt idx="115">
                    <c:v>10</c:v>
                  </c:pt>
                  <c:pt idx="116">
                    <c:v>13</c:v>
                  </c:pt>
                  <c:pt idx="117">
                    <c:v>16</c:v>
                  </c:pt>
                  <c:pt idx="118">
                    <c:v>19</c:v>
                  </c:pt>
                  <c:pt idx="119">
                    <c:v>22</c:v>
                  </c:pt>
                  <c:pt idx="120">
                    <c:v>1</c:v>
                  </c:pt>
                  <c:pt idx="121">
                    <c:v>4</c:v>
                  </c:pt>
                  <c:pt idx="122">
                    <c:v>7</c:v>
                  </c:pt>
                  <c:pt idx="123">
                    <c:v>10</c:v>
                  </c:pt>
                  <c:pt idx="124">
                    <c:v>13</c:v>
                  </c:pt>
                  <c:pt idx="125">
                    <c:v>16</c:v>
                  </c:pt>
                  <c:pt idx="126">
                    <c:v>19</c:v>
                  </c:pt>
                  <c:pt idx="127">
                    <c:v>22</c:v>
                  </c:pt>
                  <c:pt idx="128">
                    <c:v>1</c:v>
                  </c:pt>
                  <c:pt idx="129">
                    <c:v>4</c:v>
                  </c:pt>
                  <c:pt idx="130">
                    <c:v>7</c:v>
                  </c:pt>
                  <c:pt idx="131">
                    <c:v>10</c:v>
                  </c:pt>
                  <c:pt idx="132">
                    <c:v>13</c:v>
                  </c:pt>
                  <c:pt idx="133">
                    <c:v>16</c:v>
                  </c:pt>
                  <c:pt idx="134">
                    <c:v>19</c:v>
                  </c:pt>
                  <c:pt idx="135">
                    <c:v>22</c:v>
                  </c:pt>
                  <c:pt idx="136">
                    <c:v>1</c:v>
                  </c:pt>
                  <c:pt idx="137">
                    <c:v>4</c:v>
                  </c:pt>
                  <c:pt idx="138">
                    <c:v>7</c:v>
                  </c:pt>
                  <c:pt idx="139">
                    <c:v>10</c:v>
                  </c:pt>
                  <c:pt idx="140">
                    <c:v>13</c:v>
                  </c:pt>
                  <c:pt idx="141">
                    <c:v>16</c:v>
                  </c:pt>
                  <c:pt idx="142">
                    <c:v>19</c:v>
                  </c:pt>
                  <c:pt idx="143">
                    <c:v>22</c:v>
                  </c:pt>
                  <c:pt idx="144">
                    <c:v>1</c:v>
                  </c:pt>
                  <c:pt idx="145">
                    <c:v>4</c:v>
                  </c:pt>
                  <c:pt idx="146">
                    <c:v>7</c:v>
                  </c:pt>
                  <c:pt idx="147">
                    <c:v>10</c:v>
                  </c:pt>
                  <c:pt idx="148">
                    <c:v>13</c:v>
                  </c:pt>
                  <c:pt idx="149">
                    <c:v>16</c:v>
                  </c:pt>
                  <c:pt idx="150">
                    <c:v>19</c:v>
                  </c:pt>
                  <c:pt idx="151">
                    <c:v>22</c:v>
                  </c:pt>
                  <c:pt idx="152">
                    <c:v>1</c:v>
                  </c:pt>
                  <c:pt idx="153">
                    <c:v>4</c:v>
                  </c:pt>
                  <c:pt idx="154">
                    <c:v>7</c:v>
                  </c:pt>
                  <c:pt idx="155">
                    <c:v>10</c:v>
                  </c:pt>
                  <c:pt idx="156">
                    <c:v>13</c:v>
                  </c:pt>
                  <c:pt idx="157">
                    <c:v>16</c:v>
                  </c:pt>
                  <c:pt idx="158">
                    <c:v>19</c:v>
                  </c:pt>
                  <c:pt idx="159">
                    <c:v>22</c:v>
                  </c:pt>
                  <c:pt idx="160">
                    <c:v>1</c:v>
                  </c:pt>
                  <c:pt idx="161">
                    <c:v>4</c:v>
                  </c:pt>
                  <c:pt idx="162">
                    <c:v>7</c:v>
                  </c:pt>
                  <c:pt idx="163">
                    <c:v>10</c:v>
                  </c:pt>
                  <c:pt idx="164">
                    <c:v>13</c:v>
                  </c:pt>
                  <c:pt idx="165">
                    <c:v>16</c:v>
                  </c:pt>
                  <c:pt idx="166">
                    <c:v>19</c:v>
                  </c:pt>
                  <c:pt idx="167">
                    <c:v>22</c:v>
                  </c:pt>
                  <c:pt idx="168">
                    <c:v>1</c:v>
                  </c:pt>
                  <c:pt idx="169">
                    <c:v>4</c:v>
                  </c:pt>
                  <c:pt idx="170">
                    <c:v>7</c:v>
                  </c:pt>
                  <c:pt idx="171">
                    <c:v>10</c:v>
                  </c:pt>
                  <c:pt idx="172">
                    <c:v>13</c:v>
                  </c:pt>
                  <c:pt idx="173">
                    <c:v>16</c:v>
                  </c:pt>
                  <c:pt idx="174">
                    <c:v>19</c:v>
                  </c:pt>
                  <c:pt idx="175">
                    <c:v>22</c:v>
                  </c:pt>
                  <c:pt idx="176">
                    <c:v>1</c:v>
                  </c:pt>
                  <c:pt idx="177">
                    <c:v>4</c:v>
                  </c:pt>
                  <c:pt idx="178">
                    <c:v>7</c:v>
                  </c:pt>
                  <c:pt idx="179">
                    <c:v>10</c:v>
                  </c:pt>
                  <c:pt idx="180">
                    <c:v>13</c:v>
                  </c:pt>
                  <c:pt idx="181">
                    <c:v>16</c:v>
                  </c:pt>
                  <c:pt idx="182">
                    <c:v>19</c:v>
                  </c:pt>
                  <c:pt idx="183">
                    <c:v>22</c:v>
                  </c:pt>
                  <c:pt idx="184">
                    <c:v>1</c:v>
                  </c:pt>
                  <c:pt idx="185">
                    <c:v>4</c:v>
                  </c:pt>
                  <c:pt idx="186">
                    <c:v>7</c:v>
                  </c:pt>
                  <c:pt idx="187">
                    <c:v>10</c:v>
                  </c:pt>
                  <c:pt idx="188">
                    <c:v>13</c:v>
                  </c:pt>
                  <c:pt idx="189">
                    <c:v>16</c:v>
                  </c:pt>
                  <c:pt idx="190">
                    <c:v>19</c:v>
                  </c:pt>
                  <c:pt idx="191">
                    <c:v>22</c:v>
                  </c:pt>
                  <c:pt idx="192">
                    <c:v>1</c:v>
                  </c:pt>
                  <c:pt idx="193">
                    <c:v>4</c:v>
                  </c:pt>
                  <c:pt idx="194">
                    <c:v>7</c:v>
                  </c:pt>
                  <c:pt idx="195">
                    <c:v>10</c:v>
                  </c:pt>
                  <c:pt idx="196">
                    <c:v>13</c:v>
                  </c:pt>
                  <c:pt idx="197">
                    <c:v>16</c:v>
                  </c:pt>
                  <c:pt idx="198">
                    <c:v>19</c:v>
                  </c:pt>
                  <c:pt idx="199">
                    <c:v>22</c:v>
                  </c:pt>
                  <c:pt idx="200">
                    <c:v>1</c:v>
                  </c:pt>
                  <c:pt idx="201">
                    <c:v>4</c:v>
                  </c:pt>
                  <c:pt idx="202">
                    <c:v>7</c:v>
                  </c:pt>
                  <c:pt idx="203">
                    <c:v>10</c:v>
                  </c:pt>
                  <c:pt idx="204">
                    <c:v>13</c:v>
                  </c:pt>
                  <c:pt idx="205">
                    <c:v>16</c:v>
                  </c:pt>
                  <c:pt idx="206">
                    <c:v>19</c:v>
                  </c:pt>
                  <c:pt idx="207">
                    <c:v>22</c:v>
                  </c:pt>
                  <c:pt idx="208">
                    <c:v>1</c:v>
                  </c:pt>
                  <c:pt idx="209">
                    <c:v>4</c:v>
                  </c:pt>
                  <c:pt idx="210">
                    <c:v>7</c:v>
                  </c:pt>
                  <c:pt idx="211">
                    <c:v>10</c:v>
                  </c:pt>
                  <c:pt idx="212">
                    <c:v>13</c:v>
                  </c:pt>
                  <c:pt idx="213">
                    <c:v>16</c:v>
                  </c:pt>
                  <c:pt idx="214">
                    <c:v>19</c:v>
                  </c:pt>
                  <c:pt idx="215">
                    <c:v>22</c:v>
                  </c:pt>
                  <c:pt idx="216">
                    <c:v>1</c:v>
                  </c:pt>
                  <c:pt idx="217">
                    <c:v>4</c:v>
                  </c:pt>
                  <c:pt idx="218">
                    <c:v>7</c:v>
                  </c:pt>
                  <c:pt idx="219">
                    <c:v>10</c:v>
                  </c:pt>
                  <c:pt idx="220">
                    <c:v>13</c:v>
                  </c:pt>
                  <c:pt idx="221">
                    <c:v>16</c:v>
                  </c:pt>
                  <c:pt idx="222">
                    <c:v>19</c:v>
                  </c:pt>
                  <c:pt idx="223">
                    <c:v>22</c:v>
                  </c:pt>
                  <c:pt idx="224">
                    <c:v>1</c:v>
                  </c:pt>
                  <c:pt idx="225">
                    <c:v>4</c:v>
                  </c:pt>
                  <c:pt idx="226">
                    <c:v>7</c:v>
                  </c:pt>
                  <c:pt idx="227">
                    <c:v>10</c:v>
                  </c:pt>
                  <c:pt idx="228">
                    <c:v>13</c:v>
                  </c:pt>
                  <c:pt idx="229">
                    <c:v>16</c:v>
                  </c:pt>
                  <c:pt idx="230">
                    <c:v>19</c:v>
                  </c:pt>
                  <c:pt idx="231">
                    <c:v>22</c:v>
                  </c:pt>
                  <c:pt idx="232">
                    <c:v>1</c:v>
                  </c:pt>
                  <c:pt idx="233">
                    <c:v>4</c:v>
                  </c:pt>
                  <c:pt idx="234">
                    <c:v>7</c:v>
                  </c:pt>
                  <c:pt idx="235">
                    <c:v>10</c:v>
                  </c:pt>
                  <c:pt idx="236">
                    <c:v>13</c:v>
                  </c:pt>
                  <c:pt idx="237">
                    <c:v>16</c:v>
                  </c:pt>
                  <c:pt idx="238">
                    <c:v>19</c:v>
                  </c:pt>
                  <c:pt idx="239">
                    <c:v>22</c:v>
                  </c:pt>
                  <c:pt idx="240">
                    <c:v>1</c:v>
                  </c:pt>
                  <c:pt idx="241">
                    <c:v>4</c:v>
                  </c:pt>
                  <c:pt idx="242">
                    <c:v>7</c:v>
                  </c:pt>
                  <c:pt idx="243">
                    <c:v>10</c:v>
                  </c:pt>
                  <c:pt idx="244">
                    <c:v>13</c:v>
                  </c:pt>
                  <c:pt idx="245">
                    <c:v>16</c:v>
                  </c:pt>
                  <c:pt idx="246">
                    <c:v>19</c:v>
                  </c:pt>
                  <c:pt idx="247">
                    <c:v>22</c:v>
                  </c:pt>
                  <c:pt idx="248">
                    <c:v>1</c:v>
                  </c:pt>
                  <c:pt idx="249">
                    <c:v>4</c:v>
                  </c:pt>
                  <c:pt idx="250">
                    <c:v>7</c:v>
                  </c:pt>
                  <c:pt idx="251">
                    <c:v>10</c:v>
                  </c:pt>
                  <c:pt idx="252">
                    <c:v>13</c:v>
                  </c:pt>
                  <c:pt idx="253">
                    <c:v>16</c:v>
                  </c:pt>
                  <c:pt idx="254">
                    <c:v>19</c:v>
                  </c:pt>
                </c:lvl>
                <c:lvl>
                  <c:pt idx="0">
                    <c:v>31</c:v>
                  </c:pt>
                  <c:pt idx="8">
                    <c:v>1</c:v>
                  </c:pt>
                  <c:pt idx="16">
                    <c:v>2</c:v>
                  </c:pt>
                  <c:pt idx="24">
                    <c:v>3</c:v>
                  </c:pt>
                  <c:pt idx="32">
                    <c:v>4</c:v>
                  </c:pt>
                  <c:pt idx="40">
                    <c:v>5</c:v>
                  </c:pt>
                  <c:pt idx="48">
                    <c:v>6</c:v>
                  </c:pt>
                  <c:pt idx="56">
                    <c:v>7</c:v>
                  </c:pt>
                  <c:pt idx="64">
                    <c:v>8</c:v>
                  </c:pt>
                  <c:pt idx="72">
                    <c:v>9</c:v>
                  </c:pt>
                  <c:pt idx="80">
                    <c:v>10</c:v>
                  </c:pt>
                  <c:pt idx="88">
                    <c:v>11</c:v>
                  </c:pt>
                  <c:pt idx="96">
                    <c:v>12</c:v>
                  </c:pt>
                  <c:pt idx="104">
                    <c:v>13</c:v>
                  </c:pt>
                  <c:pt idx="112">
                    <c:v>14</c:v>
                  </c:pt>
                  <c:pt idx="120">
                    <c:v>15</c:v>
                  </c:pt>
                  <c:pt idx="128">
                    <c:v>16</c:v>
                  </c:pt>
                  <c:pt idx="136">
                    <c:v>17</c:v>
                  </c:pt>
                  <c:pt idx="144">
                    <c:v>18</c:v>
                  </c:pt>
                  <c:pt idx="152">
                    <c:v>19</c:v>
                  </c:pt>
                  <c:pt idx="160">
                    <c:v>20</c:v>
                  </c:pt>
                  <c:pt idx="168">
                    <c:v>21</c:v>
                  </c:pt>
                  <c:pt idx="176">
                    <c:v>22</c:v>
                  </c:pt>
                  <c:pt idx="184">
                    <c:v>23</c:v>
                  </c:pt>
                  <c:pt idx="192">
                    <c:v>24</c:v>
                  </c:pt>
                  <c:pt idx="200">
                    <c:v>25</c:v>
                  </c:pt>
                  <c:pt idx="208">
                    <c:v>26</c:v>
                  </c:pt>
                  <c:pt idx="216">
                    <c:v>27</c:v>
                  </c:pt>
                  <c:pt idx="224">
                    <c:v>28</c:v>
                  </c:pt>
                  <c:pt idx="232">
                    <c:v>29</c:v>
                  </c:pt>
                  <c:pt idx="240">
                    <c:v>30</c:v>
                  </c:pt>
                  <c:pt idx="248">
                    <c:v>31</c:v>
                  </c:pt>
                </c:lvl>
              </c:multiLvlStrCache>
            </c:multiLvlStrRef>
          </c:cat>
          <c:val>
            <c:numRef>
              <c:f>'P &amp; T(1) '!$S$10:$S$258</c:f>
              <c:numCache>
                <c:formatCode>General</c:formatCode>
                <c:ptCount val="24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2-4E37-8046-224FBD4DE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10176"/>
        <c:axId val="222612096"/>
      </c:lineChart>
      <c:lineChart>
        <c:grouping val="standard"/>
        <c:varyColors val="0"/>
        <c:ser>
          <c:idx val="1"/>
          <c:order val="1"/>
          <c:tx>
            <c:v>dT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multiLvlStrRef>
              <c:f>'P &amp; T(1) '!$A$3:$B$257</c:f>
              <c:multiLvlStrCache>
                <c:ptCount val="255"/>
                <c:lvl>
                  <c:pt idx="0">
                    <c:v>1</c:v>
                  </c:pt>
                  <c:pt idx="1">
                    <c:v>4</c:v>
                  </c:pt>
                  <c:pt idx="2">
                    <c:v>7</c:v>
                  </c:pt>
                  <c:pt idx="3">
                    <c:v>10</c:v>
                  </c:pt>
                  <c:pt idx="4">
                    <c:v>13</c:v>
                  </c:pt>
                  <c:pt idx="5">
                    <c:v>16</c:v>
                  </c:pt>
                  <c:pt idx="6">
                    <c:v>19</c:v>
                  </c:pt>
                  <c:pt idx="7">
                    <c:v>22</c:v>
                  </c:pt>
                  <c:pt idx="8">
                    <c:v>1</c:v>
                  </c:pt>
                  <c:pt idx="9">
                    <c:v>4</c:v>
                  </c:pt>
                  <c:pt idx="10">
                    <c:v>7</c:v>
                  </c:pt>
                  <c:pt idx="11">
                    <c:v>10</c:v>
                  </c:pt>
                  <c:pt idx="12">
                    <c:v>13</c:v>
                  </c:pt>
                  <c:pt idx="13">
                    <c:v>16</c:v>
                  </c:pt>
                  <c:pt idx="14">
                    <c:v>19</c:v>
                  </c:pt>
                  <c:pt idx="15">
                    <c:v>22</c:v>
                  </c:pt>
                  <c:pt idx="16">
                    <c:v>1</c:v>
                  </c:pt>
                  <c:pt idx="17">
                    <c:v>4</c:v>
                  </c:pt>
                  <c:pt idx="18">
                    <c:v>7</c:v>
                  </c:pt>
                  <c:pt idx="19">
                    <c:v>10</c:v>
                  </c:pt>
                  <c:pt idx="20">
                    <c:v>13</c:v>
                  </c:pt>
                  <c:pt idx="21">
                    <c:v>16</c:v>
                  </c:pt>
                  <c:pt idx="22">
                    <c:v>19</c:v>
                  </c:pt>
                  <c:pt idx="23">
                    <c:v>22</c:v>
                  </c:pt>
                  <c:pt idx="24">
                    <c:v>1</c:v>
                  </c:pt>
                  <c:pt idx="25">
                    <c:v>4</c:v>
                  </c:pt>
                  <c:pt idx="26">
                    <c:v>7</c:v>
                  </c:pt>
                  <c:pt idx="27">
                    <c:v>10</c:v>
                  </c:pt>
                  <c:pt idx="28">
                    <c:v>13</c:v>
                  </c:pt>
                  <c:pt idx="29">
                    <c:v>16</c:v>
                  </c:pt>
                  <c:pt idx="30">
                    <c:v>19</c:v>
                  </c:pt>
                  <c:pt idx="31">
                    <c:v>22</c:v>
                  </c:pt>
                  <c:pt idx="32">
                    <c:v>1</c:v>
                  </c:pt>
                  <c:pt idx="33">
                    <c:v>4</c:v>
                  </c:pt>
                  <c:pt idx="34">
                    <c:v>7</c:v>
                  </c:pt>
                  <c:pt idx="35">
                    <c:v>10</c:v>
                  </c:pt>
                  <c:pt idx="36">
                    <c:v>13</c:v>
                  </c:pt>
                  <c:pt idx="37">
                    <c:v>16</c:v>
                  </c:pt>
                  <c:pt idx="38">
                    <c:v>19</c:v>
                  </c:pt>
                  <c:pt idx="39">
                    <c:v>22</c:v>
                  </c:pt>
                  <c:pt idx="40">
                    <c:v>1</c:v>
                  </c:pt>
                  <c:pt idx="41">
                    <c:v>4</c:v>
                  </c:pt>
                  <c:pt idx="42">
                    <c:v>7</c:v>
                  </c:pt>
                  <c:pt idx="43">
                    <c:v>10</c:v>
                  </c:pt>
                  <c:pt idx="44">
                    <c:v>13</c:v>
                  </c:pt>
                  <c:pt idx="45">
                    <c:v>16</c:v>
                  </c:pt>
                  <c:pt idx="46">
                    <c:v>19</c:v>
                  </c:pt>
                  <c:pt idx="47">
                    <c:v>22</c:v>
                  </c:pt>
                  <c:pt idx="48">
                    <c:v>1</c:v>
                  </c:pt>
                  <c:pt idx="49">
                    <c:v>4</c:v>
                  </c:pt>
                  <c:pt idx="50">
                    <c:v>7</c:v>
                  </c:pt>
                  <c:pt idx="51">
                    <c:v>10</c:v>
                  </c:pt>
                  <c:pt idx="52">
                    <c:v>13</c:v>
                  </c:pt>
                  <c:pt idx="53">
                    <c:v>16</c:v>
                  </c:pt>
                  <c:pt idx="54">
                    <c:v>19</c:v>
                  </c:pt>
                  <c:pt idx="55">
                    <c:v>22</c:v>
                  </c:pt>
                  <c:pt idx="56">
                    <c:v>1</c:v>
                  </c:pt>
                  <c:pt idx="57">
                    <c:v>4</c:v>
                  </c:pt>
                  <c:pt idx="58">
                    <c:v>7</c:v>
                  </c:pt>
                  <c:pt idx="59">
                    <c:v>10</c:v>
                  </c:pt>
                  <c:pt idx="60">
                    <c:v>13</c:v>
                  </c:pt>
                  <c:pt idx="61">
                    <c:v>16</c:v>
                  </c:pt>
                  <c:pt idx="62">
                    <c:v>19</c:v>
                  </c:pt>
                  <c:pt idx="63">
                    <c:v>22</c:v>
                  </c:pt>
                  <c:pt idx="64">
                    <c:v>1</c:v>
                  </c:pt>
                  <c:pt idx="65">
                    <c:v>4</c:v>
                  </c:pt>
                  <c:pt idx="66">
                    <c:v>7</c:v>
                  </c:pt>
                  <c:pt idx="67">
                    <c:v>10</c:v>
                  </c:pt>
                  <c:pt idx="68">
                    <c:v>13</c:v>
                  </c:pt>
                  <c:pt idx="69">
                    <c:v>16</c:v>
                  </c:pt>
                  <c:pt idx="70">
                    <c:v>19</c:v>
                  </c:pt>
                  <c:pt idx="71">
                    <c:v>22</c:v>
                  </c:pt>
                  <c:pt idx="72">
                    <c:v>1</c:v>
                  </c:pt>
                  <c:pt idx="73">
                    <c:v>4</c:v>
                  </c:pt>
                  <c:pt idx="74">
                    <c:v>7</c:v>
                  </c:pt>
                  <c:pt idx="75">
                    <c:v>10</c:v>
                  </c:pt>
                  <c:pt idx="76">
                    <c:v>13</c:v>
                  </c:pt>
                  <c:pt idx="77">
                    <c:v>16</c:v>
                  </c:pt>
                  <c:pt idx="78">
                    <c:v>19</c:v>
                  </c:pt>
                  <c:pt idx="79">
                    <c:v>22</c:v>
                  </c:pt>
                  <c:pt idx="80">
                    <c:v>1</c:v>
                  </c:pt>
                  <c:pt idx="81">
                    <c:v>4</c:v>
                  </c:pt>
                  <c:pt idx="82">
                    <c:v>7</c:v>
                  </c:pt>
                  <c:pt idx="83">
                    <c:v>10</c:v>
                  </c:pt>
                  <c:pt idx="84">
                    <c:v>13</c:v>
                  </c:pt>
                  <c:pt idx="85">
                    <c:v>16</c:v>
                  </c:pt>
                  <c:pt idx="86">
                    <c:v>19</c:v>
                  </c:pt>
                  <c:pt idx="87">
                    <c:v>22</c:v>
                  </c:pt>
                  <c:pt idx="88">
                    <c:v>1</c:v>
                  </c:pt>
                  <c:pt idx="89">
                    <c:v>4</c:v>
                  </c:pt>
                  <c:pt idx="90">
                    <c:v>7</c:v>
                  </c:pt>
                  <c:pt idx="91">
                    <c:v>10</c:v>
                  </c:pt>
                  <c:pt idx="92">
                    <c:v>13</c:v>
                  </c:pt>
                  <c:pt idx="93">
                    <c:v>16</c:v>
                  </c:pt>
                  <c:pt idx="94">
                    <c:v>19</c:v>
                  </c:pt>
                  <c:pt idx="95">
                    <c:v>22</c:v>
                  </c:pt>
                  <c:pt idx="96">
                    <c:v>1</c:v>
                  </c:pt>
                  <c:pt idx="97">
                    <c:v>4</c:v>
                  </c:pt>
                  <c:pt idx="98">
                    <c:v>7</c:v>
                  </c:pt>
                  <c:pt idx="99">
                    <c:v>10</c:v>
                  </c:pt>
                  <c:pt idx="100">
                    <c:v>13</c:v>
                  </c:pt>
                  <c:pt idx="101">
                    <c:v>16</c:v>
                  </c:pt>
                  <c:pt idx="102">
                    <c:v>19</c:v>
                  </c:pt>
                  <c:pt idx="103">
                    <c:v>22</c:v>
                  </c:pt>
                  <c:pt idx="104">
                    <c:v>1</c:v>
                  </c:pt>
                  <c:pt idx="105">
                    <c:v>4</c:v>
                  </c:pt>
                  <c:pt idx="106">
                    <c:v>7</c:v>
                  </c:pt>
                  <c:pt idx="107">
                    <c:v>10</c:v>
                  </c:pt>
                  <c:pt idx="108">
                    <c:v>13</c:v>
                  </c:pt>
                  <c:pt idx="109">
                    <c:v>16</c:v>
                  </c:pt>
                  <c:pt idx="110">
                    <c:v>19</c:v>
                  </c:pt>
                  <c:pt idx="111">
                    <c:v>22</c:v>
                  </c:pt>
                  <c:pt idx="112">
                    <c:v>1</c:v>
                  </c:pt>
                  <c:pt idx="113">
                    <c:v>4</c:v>
                  </c:pt>
                  <c:pt idx="114">
                    <c:v>7</c:v>
                  </c:pt>
                  <c:pt idx="115">
                    <c:v>10</c:v>
                  </c:pt>
                  <c:pt idx="116">
                    <c:v>13</c:v>
                  </c:pt>
                  <c:pt idx="117">
                    <c:v>16</c:v>
                  </c:pt>
                  <c:pt idx="118">
                    <c:v>19</c:v>
                  </c:pt>
                  <c:pt idx="119">
                    <c:v>22</c:v>
                  </c:pt>
                  <c:pt idx="120">
                    <c:v>1</c:v>
                  </c:pt>
                  <c:pt idx="121">
                    <c:v>4</c:v>
                  </c:pt>
                  <c:pt idx="122">
                    <c:v>7</c:v>
                  </c:pt>
                  <c:pt idx="123">
                    <c:v>10</c:v>
                  </c:pt>
                  <c:pt idx="124">
                    <c:v>13</c:v>
                  </c:pt>
                  <c:pt idx="125">
                    <c:v>16</c:v>
                  </c:pt>
                  <c:pt idx="126">
                    <c:v>19</c:v>
                  </c:pt>
                  <c:pt idx="127">
                    <c:v>22</c:v>
                  </c:pt>
                  <c:pt idx="128">
                    <c:v>1</c:v>
                  </c:pt>
                  <c:pt idx="129">
                    <c:v>4</c:v>
                  </c:pt>
                  <c:pt idx="130">
                    <c:v>7</c:v>
                  </c:pt>
                  <c:pt idx="131">
                    <c:v>10</c:v>
                  </c:pt>
                  <c:pt idx="132">
                    <c:v>13</c:v>
                  </c:pt>
                  <c:pt idx="133">
                    <c:v>16</c:v>
                  </c:pt>
                  <c:pt idx="134">
                    <c:v>19</c:v>
                  </c:pt>
                  <c:pt idx="135">
                    <c:v>22</c:v>
                  </c:pt>
                  <c:pt idx="136">
                    <c:v>1</c:v>
                  </c:pt>
                  <c:pt idx="137">
                    <c:v>4</c:v>
                  </c:pt>
                  <c:pt idx="138">
                    <c:v>7</c:v>
                  </c:pt>
                  <c:pt idx="139">
                    <c:v>10</c:v>
                  </c:pt>
                  <c:pt idx="140">
                    <c:v>13</c:v>
                  </c:pt>
                  <c:pt idx="141">
                    <c:v>16</c:v>
                  </c:pt>
                  <c:pt idx="142">
                    <c:v>19</c:v>
                  </c:pt>
                  <c:pt idx="143">
                    <c:v>22</c:v>
                  </c:pt>
                  <c:pt idx="144">
                    <c:v>1</c:v>
                  </c:pt>
                  <c:pt idx="145">
                    <c:v>4</c:v>
                  </c:pt>
                  <c:pt idx="146">
                    <c:v>7</c:v>
                  </c:pt>
                  <c:pt idx="147">
                    <c:v>10</c:v>
                  </c:pt>
                  <c:pt idx="148">
                    <c:v>13</c:v>
                  </c:pt>
                  <c:pt idx="149">
                    <c:v>16</c:v>
                  </c:pt>
                  <c:pt idx="150">
                    <c:v>19</c:v>
                  </c:pt>
                  <c:pt idx="151">
                    <c:v>22</c:v>
                  </c:pt>
                  <c:pt idx="152">
                    <c:v>1</c:v>
                  </c:pt>
                  <c:pt idx="153">
                    <c:v>4</c:v>
                  </c:pt>
                  <c:pt idx="154">
                    <c:v>7</c:v>
                  </c:pt>
                  <c:pt idx="155">
                    <c:v>10</c:v>
                  </c:pt>
                  <c:pt idx="156">
                    <c:v>13</c:v>
                  </c:pt>
                  <c:pt idx="157">
                    <c:v>16</c:v>
                  </c:pt>
                  <c:pt idx="158">
                    <c:v>19</c:v>
                  </c:pt>
                  <c:pt idx="159">
                    <c:v>22</c:v>
                  </c:pt>
                  <c:pt idx="160">
                    <c:v>1</c:v>
                  </c:pt>
                  <c:pt idx="161">
                    <c:v>4</c:v>
                  </c:pt>
                  <c:pt idx="162">
                    <c:v>7</c:v>
                  </c:pt>
                  <c:pt idx="163">
                    <c:v>10</c:v>
                  </c:pt>
                  <c:pt idx="164">
                    <c:v>13</c:v>
                  </c:pt>
                  <c:pt idx="165">
                    <c:v>16</c:v>
                  </c:pt>
                  <c:pt idx="166">
                    <c:v>19</c:v>
                  </c:pt>
                  <c:pt idx="167">
                    <c:v>22</c:v>
                  </c:pt>
                  <c:pt idx="168">
                    <c:v>1</c:v>
                  </c:pt>
                  <c:pt idx="169">
                    <c:v>4</c:v>
                  </c:pt>
                  <c:pt idx="170">
                    <c:v>7</c:v>
                  </c:pt>
                  <c:pt idx="171">
                    <c:v>10</c:v>
                  </c:pt>
                  <c:pt idx="172">
                    <c:v>13</c:v>
                  </c:pt>
                  <c:pt idx="173">
                    <c:v>16</c:v>
                  </c:pt>
                  <c:pt idx="174">
                    <c:v>19</c:v>
                  </c:pt>
                  <c:pt idx="175">
                    <c:v>22</c:v>
                  </c:pt>
                  <c:pt idx="176">
                    <c:v>1</c:v>
                  </c:pt>
                  <c:pt idx="177">
                    <c:v>4</c:v>
                  </c:pt>
                  <c:pt idx="178">
                    <c:v>7</c:v>
                  </c:pt>
                  <c:pt idx="179">
                    <c:v>10</c:v>
                  </c:pt>
                  <c:pt idx="180">
                    <c:v>13</c:v>
                  </c:pt>
                  <c:pt idx="181">
                    <c:v>16</c:v>
                  </c:pt>
                  <c:pt idx="182">
                    <c:v>19</c:v>
                  </c:pt>
                  <c:pt idx="183">
                    <c:v>22</c:v>
                  </c:pt>
                  <c:pt idx="184">
                    <c:v>1</c:v>
                  </c:pt>
                  <c:pt idx="185">
                    <c:v>4</c:v>
                  </c:pt>
                  <c:pt idx="186">
                    <c:v>7</c:v>
                  </c:pt>
                  <c:pt idx="187">
                    <c:v>10</c:v>
                  </c:pt>
                  <c:pt idx="188">
                    <c:v>13</c:v>
                  </c:pt>
                  <c:pt idx="189">
                    <c:v>16</c:v>
                  </c:pt>
                  <c:pt idx="190">
                    <c:v>19</c:v>
                  </c:pt>
                  <c:pt idx="191">
                    <c:v>22</c:v>
                  </c:pt>
                  <c:pt idx="192">
                    <c:v>1</c:v>
                  </c:pt>
                  <c:pt idx="193">
                    <c:v>4</c:v>
                  </c:pt>
                  <c:pt idx="194">
                    <c:v>7</c:v>
                  </c:pt>
                  <c:pt idx="195">
                    <c:v>10</c:v>
                  </c:pt>
                  <c:pt idx="196">
                    <c:v>13</c:v>
                  </c:pt>
                  <c:pt idx="197">
                    <c:v>16</c:v>
                  </c:pt>
                  <c:pt idx="198">
                    <c:v>19</c:v>
                  </c:pt>
                  <c:pt idx="199">
                    <c:v>22</c:v>
                  </c:pt>
                  <c:pt idx="200">
                    <c:v>1</c:v>
                  </c:pt>
                  <c:pt idx="201">
                    <c:v>4</c:v>
                  </c:pt>
                  <c:pt idx="202">
                    <c:v>7</c:v>
                  </c:pt>
                  <c:pt idx="203">
                    <c:v>10</c:v>
                  </c:pt>
                  <c:pt idx="204">
                    <c:v>13</c:v>
                  </c:pt>
                  <c:pt idx="205">
                    <c:v>16</c:v>
                  </c:pt>
                  <c:pt idx="206">
                    <c:v>19</c:v>
                  </c:pt>
                  <c:pt idx="207">
                    <c:v>22</c:v>
                  </c:pt>
                  <c:pt idx="208">
                    <c:v>1</c:v>
                  </c:pt>
                  <c:pt idx="209">
                    <c:v>4</c:v>
                  </c:pt>
                  <c:pt idx="210">
                    <c:v>7</c:v>
                  </c:pt>
                  <c:pt idx="211">
                    <c:v>10</c:v>
                  </c:pt>
                  <c:pt idx="212">
                    <c:v>13</c:v>
                  </c:pt>
                  <c:pt idx="213">
                    <c:v>16</c:v>
                  </c:pt>
                  <c:pt idx="214">
                    <c:v>19</c:v>
                  </c:pt>
                  <c:pt idx="215">
                    <c:v>22</c:v>
                  </c:pt>
                  <c:pt idx="216">
                    <c:v>1</c:v>
                  </c:pt>
                  <c:pt idx="217">
                    <c:v>4</c:v>
                  </c:pt>
                  <c:pt idx="218">
                    <c:v>7</c:v>
                  </c:pt>
                  <c:pt idx="219">
                    <c:v>10</c:v>
                  </c:pt>
                  <c:pt idx="220">
                    <c:v>13</c:v>
                  </c:pt>
                  <c:pt idx="221">
                    <c:v>16</c:v>
                  </c:pt>
                  <c:pt idx="222">
                    <c:v>19</c:v>
                  </c:pt>
                  <c:pt idx="223">
                    <c:v>22</c:v>
                  </c:pt>
                  <c:pt idx="224">
                    <c:v>1</c:v>
                  </c:pt>
                  <c:pt idx="225">
                    <c:v>4</c:v>
                  </c:pt>
                  <c:pt idx="226">
                    <c:v>7</c:v>
                  </c:pt>
                  <c:pt idx="227">
                    <c:v>10</c:v>
                  </c:pt>
                  <c:pt idx="228">
                    <c:v>13</c:v>
                  </c:pt>
                  <c:pt idx="229">
                    <c:v>16</c:v>
                  </c:pt>
                  <c:pt idx="230">
                    <c:v>19</c:v>
                  </c:pt>
                  <c:pt idx="231">
                    <c:v>22</c:v>
                  </c:pt>
                  <c:pt idx="232">
                    <c:v>1</c:v>
                  </c:pt>
                  <c:pt idx="233">
                    <c:v>4</c:v>
                  </c:pt>
                  <c:pt idx="234">
                    <c:v>7</c:v>
                  </c:pt>
                  <c:pt idx="235">
                    <c:v>10</c:v>
                  </c:pt>
                  <c:pt idx="236">
                    <c:v>13</c:v>
                  </c:pt>
                  <c:pt idx="237">
                    <c:v>16</c:v>
                  </c:pt>
                  <c:pt idx="238">
                    <c:v>19</c:v>
                  </c:pt>
                  <c:pt idx="239">
                    <c:v>22</c:v>
                  </c:pt>
                  <c:pt idx="240">
                    <c:v>1</c:v>
                  </c:pt>
                  <c:pt idx="241">
                    <c:v>4</c:v>
                  </c:pt>
                  <c:pt idx="242">
                    <c:v>7</c:v>
                  </c:pt>
                  <c:pt idx="243">
                    <c:v>10</c:v>
                  </c:pt>
                  <c:pt idx="244">
                    <c:v>13</c:v>
                  </c:pt>
                  <c:pt idx="245">
                    <c:v>16</c:v>
                  </c:pt>
                  <c:pt idx="246">
                    <c:v>19</c:v>
                  </c:pt>
                  <c:pt idx="247">
                    <c:v>22</c:v>
                  </c:pt>
                  <c:pt idx="248">
                    <c:v>1</c:v>
                  </c:pt>
                  <c:pt idx="249">
                    <c:v>4</c:v>
                  </c:pt>
                  <c:pt idx="250">
                    <c:v>7</c:v>
                  </c:pt>
                  <c:pt idx="251">
                    <c:v>10</c:v>
                  </c:pt>
                  <c:pt idx="252">
                    <c:v>13</c:v>
                  </c:pt>
                  <c:pt idx="253">
                    <c:v>16</c:v>
                  </c:pt>
                  <c:pt idx="254">
                    <c:v>19</c:v>
                  </c:pt>
                </c:lvl>
                <c:lvl>
                  <c:pt idx="0">
                    <c:v>31</c:v>
                  </c:pt>
                  <c:pt idx="8">
                    <c:v>1</c:v>
                  </c:pt>
                  <c:pt idx="16">
                    <c:v>2</c:v>
                  </c:pt>
                  <c:pt idx="24">
                    <c:v>3</c:v>
                  </c:pt>
                  <c:pt idx="32">
                    <c:v>4</c:v>
                  </c:pt>
                  <c:pt idx="40">
                    <c:v>5</c:v>
                  </c:pt>
                  <c:pt idx="48">
                    <c:v>6</c:v>
                  </c:pt>
                  <c:pt idx="56">
                    <c:v>7</c:v>
                  </c:pt>
                  <c:pt idx="64">
                    <c:v>8</c:v>
                  </c:pt>
                  <c:pt idx="72">
                    <c:v>9</c:v>
                  </c:pt>
                  <c:pt idx="80">
                    <c:v>10</c:v>
                  </c:pt>
                  <c:pt idx="88">
                    <c:v>11</c:v>
                  </c:pt>
                  <c:pt idx="96">
                    <c:v>12</c:v>
                  </c:pt>
                  <c:pt idx="104">
                    <c:v>13</c:v>
                  </c:pt>
                  <c:pt idx="112">
                    <c:v>14</c:v>
                  </c:pt>
                  <c:pt idx="120">
                    <c:v>15</c:v>
                  </c:pt>
                  <c:pt idx="128">
                    <c:v>16</c:v>
                  </c:pt>
                  <c:pt idx="136">
                    <c:v>17</c:v>
                  </c:pt>
                  <c:pt idx="144">
                    <c:v>18</c:v>
                  </c:pt>
                  <c:pt idx="152">
                    <c:v>19</c:v>
                  </c:pt>
                  <c:pt idx="160">
                    <c:v>20</c:v>
                  </c:pt>
                  <c:pt idx="168">
                    <c:v>21</c:v>
                  </c:pt>
                  <c:pt idx="176">
                    <c:v>22</c:v>
                  </c:pt>
                  <c:pt idx="184">
                    <c:v>23</c:v>
                  </c:pt>
                  <c:pt idx="192">
                    <c:v>24</c:v>
                  </c:pt>
                  <c:pt idx="200">
                    <c:v>25</c:v>
                  </c:pt>
                  <c:pt idx="208">
                    <c:v>26</c:v>
                  </c:pt>
                  <c:pt idx="216">
                    <c:v>27</c:v>
                  </c:pt>
                  <c:pt idx="224">
                    <c:v>28</c:v>
                  </c:pt>
                  <c:pt idx="232">
                    <c:v>29</c:v>
                  </c:pt>
                  <c:pt idx="240">
                    <c:v>30</c:v>
                  </c:pt>
                  <c:pt idx="248">
                    <c:v>31</c:v>
                  </c:pt>
                </c:lvl>
              </c:multiLvlStrCache>
            </c:multiLvlStrRef>
          </c:cat>
          <c:val>
            <c:numRef>
              <c:f>'P &amp; T(1) '!$AD$10:$AD$257</c:f>
              <c:numCache>
                <c:formatCode>General</c:formatCode>
                <c:ptCount val="24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32-4E37-8046-224FBD4DE7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2622464"/>
        <c:axId val="222624000"/>
      </c:lineChart>
      <c:catAx>
        <c:axId val="222610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dP</a:t>
                </a:r>
              </a:p>
            </c:rich>
          </c:tx>
          <c:layout>
            <c:manualLayout>
              <c:xMode val="edge"/>
              <c:yMode val="edge"/>
              <c:x val="4.8918156161806212E-2"/>
              <c:y val="5.1020408163265307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22612096"/>
        <c:crosses val="autoZero"/>
        <c:auto val="0"/>
        <c:lblAlgn val="ctr"/>
        <c:lblOffset val="100"/>
        <c:tickLblSkip val="5"/>
        <c:tickMarkSkip val="1"/>
        <c:noMultiLvlLbl val="0"/>
      </c:catAx>
      <c:valAx>
        <c:axId val="22261209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.VnArial"/>
                    <a:ea typeface=".VnArial"/>
                    <a:cs typeface=".VnArial"/>
                  </a:defRPr>
                </a:pPr>
                <a:r>
                  <a:t>Ngay, gio</a:t>
                </a:r>
              </a:p>
            </c:rich>
          </c:tx>
          <c:layout>
            <c:manualLayout>
              <c:xMode val="edge"/>
              <c:yMode val="edge"/>
              <c:x val="0.48635936030103483"/>
              <c:y val="0.9664723032069970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22610176"/>
        <c:crosses val="autoZero"/>
        <c:crossBetween val="between"/>
      </c:valAx>
      <c:catAx>
        <c:axId val="222622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22624000"/>
        <c:crosses val="autoZero"/>
        <c:auto val="0"/>
        <c:lblAlgn val="ctr"/>
        <c:lblOffset val="100"/>
        <c:noMultiLvlLbl val="0"/>
      </c:catAx>
      <c:valAx>
        <c:axId val="222624000"/>
        <c:scaling>
          <c:orientation val="minMax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FF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.VnArial"/>
                <a:ea typeface=".VnArial"/>
                <a:cs typeface=".VnArial"/>
              </a:defRPr>
            </a:pPr>
            <a:endParaRPr lang="en-US"/>
          </a:p>
        </c:txPr>
        <c:crossAx val="22262246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.VnArial"/>
          <a:ea typeface=".VnArial"/>
          <a:cs typeface=".VnArial"/>
        </a:defRPr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5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6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7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8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9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0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1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5"/>
  <sheetViews>
    <sheetView workbookViewId="0"/>
  </sheetViews>
  <sheetProtection password="CF09" content="1" objects="1"/>
  <pageMargins left="0.25" right="0.25" top="0.5" bottom="0.5" header="0" footer="0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56"/>
  <sheetViews>
    <sheetView workbookViewId="0"/>
  </sheetViews>
  <sheetProtection password="CF09" content="1" objects="1"/>
  <pageMargins left="0.75" right="0.75" top="1" bottom="1" header="0.5" footer="0.5"/>
  <pageSetup paperSize="9" orientation="landscape" horizontalDpi="300" verticalDpi="300" r:id="rId1"/>
  <headerFooter alignWithMargins="0">
    <oddHeader>Sè liÖu Thèng kª nhanh</oddHeader>
    <oddFooter>Prepared by Duc Hau &amp;D&amp;RPage &amp;P</oddFoot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57"/>
  <sheetViews>
    <sheetView workbookViewId="0"/>
  </sheetViews>
  <pageMargins left="0.75" right="0.75" top="1" bottom="1" header="0.5" footer="0.5"/>
  <pageSetup paperSize="9" orientation="landscape" horizontalDpi="300" verticalDpi="300" r:id="rId1"/>
  <headerFooter alignWithMargins="0">
    <oddHeader>Sè liÖu Thèng kª nhanh</oddHeader>
    <oddFooter>Prepared by Duc Hau &amp;D&amp;RPage &amp;P</oddFooter>
  </headerFooter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58"/>
  <sheetViews>
    <sheetView workbookViewId="0"/>
  </sheetViews>
  <sheetProtection password="CF09" content="1" objects="1"/>
  <pageMargins left="0.25" right="0.25" top="0.5" bottom="0.5" header="0" footer="0"/>
  <pageSetup paperSize="9" orientation="landscape" r:id="rId1"/>
  <headerFooter alignWithMargins="0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59"/>
  <sheetViews>
    <sheetView workbookViewId="0"/>
  </sheetViews>
  <pageMargins left="0.25" right="0.25" top="0.5" bottom="0.5" header="0" footer="0"/>
  <pageSetup paperSize="9" orientation="landscape" r:id="rId1"/>
  <headerFooter alignWithMargins="0"/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60"/>
  <sheetViews>
    <sheetView workbookViewId="0"/>
  </sheetViews>
  <pageMargins left="0.25" right="0.25" top="0.5" bottom="0.5" header="0" footer="0"/>
  <pageSetup paperSize="9" orientation="landscape" r:id="rId1"/>
  <headerFooter alignWithMargins="0"/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61"/>
  <sheetViews>
    <sheetView workbookViewId="0"/>
  </sheetViews>
  <pageMargins left="0.25" right="0.25" top="0.5" bottom="0.5" header="0" footer="0"/>
  <pageSetup paperSize="9" orientation="landscape" r:id="rId1"/>
  <headerFooter alignWithMargins="0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0125075" cy="6534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10125075" cy="6534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10125075" cy="6534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10125075" cy="6534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10125075" cy="65341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47"/>
  <sheetViews>
    <sheetView zoomScaleNormal="100" workbookViewId="0">
      <selection activeCell="AH19" sqref="AH19"/>
    </sheetView>
  </sheetViews>
  <sheetFormatPr defaultColWidth="6" defaultRowHeight="11.25"/>
  <cols>
    <col min="1" max="1" width="12" style="10" customWidth="1"/>
    <col min="2" max="2" width="6" style="10"/>
    <col min="3" max="31" width="6" style="9"/>
    <col min="32" max="32" width="6.5" style="9" customWidth="1"/>
    <col min="33" max="33" width="6" style="9"/>
    <col min="34" max="34" width="9.1640625" style="9" customWidth="1"/>
    <col min="35" max="16384" width="6" style="9"/>
  </cols>
  <sheetData>
    <row r="1" spans="1:64" ht="6.75" customHeight="1"/>
    <row r="2" spans="1:64" ht="6.75" customHeight="1">
      <c r="A2" s="27"/>
      <c r="B2" s="27"/>
      <c r="C2" s="8"/>
    </row>
    <row r="3" spans="1:64" ht="12" thickBot="1"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</row>
    <row r="4" spans="1:64" ht="21" customHeight="1" thickBot="1">
      <c r="A4" s="11"/>
      <c r="B4" s="28">
        <v>1</v>
      </c>
      <c r="C4" s="13">
        <v>2</v>
      </c>
      <c r="D4" s="13">
        <v>3</v>
      </c>
      <c r="E4" s="13">
        <v>4</v>
      </c>
      <c r="F4" s="13">
        <v>5</v>
      </c>
      <c r="G4" s="13">
        <v>6</v>
      </c>
      <c r="H4" s="13">
        <v>7</v>
      </c>
      <c r="I4" s="13">
        <v>8</v>
      </c>
      <c r="J4" s="13">
        <v>9</v>
      </c>
      <c r="K4" s="13">
        <v>10</v>
      </c>
      <c r="L4" s="13">
        <v>11</v>
      </c>
      <c r="M4" s="13">
        <v>12</v>
      </c>
      <c r="N4" s="13">
        <v>13</v>
      </c>
      <c r="O4" s="13">
        <v>14</v>
      </c>
      <c r="P4" s="13">
        <v>15</v>
      </c>
      <c r="Q4" s="13">
        <v>16</v>
      </c>
      <c r="R4" s="13">
        <v>17</v>
      </c>
      <c r="S4" s="13">
        <v>18</v>
      </c>
      <c r="T4" s="13">
        <v>19</v>
      </c>
      <c r="U4" s="13">
        <v>20</v>
      </c>
      <c r="V4" s="13">
        <v>21</v>
      </c>
      <c r="W4" s="13">
        <v>22</v>
      </c>
      <c r="X4" s="13">
        <v>23</v>
      </c>
      <c r="Y4" s="13">
        <v>24</v>
      </c>
      <c r="Z4" s="13">
        <v>25</v>
      </c>
      <c r="AA4" s="13">
        <v>26</v>
      </c>
      <c r="AB4" s="13">
        <v>27</v>
      </c>
      <c r="AC4" s="13">
        <v>28</v>
      </c>
      <c r="AD4" s="13">
        <v>29</v>
      </c>
      <c r="AE4" s="13">
        <v>30</v>
      </c>
      <c r="AF4" s="14">
        <v>31</v>
      </c>
      <c r="AG4" s="15"/>
      <c r="AH4" s="16" t="s">
        <v>18</v>
      </c>
      <c r="AI4" s="15"/>
      <c r="AJ4" s="15"/>
      <c r="AK4" s="15"/>
      <c r="AL4" s="16"/>
      <c r="AM4" s="15"/>
      <c r="AN4" s="15"/>
      <c r="AO4" s="15"/>
      <c r="AP4" s="15"/>
      <c r="AQ4" s="15"/>
      <c r="AR4" s="15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s="21" customFormat="1" ht="15.75" customHeight="1" thickTop="1" thickBot="1">
      <c r="A5" s="17" t="s">
        <v>19</v>
      </c>
      <c r="B5" s="29" t="s">
        <v>20</v>
      </c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9"/>
      <c r="AG5" s="26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</row>
    <row r="6" spans="1:64" ht="13.5" thickTop="1">
      <c r="A6" s="183" t="s">
        <v>128</v>
      </c>
      <c r="B6" s="22" t="str">
        <f>ngay01!K4</f>
        <v xml:space="preserve"> </v>
      </c>
      <c r="C6" s="22" t="str">
        <f>ngay02!K4</f>
        <v xml:space="preserve"> </v>
      </c>
      <c r="D6" s="22" t="str">
        <f>ngay03!K4</f>
        <v xml:space="preserve"> </v>
      </c>
      <c r="E6" s="22" t="str">
        <f>ngay04!K4</f>
        <v xml:space="preserve"> </v>
      </c>
      <c r="F6" s="22" t="str">
        <f>ngay05!K4</f>
        <v xml:space="preserve"> </v>
      </c>
      <c r="G6" s="22" t="str">
        <f>ngay06!K4</f>
        <v xml:space="preserve"> </v>
      </c>
      <c r="H6" s="22" t="str">
        <f>ngay07!K4</f>
        <v xml:space="preserve"> </v>
      </c>
      <c r="I6" s="22" t="str">
        <f>ngay08!K4</f>
        <v xml:space="preserve"> </v>
      </c>
      <c r="J6" s="22" t="str">
        <f>ngay09!K4</f>
        <v xml:space="preserve"> </v>
      </c>
      <c r="K6" s="22" t="str">
        <f>ngay10!K4</f>
        <v xml:space="preserve"> </v>
      </c>
      <c r="L6" s="7" t="str">
        <f>ngay11!K4</f>
        <v xml:space="preserve"> </v>
      </c>
      <c r="M6" s="7" t="str">
        <f>ngay12!K4</f>
        <v xml:space="preserve"> </v>
      </c>
      <c r="N6" s="7" t="str">
        <f>ngay13!K4</f>
        <v xml:space="preserve"> </v>
      </c>
      <c r="O6" s="7" t="str">
        <f>ngay14!K4</f>
        <v xml:space="preserve"> </v>
      </c>
      <c r="P6" s="7" t="str">
        <f>ngay15!K4</f>
        <v xml:space="preserve"> </v>
      </c>
      <c r="Q6" s="7" t="str">
        <f>ngay16!K4</f>
        <v xml:space="preserve"> </v>
      </c>
      <c r="R6" s="7" t="str">
        <f>ngay17!K4</f>
        <v xml:space="preserve"> </v>
      </c>
      <c r="S6" s="7" t="str">
        <f>ngay18!K4</f>
        <v xml:space="preserve"> </v>
      </c>
      <c r="T6" s="7" t="str">
        <f>ngay19!K4</f>
        <v xml:space="preserve"> </v>
      </c>
      <c r="U6" s="7" t="str">
        <f>ngay20!K4</f>
        <v xml:space="preserve"> </v>
      </c>
      <c r="V6" s="7" t="str">
        <f>ngay21!K4</f>
        <v xml:space="preserve"> </v>
      </c>
      <c r="W6" s="7" t="str">
        <f>ngay22!K4</f>
        <v xml:space="preserve"> </v>
      </c>
      <c r="X6" s="7" t="str">
        <f>ngay23!K4</f>
        <v xml:space="preserve"> </v>
      </c>
      <c r="Y6" s="7" t="str">
        <f>ngay24!K4</f>
        <v xml:space="preserve"> </v>
      </c>
      <c r="Z6" s="7" t="str">
        <f>ngay25!K4</f>
        <v xml:space="preserve"> </v>
      </c>
      <c r="AA6" s="7" t="str">
        <f>ngay26!K4</f>
        <v xml:space="preserve"> </v>
      </c>
      <c r="AB6" s="7" t="str">
        <f>ngay27!K4</f>
        <v xml:space="preserve"> </v>
      </c>
      <c r="AC6" s="7" t="str">
        <f>ngay28!K4</f>
        <v xml:space="preserve"> </v>
      </c>
      <c r="AD6" s="7" t="str">
        <f>ngay29!K4</f>
        <v xml:space="preserve"> </v>
      </c>
      <c r="AE6" s="7" t="str">
        <f>ngay30!K4</f>
        <v xml:space="preserve"> </v>
      </c>
      <c r="AF6" s="7" t="str">
        <f>ngay31!K4</f>
        <v xml:space="preserve"> </v>
      </c>
      <c r="AG6" s="22"/>
      <c r="AH6" s="23" t="str">
        <f>IF(COUNT(B6:AF6)&gt;0,AVERAGE(B6:AF6)," ")</f>
        <v xml:space="preserve"> </v>
      </c>
      <c r="AI6" s="22"/>
      <c r="AJ6" s="10"/>
      <c r="AK6" s="10"/>
      <c r="AL6" s="10"/>
      <c r="AM6" s="10"/>
      <c r="AN6" s="10"/>
      <c r="AO6" s="10"/>
      <c r="AP6" s="10"/>
      <c r="AQ6" s="10"/>
      <c r="AR6" s="10"/>
      <c r="AS6" s="10"/>
    </row>
    <row r="7" spans="1:64" ht="12.75">
      <c r="A7" s="183" t="s">
        <v>129</v>
      </c>
      <c r="B7" s="22" t="str">
        <f>ngay01!K5</f>
        <v xml:space="preserve"> </v>
      </c>
      <c r="C7" s="22" t="str">
        <f>ngay02!K5</f>
        <v xml:space="preserve"> </v>
      </c>
      <c r="D7" s="22" t="str">
        <f>ngay03!K5</f>
        <v xml:space="preserve"> </v>
      </c>
      <c r="E7" s="22" t="str">
        <f>ngay04!K5</f>
        <v xml:space="preserve"> </v>
      </c>
      <c r="F7" s="22" t="str">
        <f>ngay05!K5</f>
        <v xml:space="preserve"> </v>
      </c>
      <c r="G7" s="22" t="str">
        <f>ngay06!K5</f>
        <v xml:space="preserve"> </v>
      </c>
      <c r="H7" s="22" t="str">
        <f>ngay07!K5</f>
        <v xml:space="preserve"> </v>
      </c>
      <c r="I7" s="22" t="str">
        <f>ngay08!K5</f>
        <v xml:space="preserve"> </v>
      </c>
      <c r="J7" s="22" t="str">
        <f>ngay09!K5</f>
        <v xml:space="preserve"> </v>
      </c>
      <c r="K7" s="22" t="str">
        <f>ngay10!K5</f>
        <v xml:space="preserve"> </v>
      </c>
      <c r="L7" s="7" t="str">
        <f>ngay11!K5</f>
        <v xml:space="preserve"> </v>
      </c>
      <c r="M7" s="7" t="str">
        <f>ngay12!K5</f>
        <v xml:space="preserve"> </v>
      </c>
      <c r="N7" s="7" t="str">
        <f>ngay13!K5</f>
        <v xml:space="preserve"> </v>
      </c>
      <c r="O7" s="7" t="str">
        <f>ngay14!K5</f>
        <v xml:space="preserve"> </v>
      </c>
      <c r="P7" s="7" t="str">
        <f>ngay15!K5</f>
        <v xml:space="preserve"> </v>
      </c>
      <c r="Q7" s="7" t="str">
        <f>ngay16!K5</f>
        <v xml:space="preserve"> </v>
      </c>
      <c r="R7" s="7" t="str">
        <f>ngay17!K5</f>
        <v xml:space="preserve"> </v>
      </c>
      <c r="S7" s="7" t="str">
        <f>ngay18!K5</f>
        <v xml:space="preserve"> </v>
      </c>
      <c r="T7" s="7" t="str">
        <f>ngay19!K5</f>
        <v xml:space="preserve"> </v>
      </c>
      <c r="U7" s="7" t="str">
        <f>ngay20!K5</f>
        <v xml:space="preserve"> </v>
      </c>
      <c r="V7" s="7" t="str">
        <f>ngay21!K5</f>
        <v xml:space="preserve"> </v>
      </c>
      <c r="W7" s="7" t="str">
        <f>ngay22!K5</f>
        <v xml:space="preserve"> </v>
      </c>
      <c r="X7" s="7" t="str">
        <f>ngay23!K5</f>
        <v xml:space="preserve"> </v>
      </c>
      <c r="Y7" s="7" t="str">
        <f>ngay24!K5</f>
        <v xml:space="preserve"> </v>
      </c>
      <c r="Z7" s="7" t="str">
        <f>ngay25!K5</f>
        <v xml:space="preserve"> </v>
      </c>
      <c r="AA7" s="7" t="str">
        <f>ngay26!K5</f>
        <v xml:space="preserve"> </v>
      </c>
      <c r="AB7" s="7" t="str">
        <f>ngay27!K5</f>
        <v xml:space="preserve"> </v>
      </c>
      <c r="AC7" s="7" t="str">
        <f>ngay28!K5</f>
        <v xml:space="preserve"> </v>
      </c>
      <c r="AD7" s="7" t="str">
        <f>ngay29!K5</f>
        <v xml:space="preserve"> </v>
      </c>
      <c r="AE7" s="7" t="str">
        <f>ngay30!K5</f>
        <v xml:space="preserve"> </v>
      </c>
      <c r="AF7" s="7" t="str">
        <f>ngay31!K5</f>
        <v xml:space="preserve"> </v>
      </c>
      <c r="AG7" s="22"/>
      <c r="AH7" s="23" t="str">
        <f>IF(COUNT(B7:AF7)&gt;0,AVERAGE(B7:AF7)," ")</f>
        <v xml:space="preserve"> </v>
      </c>
      <c r="AI7" s="22"/>
      <c r="AJ7" s="10"/>
      <c r="AK7" s="10"/>
      <c r="AL7" s="10"/>
      <c r="AM7" s="10"/>
      <c r="AN7" s="10"/>
      <c r="AO7" s="10"/>
      <c r="AP7" s="10"/>
      <c r="AQ7" s="10"/>
      <c r="AR7" s="10"/>
      <c r="AS7" s="10"/>
    </row>
    <row r="8" spans="1:64" ht="12.75">
      <c r="A8" s="184" t="s">
        <v>130</v>
      </c>
      <c r="B8" s="22" t="str">
        <f>ngay01!K6</f>
        <v xml:space="preserve"> </v>
      </c>
      <c r="C8" s="22" t="str">
        <f>ngay02!K6</f>
        <v xml:space="preserve"> </v>
      </c>
      <c r="D8" s="22" t="str">
        <f>ngay03!K6</f>
        <v xml:space="preserve"> </v>
      </c>
      <c r="E8" s="22" t="str">
        <f>ngay04!K6</f>
        <v xml:space="preserve"> </v>
      </c>
      <c r="F8" s="22" t="str">
        <f>ngay05!K6</f>
        <v xml:space="preserve"> </v>
      </c>
      <c r="G8" s="22" t="str">
        <f>ngay06!K6</f>
        <v xml:space="preserve"> </v>
      </c>
      <c r="H8" s="22" t="str">
        <f>ngay07!K6</f>
        <v xml:space="preserve"> </v>
      </c>
      <c r="I8" s="22" t="str">
        <f>ngay08!K6</f>
        <v xml:space="preserve"> </v>
      </c>
      <c r="J8" s="22" t="str">
        <f>ngay09!K6</f>
        <v xml:space="preserve"> </v>
      </c>
      <c r="K8" s="22" t="str">
        <f>ngay10!K6</f>
        <v xml:space="preserve"> </v>
      </c>
      <c r="L8" s="7" t="str">
        <f>ngay11!K6</f>
        <v xml:space="preserve"> </v>
      </c>
      <c r="M8" s="7" t="str">
        <f>ngay12!K6</f>
        <v xml:space="preserve"> </v>
      </c>
      <c r="N8" s="7" t="str">
        <f>ngay13!K6</f>
        <v xml:space="preserve"> </v>
      </c>
      <c r="O8" s="7" t="str">
        <f>ngay14!K6</f>
        <v xml:space="preserve"> </v>
      </c>
      <c r="P8" s="7" t="str">
        <f>ngay15!K6</f>
        <v xml:space="preserve"> </v>
      </c>
      <c r="Q8" s="7" t="str">
        <f>ngay16!K6</f>
        <v xml:space="preserve"> </v>
      </c>
      <c r="R8" s="7" t="str">
        <f>ngay17!K6</f>
        <v xml:space="preserve"> </v>
      </c>
      <c r="S8" s="7" t="str">
        <f>ngay18!K6</f>
        <v xml:space="preserve"> </v>
      </c>
      <c r="T8" s="7" t="str">
        <f>ngay19!K6</f>
        <v xml:space="preserve"> </v>
      </c>
      <c r="U8" s="7" t="str">
        <f>ngay20!K6</f>
        <v xml:space="preserve"> </v>
      </c>
      <c r="V8" s="7" t="str">
        <f>ngay21!K6</f>
        <v xml:space="preserve"> </v>
      </c>
      <c r="W8" s="7" t="str">
        <f>ngay22!K6</f>
        <v xml:space="preserve"> </v>
      </c>
      <c r="X8" s="7" t="str">
        <f>ngay23!K6</f>
        <v xml:space="preserve"> </v>
      </c>
      <c r="Y8" s="7" t="str">
        <f>ngay24!K6</f>
        <v xml:space="preserve"> </v>
      </c>
      <c r="Z8" s="7" t="str">
        <f>ngay25!K6</f>
        <v xml:space="preserve"> </v>
      </c>
      <c r="AA8" s="7" t="str">
        <f>ngay26!K6</f>
        <v xml:space="preserve"> </v>
      </c>
      <c r="AB8" s="7" t="str">
        <f>ngay27!K6</f>
        <v xml:space="preserve"> </v>
      </c>
      <c r="AC8" s="7" t="str">
        <f>ngay28!K6</f>
        <v xml:space="preserve"> </v>
      </c>
      <c r="AD8" s="7" t="str">
        <f>ngay29!K6</f>
        <v xml:space="preserve"> </v>
      </c>
      <c r="AE8" s="7" t="str">
        <f>ngay30!K6</f>
        <v xml:space="preserve"> </v>
      </c>
      <c r="AF8" s="7" t="str">
        <f>ngay31!K6</f>
        <v xml:space="preserve"> </v>
      </c>
      <c r="AG8" s="22"/>
      <c r="AH8" s="23" t="str">
        <f t="shared" ref="AH8:AH27" si="0">IF(COUNT(B8:AF8)&gt;0,AVERAGE(B8:AF8)," ")</f>
        <v xml:space="preserve"> </v>
      </c>
      <c r="AI8" s="22"/>
      <c r="AJ8" s="10"/>
      <c r="AK8" s="10"/>
      <c r="AL8" s="10"/>
      <c r="AM8" s="10"/>
      <c r="AN8" s="10"/>
      <c r="AO8" s="10"/>
      <c r="AP8" s="10"/>
      <c r="AQ8" s="10"/>
      <c r="AR8" s="10"/>
      <c r="AS8" s="10"/>
    </row>
    <row r="9" spans="1:64" ht="12.75">
      <c r="A9" s="183" t="s">
        <v>131</v>
      </c>
      <c r="B9" s="22" t="str">
        <f>ngay01!K7</f>
        <v xml:space="preserve"> </v>
      </c>
      <c r="C9" s="22" t="str">
        <f>ngay02!K7</f>
        <v xml:space="preserve"> </v>
      </c>
      <c r="D9" s="22" t="str">
        <f>ngay03!K7</f>
        <v xml:space="preserve"> </v>
      </c>
      <c r="E9" s="22" t="str">
        <f>ngay04!K7</f>
        <v xml:space="preserve"> </v>
      </c>
      <c r="F9" s="22" t="str">
        <f>ngay05!K7</f>
        <v xml:space="preserve"> </v>
      </c>
      <c r="G9" s="22" t="str">
        <f>ngay06!K7</f>
        <v xml:space="preserve"> </v>
      </c>
      <c r="H9" s="22" t="str">
        <f>ngay07!K7</f>
        <v xml:space="preserve"> </v>
      </c>
      <c r="I9" s="22" t="str">
        <f>ngay08!K7</f>
        <v xml:space="preserve"> </v>
      </c>
      <c r="J9" s="22" t="str">
        <f>ngay09!K7</f>
        <v xml:space="preserve"> </v>
      </c>
      <c r="K9" s="22" t="str">
        <f>ngay10!K7</f>
        <v xml:space="preserve"> </v>
      </c>
      <c r="L9" s="7" t="str">
        <f>ngay11!K7</f>
        <v xml:space="preserve"> </v>
      </c>
      <c r="M9" s="7" t="str">
        <f>ngay12!K7</f>
        <v xml:space="preserve"> </v>
      </c>
      <c r="N9" s="7" t="str">
        <f>ngay13!K7</f>
        <v xml:space="preserve"> </v>
      </c>
      <c r="O9" s="7" t="str">
        <f>ngay14!K7</f>
        <v xml:space="preserve"> </v>
      </c>
      <c r="P9" s="7" t="str">
        <f>ngay15!K7</f>
        <v xml:space="preserve"> </v>
      </c>
      <c r="Q9" s="7" t="str">
        <f>ngay16!K7</f>
        <v xml:space="preserve"> </v>
      </c>
      <c r="R9" s="7" t="str">
        <f>ngay17!K7</f>
        <v xml:space="preserve"> </v>
      </c>
      <c r="S9" s="7" t="str">
        <f>ngay18!K7</f>
        <v xml:space="preserve"> </v>
      </c>
      <c r="T9" s="7" t="str">
        <f>ngay19!K7</f>
        <v xml:space="preserve"> </v>
      </c>
      <c r="U9" s="7" t="str">
        <f>ngay20!K7</f>
        <v xml:space="preserve"> </v>
      </c>
      <c r="V9" s="7" t="str">
        <f>ngay21!K7</f>
        <v xml:space="preserve"> </v>
      </c>
      <c r="W9" s="7" t="str">
        <f>ngay22!K7</f>
        <v xml:space="preserve"> </v>
      </c>
      <c r="X9" s="7" t="str">
        <f>ngay23!K7</f>
        <v xml:space="preserve"> </v>
      </c>
      <c r="Y9" s="7" t="str">
        <f>ngay24!K7</f>
        <v xml:space="preserve"> </v>
      </c>
      <c r="Z9" s="7" t="str">
        <f>ngay25!K7</f>
        <v xml:space="preserve"> </v>
      </c>
      <c r="AA9" s="7" t="str">
        <f>ngay26!K7</f>
        <v xml:space="preserve"> </v>
      </c>
      <c r="AB9" s="7" t="str">
        <f>ngay27!K7</f>
        <v xml:space="preserve"> </v>
      </c>
      <c r="AC9" s="7" t="str">
        <f>ngay28!K7</f>
        <v xml:space="preserve"> </v>
      </c>
      <c r="AD9" s="7" t="str">
        <f>ngay29!K7</f>
        <v xml:space="preserve"> </v>
      </c>
      <c r="AE9" s="7" t="str">
        <f>ngay30!K7</f>
        <v xml:space="preserve"> </v>
      </c>
      <c r="AF9" s="7" t="str">
        <f>ngay31!K7</f>
        <v xml:space="preserve"> </v>
      </c>
      <c r="AG9" s="22"/>
      <c r="AH9" s="23" t="str">
        <f t="shared" si="0"/>
        <v xml:space="preserve"> </v>
      </c>
      <c r="AI9" s="22"/>
      <c r="AJ9" s="10"/>
      <c r="AK9" s="10"/>
      <c r="AL9" s="10"/>
      <c r="AM9" s="10"/>
      <c r="AN9" s="10"/>
      <c r="AO9" s="10"/>
      <c r="AP9" s="10"/>
      <c r="AQ9" s="10"/>
      <c r="AR9" s="10"/>
      <c r="AS9" s="10"/>
    </row>
    <row r="10" spans="1:64" ht="12.75">
      <c r="A10" s="183" t="s">
        <v>132</v>
      </c>
      <c r="B10" s="22" t="str">
        <f>ngay01!K8</f>
        <v xml:space="preserve"> </v>
      </c>
      <c r="C10" s="22" t="str">
        <f>ngay02!K8</f>
        <v xml:space="preserve"> </v>
      </c>
      <c r="D10" s="22" t="str">
        <f>ngay03!K8</f>
        <v xml:space="preserve"> </v>
      </c>
      <c r="E10" s="22" t="str">
        <f>ngay04!K8</f>
        <v xml:space="preserve"> </v>
      </c>
      <c r="F10" s="22" t="str">
        <f>ngay05!K8</f>
        <v xml:space="preserve"> </v>
      </c>
      <c r="G10" s="22" t="str">
        <f>ngay06!K8</f>
        <v xml:space="preserve"> </v>
      </c>
      <c r="H10" s="22" t="str">
        <f>ngay07!K8</f>
        <v xml:space="preserve"> </v>
      </c>
      <c r="I10" s="22" t="str">
        <f>ngay08!K8</f>
        <v xml:space="preserve"> </v>
      </c>
      <c r="J10" s="22" t="str">
        <f>ngay09!K8</f>
        <v xml:space="preserve"> </v>
      </c>
      <c r="K10" s="22" t="str">
        <f>ngay10!K8</f>
        <v xml:space="preserve"> </v>
      </c>
      <c r="L10" s="7" t="str">
        <f>ngay11!K8</f>
        <v xml:space="preserve"> </v>
      </c>
      <c r="M10" s="7" t="str">
        <f>ngay12!K8</f>
        <v xml:space="preserve"> </v>
      </c>
      <c r="N10" s="7" t="str">
        <f>ngay13!K8</f>
        <v xml:space="preserve"> </v>
      </c>
      <c r="O10" s="7" t="str">
        <f>ngay14!K8</f>
        <v xml:space="preserve"> </v>
      </c>
      <c r="P10" s="7" t="str">
        <f>ngay15!K8</f>
        <v xml:space="preserve"> </v>
      </c>
      <c r="Q10" s="7" t="str">
        <f>ngay16!K8</f>
        <v xml:space="preserve"> </v>
      </c>
      <c r="R10" s="7" t="str">
        <f>ngay17!K8</f>
        <v xml:space="preserve"> </v>
      </c>
      <c r="S10" s="7" t="str">
        <f>ngay18!K8</f>
        <v xml:space="preserve"> </v>
      </c>
      <c r="T10" s="7" t="str">
        <f>ngay19!K8</f>
        <v xml:space="preserve"> </v>
      </c>
      <c r="U10" s="7" t="str">
        <f>ngay20!K8</f>
        <v xml:space="preserve"> </v>
      </c>
      <c r="V10" s="7" t="str">
        <f>ngay21!K8</f>
        <v xml:space="preserve"> </v>
      </c>
      <c r="W10" s="7" t="str">
        <f>ngay22!K8</f>
        <v xml:space="preserve"> </v>
      </c>
      <c r="X10" s="7" t="str">
        <f>ngay23!K8</f>
        <v xml:space="preserve"> </v>
      </c>
      <c r="Y10" s="7" t="str">
        <f>ngay24!K8</f>
        <v xml:space="preserve"> </v>
      </c>
      <c r="Z10" s="7" t="str">
        <f>ngay25!K8</f>
        <v xml:space="preserve"> </v>
      </c>
      <c r="AA10" s="7" t="str">
        <f>ngay26!K8</f>
        <v xml:space="preserve"> </v>
      </c>
      <c r="AB10" s="7" t="str">
        <f>ngay27!K8</f>
        <v xml:space="preserve"> </v>
      </c>
      <c r="AC10" s="7" t="str">
        <f>ngay28!K8</f>
        <v xml:space="preserve"> </v>
      </c>
      <c r="AD10" s="7" t="str">
        <f>ngay29!K8</f>
        <v xml:space="preserve"> </v>
      </c>
      <c r="AE10" s="7" t="str">
        <f>ngay30!K8</f>
        <v xml:space="preserve"> </v>
      </c>
      <c r="AF10" s="7" t="str">
        <f>ngay31!K8</f>
        <v xml:space="preserve"> </v>
      </c>
      <c r="AG10" s="22"/>
      <c r="AH10" s="23" t="str">
        <f t="shared" si="0"/>
        <v xml:space="preserve"> </v>
      </c>
      <c r="AI10" s="22"/>
      <c r="AJ10" s="10"/>
      <c r="AK10" s="10"/>
      <c r="AL10" s="10"/>
      <c r="AM10" s="10"/>
      <c r="AN10" s="10"/>
      <c r="AO10" s="10"/>
      <c r="AP10" s="10"/>
      <c r="AQ10" s="10"/>
      <c r="AR10" s="10"/>
      <c r="AS10" s="10"/>
    </row>
    <row r="11" spans="1:64" ht="12.75">
      <c r="A11" s="183" t="s">
        <v>133</v>
      </c>
      <c r="B11" s="22" t="str">
        <f>ngay01!K9</f>
        <v xml:space="preserve"> </v>
      </c>
      <c r="C11" s="22" t="str">
        <f>ngay02!K9</f>
        <v xml:space="preserve"> </v>
      </c>
      <c r="D11" s="22" t="str">
        <f>ngay03!K9</f>
        <v xml:space="preserve"> </v>
      </c>
      <c r="E11" s="22" t="str">
        <f>ngay04!K9</f>
        <v xml:space="preserve"> </v>
      </c>
      <c r="F11" s="22" t="str">
        <f>ngay05!K9</f>
        <v xml:space="preserve"> </v>
      </c>
      <c r="G11" s="22" t="str">
        <f>ngay06!K9</f>
        <v xml:space="preserve"> </v>
      </c>
      <c r="H11" s="22" t="str">
        <f>ngay07!K9</f>
        <v xml:space="preserve"> </v>
      </c>
      <c r="I11" s="22" t="str">
        <f>ngay08!K9</f>
        <v xml:space="preserve"> </v>
      </c>
      <c r="J11" s="22" t="str">
        <f>ngay09!K9</f>
        <v xml:space="preserve"> </v>
      </c>
      <c r="K11" s="22" t="str">
        <f>ngay10!K9</f>
        <v xml:space="preserve"> </v>
      </c>
      <c r="L11" s="7" t="str">
        <f>ngay11!K9</f>
        <v xml:space="preserve"> </v>
      </c>
      <c r="M11" s="7" t="str">
        <f>ngay12!K9</f>
        <v xml:space="preserve"> </v>
      </c>
      <c r="N11" s="7" t="str">
        <f>ngay13!K9</f>
        <v xml:space="preserve"> </v>
      </c>
      <c r="O11" s="7" t="str">
        <f>ngay14!K9</f>
        <v xml:space="preserve"> </v>
      </c>
      <c r="P11" s="7" t="str">
        <f>ngay15!K9</f>
        <v xml:space="preserve"> </v>
      </c>
      <c r="Q11" s="7" t="str">
        <f>ngay16!K9</f>
        <v xml:space="preserve"> </v>
      </c>
      <c r="R11" s="7" t="str">
        <f>ngay17!K9</f>
        <v xml:space="preserve"> </v>
      </c>
      <c r="S11" s="7" t="str">
        <f>ngay18!K9</f>
        <v xml:space="preserve"> </v>
      </c>
      <c r="T11" s="7" t="str">
        <f>ngay19!K9</f>
        <v xml:space="preserve"> </v>
      </c>
      <c r="U11" s="7" t="str">
        <f>ngay20!K9</f>
        <v xml:space="preserve"> </v>
      </c>
      <c r="V11" s="7" t="str">
        <f>ngay21!K9</f>
        <v xml:space="preserve"> </v>
      </c>
      <c r="W11" s="7" t="str">
        <f>ngay22!K9</f>
        <v xml:space="preserve"> </v>
      </c>
      <c r="X11" s="7" t="str">
        <f>ngay23!K9</f>
        <v xml:space="preserve"> </v>
      </c>
      <c r="Y11" s="7" t="str">
        <f>ngay24!K9</f>
        <v xml:space="preserve"> </v>
      </c>
      <c r="Z11" s="7" t="str">
        <f>ngay25!K9</f>
        <v xml:space="preserve"> </v>
      </c>
      <c r="AA11" s="7" t="str">
        <f>ngay26!K9</f>
        <v xml:space="preserve"> </v>
      </c>
      <c r="AB11" s="7" t="str">
        <f>ngay27!K9</f>
        <v xml:space="preserve"> </v>
      </c>
      <c r="AC11" s="7" t="str">
        <f>ngay28!K9</f>
        <v xml:space="preserve"> </v>
      </c>
      <c r="AD11" s="7" t="str">
        <f>ngay29!K9</f>
        <v xml:space="preserve"> </v>
      </c>
      <c r="AE11" s="7" t="str">
        <f>ngay30!K9</f>
        <v xml:space="preserve"> </v>
      </c>
      <c r="AF11" s="7" t="str">
        <f>ngay31!K9</f>
        <v xml:space="preserve"> </v>
      </c>
      <c r="AG11" s="22"/>
      <c r="AH11" s="23" t="str">
        <f t="shared" si="0"/>
        <v xml:space="preserve"> </v>
      </c>
      <c r="AI11" s="22"/>
      <c r="AJ11" s="10"/>
      <c r="AK11" s="10"/>
      <c r="AL11" s="10"/>
      <c r="AM11" s="10"/>
      <c r="AN11" s="10"/>
      <c r="AO11" s="10"/>
      <c r="AP11" s="10"/>
      <c r="AQ11" s="10"/>
      <c r="AR11" s="10"/>
      <c r="AS11" s="10"/>
    </row>
    <row r="12" spans="1:64" ht="12.75">
      <c r="A12" s="183" t="s">
        <v>134</v>
      </c>
      <c r="B12" s="22" t="str">
        <f>ngay01!K10</f>
        <v xml:space="preserve"> </v>
      </c>
      <c r="C12" s="22" t="str">
        <f>ngay02!K10</f>
        <v xml:space="preserve"> </v>
      </c>
      <c r="D12" s="22" t="str">
        <f>ngay03!K10</f>
        <v xml:space="preserve"> </v>
      </c>
      <c r="E12" s="22" t="str">
        <f>ngay04!K10</f>
        <v xml:space="preserve"> </v>
      </c>
      <c r="F12" s="22" t="str">
        <f>ngay05!K10</f>
        <v xml:space="preserve"> </v>
      </c>
      <c r="G12" s="22" t="str">
        <f>ngay06!K10</f>
        <v xml:space="preserve"> </v>
      </c>
      <c r="H12" s="22" t="str">
        <f>ngay07!K10</f>
        <v xml:space="preserve"> </v>
      </c>
      <c r="I12" s="22" t="str">
        <f>ngay08!K10</f>
        <v xml:space="preserve"> </v>
      </c>
      <c r="J12" s="22" t="str">
        <f>ngay09!K10</f>
        <v xml:space="preserve"> </v>
      </c>
      <c r="K12" s="22" t="str">
        <f>ngay10!K10</f>
        <v xml:space="preserve"> </v>
      </c>
      <c r="L12" s="7" t="str">
        <f>ngay11!K10</f>
        <v xml:space="preserve"> </v>
      </c>
      <c r="M12" s="7" t="str">
        <f>ngay12!K10</f>
        <v xml:space="preserve"> </v>
      </c>
      <c r="N12" s="7" t="str">
        <f>ngay13!K10</f>
        <v xml:space="preserve"> </v>
      </c>
      <c r="O12" s="7" t="str">
        <f>ngay14!K10</f>
        <v xml:space="preserve"> </v>
      </c>
      <c r="P12" s="7" t="str">
        <f>ngay15!K10</f>
        <v xml:space="preserve"> </v>
      </c>
      <c r="Q12" s="7" t="str">
        <f>ngay16!K10</f>
        <v xml:space="preserve"> </v>
      </c>
      <c r="R12" s="7" t="str">
        <f>ngay17!K10</f>
        <v xml:space="preserve"> </v>
      </c>
      <c r="S12" s="7" t="str">
        <f>ngay18!K10</f>
        <v xml:space="preserve"> </v>
      </c>
      <c r="T12" s="7" t="str">
        <f>ngay19!K10</f>
        <v xml:space="preserve"> </v>
      </c>
      <c r="U12" s="7" t="str">
        <f>ngay20!K10</f>
        <v xml:space="preserve"> </v>
      </c>
      <c r="V12" s="7" t="str">
        <f>ngay21!K10</f>
        <v xml:space="preserve"> </v>
      </c>
      <c r="W12" s="7" t="str">
        <f>ngay22!K10</f>
        <v xml:space="preserve"> </v>
      </c>
      <c r="X12" s="7" t="str">
        <f>ngay23!K10</f>
        <v xml:space="preserve"> </v>
      </c>
      <c r="Y12" s="7" t="str">
        <f>ngay24!K10</f>
        <v xml:space="preserve"> </v>
      </c>
      <c r="Z12" s="7" t="str">
        <f>ngay25!K10</f>
        <v xml:space="preserve"> </v>
      </c>
      <c r="AA12" s="7" t="str">
        <f>ngay26!K10</f>
        <v xml:space="preserve"> </v>
      </c>
      <c r="AB12" s="7" t="str">
        <f>ngay27!K10</f>
        <v xml:space="preserve"> </v>
      </c>
      <c r="AC12" s="7" t="str">
        <f>ngay28!K10</f>
        <v xml:space="preserve"> </v>
      </c>
      <c r="AD12" s="7" t="str">
        <f>ngay29!K10</f>
        <v xml:space="preserve"> </v>
      </c>
      <c r="AE12" s="7" t="str">
        <f>ngay30!K10</f>
        <v xml:space="preserve"> </v>
      </c>
      <c r="AF12" s="7" t="str">
        <f>ngay31!K10</f>
        <v xml:space="preserve"> </v>
      </c>
      <c r="AG12" s="22"/>
      <c r="AH12" s="23" t="str">
        <f t="shared" si="0"/>
        <v xml:space="preserve"> </v>
      </c>
      <c r="AI12" s="22"/>
      <c r="AJ12" s="10"/>
      <c r="AK12" s="10"/>
      <c r="AL12" s="10"/>
      <c r="AM12" s="10"/>
      <c r="AN12" s="10"/>
      <c r="AO12" s="10"/>
      <c r="AP12" s="10"/>
      <c r="AQ12" s="10"/>
      <c r="AR12" s="10"/>
      <c r="AS12" s="10"/>
    </row>
    <row r="13" spans="1:64" ht="12.75">
      <c r="A13" s="183" t="s">
        <v>192</v>
      </c>
      <c r="B13" s="22" t="str">
        <f>ngay01!K11</f>
        <v xml:space="preserve"> </v>
      </c>
      <c r="C13" s="22" t="str">
        <f>ngay02!K11</f>
        <v xml:space="preserve"> </v>
      </c>
      <c r="D13" s="22" t="str">
        <f>ngay03!K11</f>
        <v xml:space="preserve"> </v>
      </c>
      <c r="E13" s="22" t="str">
        <f>ngay04!K11</f>
        <v xml:space="preserve"> </v>
      </c>
      <c r="F13" s="22" t="str">
        <f>ngay05!K11</f>
        <v xml:space="preserve"> </v>
      </c>
      <c r="G13" s="22" t="str">
        <f>ngay06!K11</f>
        <v xml:space="preserve"> </v>
      </c>
      <c r="H13" s="22" t="str">
        <f>ngay07!K11</f>
        <v xml:space="preserve"> </v>
      </c>
      <c r="I13" s="22" t="str">
        <f>ngay08!K11</f>
        <v xml:space="preserve"> </v>
      </c>
      <c r="J13" s="22" t="str">
        <f>ngay09!K11</f>
        <v xml:space="preserve"> </v>
      </c>
      <c r="K13" s="22" t="str">
        <f>ngay10!K11</f>
        <v xml:space="preserve"> </v>
      </c>
      <c r="L13" s="7" t="str">
        <f>ngay11!K11</f>
        <v xml:space="preserve"> </v>
      </c>
      <c r="M13" s="7" t="str">
        <f>ngay12!K11</f>
        <v xml:space="preserve"> </v>
      </c>
      <c r="N13" s="7" t="str">
        <f>ngay13!K11</f>
        <v xml:space="preserve"> </v>
      </c>
      <c r="O13" s="7" t="str">
        <f>ngay14!K11</f>
        <v xml:space="preserve"> </v>
      </c>
      <c r="P13" s="7" t="str">
        <f>ngay15!K11</f>
        <v xml:space="preserve"> </v>
      </c>
      <c r="Q13" s="7" t="str">
        <f>ngay16!K11</f>
        <v xml:space="preserve"> </v>
      </c>
      <c r="R13" s="7" t="str">
        <f>ngay17!K11</f>
        <v xml:space="preserve"> </v>
      </c>
      <c r="S13" s="7" t="str">
        <f>ngay18!K11</f>
        <v xml:space="preserve"> </v>
      </c>
      <c r="T13" s="7" t="str">
        <f>ngay19!K11</f>
        <v xml:space="preserve"> </v>
      </c>
      <c r="U13" s="7" t="str">
        <f>ngay20!K11</f>
        <v xml:space="preserve"> </v>
      </c>
      <c r="V13" s="7" t="str">
        <f>ngay21!K11</f>
        <v xml:space="preserve"> </v>
      </c>
      <c r="W13" s="7" t="str">
        <f>ngay22!K11</f>
        <v xml:space="preserve"> </v>
      </c>
      <c r="X13" s="7" t="str">
        <f>ngay23!K11</f>
        <v xml:space="preserve"> </v>
      </c>
      <c r="Y13" s="7" t="str">
        <f>ngay24!K11</f>
        <v xml:space="preserve"> </v>
      </c>
      <c r="Z13" s="7" t="str">
        <f>ngay25!K11</f>
        <v xml:space="preserve"> </v>
      </c>
      <c r="AA13" s="7" t="str">
        <f>ngay26!K11</f>
        <v xml:space="preserve"> </v>
      </c>
      <c r="AB13" s="7" t="str">
        <f>ngay27!K11</f>
        <v xml:space="preserve"> </v>
      </c>
      <c r="AC13" s="7" t="str">
        <f>ngay28!K11</f>
        <v xml:space="preserve"> </v>
      </c>
      <c r="AD13" s="7" t="str">
        <f>ngay29!K11</f>
        <v xml:space="preserve"> </v>
      </c>
      <c r="AE13" s="7" t="str">
        <f>ngay30!K11</f>
        <v xml:space="preserve"> </v>
      </c>
      <c r="AF13" s="7" t="str">
        <f>ngay31!K11</f>
        <v xml:space="preserve"> </v>
      </c>
      <c r="AG13" s="22"/>
      <c r="AH13" s="23" t="str">
        <f t="shared" si="0"/>
        <v xml:space="preserve"> </v>
      </c>
      <c r="AI13" s="22"/>
      <c r="AJ13" s="10"/>
      <c r="AK13" s="10"/>
      <c r="AL13" s="10"/>
      <c r="AM13" s="10"/>
      <c r="AN13" s="10"/>
      <c r="AO13" s="10"/>
      <c r="AP13" s="10"/>
      <c r="AQ13" s="10"/>
      <c r="AR13" s="10"/>
      <c r="AS13" s="10"/>
    </row>
    <row r="14" spans="1:64" ht="12.75">
      <c r="A14" s="183" t="s">
        <v>135</v>
      </c>
      <c r="B14" s="22" t="str">
        <f>ngay01!K12</f>
        <v xml:space="preserve"> </v>
      </c>
      <c r="C14" s="22" t="str">
        <f>ngay02!K12</f>
        <v xml:space="preserve"> </v>
      </c>
      <c r="D14" s="22" t="str">
        <f>ngay03!K12</f>
        <v xml:space="preserve"> </v>
      </c>
      <c r="E14" s="22" t="str">
        <f>ngay04!K12</f>
        <v xml:space="preserve"> </v>
      </c>
      <c r="F14" s="22" t="str">
        <f>ngay05!K12</f>
        <v xml:space="preserve"> </v>
      </c>
      <c r="G14" s="22" t="str">
        <f>ngay06!K12</f>
        <v xml:space="preserve"> </v>
      </c>
      <c r="H14" s="22" t="str">
        <f>ngay07!K12</f>
        <v xml:space="preserve"> </v>
      </c>
      <c r="I14" s="22" t="str">
        <f>ngay08!K12</f>
        <v xml:space="preserve"> </v>
      </c>
      <c r="J14" s="22" t="str">
        <f>ngay09!K12</f>
        <v xml:space="preserve"> </v>
      </c>
      <c r="K14" s="22" t="str">
        <f>ngay10!K12</f>
        <v xml:space="preserve"> </v>
      </c>
      <c r="L14" s="7" t="str">
        <f>ngay11!K12</f>
        <v xml:space="preserve"> </v>
      </c>
      <c r="M14" s="7" t="str">
        <f>ngay12!K12</f>
        <v xml:space="preserve"> </v>
      </c>
      <c r="N14" s="7" t="str">
        <f>ngay13!K12</f>
        <v xml:space="preserve"> </v>
      </c>
      <c r="O14" s="7" t="str">
        <f>ngay14!K12</f>
        <v xml:space="preserve"> </v>
      </c>
      <c r="P14" s="7" t="str">
        <f>ngay15!K12</f>
        <v xml:space="preserve"> </v>
      </c>
      <c r="Q14" s="7" t="str">
        <f>ngay16!K12</f>
        <v xml:space="preserve"> </v>
      </c>
      <c r="R14" s="7" t="str">
        <f>ngay17!K12</f>
        <v xml:space="preserve"> </v>
      </c>
      <c r="S14" s="7" t="str">
        <f>ngay18!K12</f>
        <v xml:space="preserve"> </v>
      </c>
      <c r="T14" s="7" t="str">
        <f>ngay19!K12</f>
        <v xml:space="preserve"> </v>
      </c>
      <c r="U14" s="7" t="str">
        <f>ngay20!K12</f>
        <v xml:space="preserve"> </v>
      </c>
      <c r="V14" s="7" t="str">
        <f>ngay21!K12</f>
        <v xml:space="preserve"> </v>
      </c>
      <c r="W14" s="7" t="str">
        <f>ngay22!K12</f>
        <v xml:space="preserve"> </v>
      </c>
      <c r="X14" s="7" t="str">
        <f>ngay23!K12</f>
        <v xml:space="preserve"> </v>
      </c>
      <c r="Y14" s="7" t="str">
        <f>ngay24!K12</f>
        <v xml:space="preserve"> </v>
      </c>
      <c r="Z14" s="7" t="str">
        <f>ngay25!K12</f>
        <v xml:space="preserve"> </v>
      </c>
      <c r="AA14" s="7" t="str">
        <f>ngay26!K12</f>
        <v xml:space="preserve"> </v>
      </c>
      <c r="AB14" s="7" t="str">
        <f>ngay27!K12</f>
        <v xml:space="preserve"> </v>
      </c>
      <c r="AC14" s="7" t="str">
        <f>ngay28!K12</f>
        <v xml:space="preserve"> </v>
      </c>
      <c r="AD14" s="7" t="str">
        <f>ngay29!K12</f>
        <v xml:space="preserve"> </v>
      </c>
      <c r="AE14" s="7" t="str">
        <f>ngay30!K12</f>
        <v xml:space="preserve"> </v>
      </c>
      <c r="AF14" s="7" t="str">
        <f>ngay31!K12</f>
        <v xml:space="preserve"> </v>
      </c>
      <c r="AG14" s="22"/>
      <c r="AH14" s="23" t="str">
        <f t="shared" si="0"/>
        <v xml:space="preserve"> </v>
      </c>
      <c r="AI14" s="22"/>
      <c r="AJ14" s="10"/>
      <c r="AK14" s="10"/>
      <c r="AL14" s="10"/>
      <c r="AM14" s="10"/>
      <c r="AN14" s="10"/>
      <c r="AO14" s="10"/>
      <c r="AP14" s="10"/>
      <c r="AQ14" s="10"/>
      <c r="AR14" s="10"/>
      <c r="AS14" s="10"/>
    </row>
    <row r="15" spans="1:64" ht="12.75">
      <c r="A15" s="183" t="s">
        <v>136</v>
      </c>
      <c r="B15" s="22" t="str">
        <f>ngay01!K13</f>
        <v xml:space="preserve"> </v>
      </c>
      <c r="C15" s="22" t="str">
        <f>ngay02!K13</f>
        <v xml:space="preserve"> </v>
      </c>
      <c r="D15" s="22" t="str">
        <f>ngay03!K13</f>
        <v xml:space="preserve"> </v>
      </c>
      <c r="E15" s="22" t="str">
        <f>ngay04!K13</f>
        <v xml:space="preserve"> </v>
      </c>
      <c r="F15" s="22" t="str">
        <f>ngay05!K13</f>
        <v xml:space="preserve"> </v>
      </c>
      <c r="G15" s="22" t="str">
        <f>ngay06!K13</f>
        <v xml:space="preserve"> </v>
      </c>
      <c r="H15" s="22" t="str">
        <f>ngay07!K13</f>
        <v xml:space="preserve"> </v>
      </c>
      <c r="I15" s="22" t="str">
        <f>ngay08!K13</f>
        <v xml:space="preserve"> </v>
      </c>
      <c r="J15" s="22" t="str">
        <f>ngay09!K13</f>
        <v xml:space="preserve"> </v>
      </c>
      <c r="K15" s="22" t="str">
        <f>ngay10!K13</f>
        <v xml:space="preserve"> </v>
      </c>
      <c r="L15" s="7" t="str">
        <f>ngay11!K13</f>
        <v xml:space="preserve"> </v>
      </c>
      <c r="M15" s="7" t="str">
        <f>ngay12!K13</f>
        <v xml:space="preserve"> </v>
      </c>
      <c r="N15" s="7" t="str">
        <f>ngay13!K13</f>
        <v xml:space="preserve"> </v>
      </c>
      <c r="O15" s="7" t="str">
        <f>ngay14!K13</f>
        <v xml:space="preserve"> </v>
      </c>
      <c r="P15" s="7" t="str">
        <f>ngay15!K13</f>
        <v xml:space="preserve"> </v>
      </c>
      <c r="Q15" s="7" t="str">
        <f>ngay16!K13</f>
        <v xml:space="preserve"> </v>
      </c>
      <c r="R15" s="7" t="str">
        <f>ngay17!K13</f>
        <v xml:space="preserve"> </v>
      </c>
      <c r="S15" s="7" t="str">
        <f>ngay18!K13</f>
        <v xml:space="preserve"> </v>
      </c>
      <c r="T15" s="7" t="str">
        <f>ngay19!K13</f>
        <v xml:space="preserve"> </v>
      </c>
      <c r="U15" s="7" t="str">
        <f>ngay20!K13</f>
        <v xml:space="preserve"> </v>
      </c>
      <c r="V15" s="7" t="str">
        <f>ngay21!K13</f>
        <v xml:space="preserve"> </v>
      </c>
      <c r="W15" s="7" t="str">
        <f>ngay22!K13</f>
        <v xml:space="preserve"> </v>
      </c>
      <c r="X15" s="7" t="str">
        <f>ngay23!K13</f>
        <v xml:space="preserve"> </v>
      </c>
      <c r="Y15" s="7" t="str">
        <f>ngay24!K13</f>
        <v xml:space="preserve"> </v>
      </c>
      <c r="Z15" s="7" t="str">
        <f>ngay25!K13</f>
        <v xml:space="preserve"> </v>
      </c>
      <c r="AA15" s="7" t="str">
        <f>ngay26!K13</f>
        <v xml:space="preserve"> </v>
      </c>
      <c r="AB15" s="7" t="str">
        <f>ngay27!K13</f>
        <v xml:space="preserve"> </v>
      </c>
      <c r="AC15" s="7" t="str">
        <f>ngay28!K13</f>
        <v xml:space="preserve"> </v>
      </c>
      <c r="AD15" s="7" t="str">
        <f>ngay29!K13</f>
        <v xml:space="preserve"> </v>
      </c>
      <c r="AE15" s="7" t="str">
        <f>ngay30!K13</f>
        <v xml:space="preserve"> </v>
      </c>
      <c r="AF15" s="7" t="str">
        <f>ngay31!K13</f>
        <v xml:space="preserve"> </v>
      </c>
      <c r="AG15" s="22"/>
      <c r="AH15" s="23" t="str">
        <f t="shared" si="0"/>
        <v xml:space="preserve"> </v>
      </c>
      <c r="AI15" s="22"/>
      <c r="AJ15" s="10"/>
      <c r="AK15" s="10"/>
      <c r="AL15" s="10"/>
      <c r="AM15" s="10"/>
      <c r="AN15" s="10"/>
      <c r="AO15" s="10"/>
      <c r="AP15" s="10"/>
      <c r="AQ15" s="10"/>
      <c r="AR15" s="10"/>
      <c r="AS15" s="10"/>
    </row>
    <row r="16" spans="1:64" ht="12.75">
      <c r="A16" s="184" t="s">
        <v>137</v>
      </c>
      <c r="B16" s="22" t="str">
        <f>ngay01!K14</f>
        <v xml:space="preserve"> </v>
      </c>
      <c r="C16" s="22" t="str">
        <f>ngay02!K14</f>
        <v xml:space="preserve"> </v>
      </c>
      <c r="D16" s="22" t="str">
        <f>ngay03!K14</f>
        <v xml:space="preserve"> </v>
      </c>
      <c r="E16" s="22" t="str">
        <f>ngay04!K14</f>
        <v xml:space="preserve"> </v>
      </c>
      <c r="F16" s="22" t="str">
        <f>ngay05!K14</f>
        <v xml:space="preserve"> </v>
      </c>
      <c r="G16" s="22" t="str">
        <f>ngay06!K14</f>
        <v xml:space="preserve"> </v>
      </c>
      <c r="H16" s="22" t="str">
        <f>ngay07!K14</f>
        <v xml:space="preserve"> </v>
      </c>
      <c r="I16" s="22" t="str">
        <f>ngay08!K14</f>
        <v xml:space="preserve"> </v>
      </c>
      <c r="J16" s="22" t="str">
        <f>ngay09!K14</f>
        <v xml:space="preserve"> </v>
      </c>
      <c r="K16" s="22" t="str">
        <f>ngay10!K14</f>
        <v xml:space="preserve"> </v>
      </c>
      <c r="L16" s="7" t="str">
        <f>ngay11!K14</f>
        <v xml:space="preserve"> </v>
      </c>
      <c r="M16" s="7" t="str">
        <f>ngay12!K14</f>
        <v xml:space="preserve"> </v>
      </c>
      <c r="N16" s="7" t="str">
        <f>ngay13!K14</f>
        <v xml:space="preserve"> </v>
      </c>
      <c r="O16" s="7" t="str">
        <f>ngay14!K14</f>
        <v xml:space="preserve"> </v>
      </c>
      <c r="P16" s="7" t="str">
        <f>ngay15!K14</f>
        <v xml:space="preserve"> </v>
      </c>
      <c r="Q16" s="7" t="str">
        <f>ngay16!K14</f>
        <v xml:space="preserve"> </v>
      </c>
      <c r="R16" s="7" t="str">
        <f>ngay17!K14</f>
        <v xml:space="preserve"> </v>
      </c>
      <c r="S16" s="7" t="str">
        <f>ngay18!K14</f>
        <v xml:space="preserve"> </v>
      </c>
      <c r="T16" s="7" t="str">
        <f>ngay19!K14</f>
        <v xml:space="preserve"> </v>
      </c>
      <c r="U16" s="7" t="str">
        <f>ngay20!K14</f>
        <v xml:space="preserve"> </v>
      </c>
      <c r="V16" s="7" t="str">
        <f>ngay21!K14</f>
        <v xml:space="preserve"> </v>
      </c>
      <c r="W16" s="7" t="str">
        <f>ngay22!K14</f>
        <v xml:space="preserve"> </v>
      </c>
      <c r="X16" s="7" t="str">
        <f>ngay23!K14</f>
        <v xml:space="preserve"> </v>
      </c>
      <c r="Y16" s="7" t="str">
        <f>ngay24!K14</f>
        <v xml:space="preserve"> </v>
      </c>
      <c r="Z16" s="7" t="str">
        <f>ngay25!K14</f>
        <v xml:space="preserve"> </v>
      </c>
      <c r="AA16" s="7" t="str">
        <f>ngay26!K14</f>
        <v xml:space="preserve"> </v>
      </c>
      <c r="AB16" s="7" t="str">
        <f>ngay27!K14</f>
        <v xml:space="preserve"> </v>
      </c>
      <c r="AC16" s="7" t="str">
        <f>ngay28!K14</f>
        <v xml:space="preserve"> </v>
      </c>
      <c r="AD16" s="7" t="str">
        <f>ngay29!K14</f>
        <v xml:space="preserve"> </v>
      </c>
      <c r="AE16" s="7" t="str">
        <f>ngay30!K14</f>
        <v xml:space="preserve"> </v>
      </c>
      <c r="AF16" s="7" t="str">
        <f>ngay31!K14</f>
        <v xml:space="preserve"> </v>
      </c>
      <c r="AG16" s="22"/>
      <c r="AH16" s="23" t="str">
        <f t="shared" si="0"/>
        <v xml:space="preserve"> </v>
      </c>
      <c r="AI16" s="22"/>
      <c r="AJ16" s="10"/>
      <c r="AK16" s="10"/>
      <c r="AL16" s="10"/>
      <c r="AM16" s="10"/>
      <c r="AN16" s="10"/>
      <c r="AO16" s="10"/>
      <c r="AP16" s="10"/>
      <c r="AQ16" s="10"/>
      <c r="AR16" s="10"/>
      <c r="AS16" s="10"/>
    </row>
    <row r="17" spans="1:45" ht="12.75">
      <c r="A17" s="183" t="s">
        <v>138</v>
      </c>
      <c r="B17" s="22" t="str">
        <f>ngay01!K15</f>
        <v xml:space="preserve"> </v>
      </c>
      <c r="C17" s="22" t="str">
        <f>ngay02!K15</f>
        <v xml:space="preserve"> </v>
      </c>
      <c r="D17" s="22" t="str">
        <f>ngay03!K15</f>
        <v xml:space="preserve"> </v>
      </c>
      <c r="E17" s="22" t="str">
        <f>ngay04!K15</f>
        <v xml:space="preserve"> </v>
      </c>
      <c r="F17" s="22" t="str">
        <f>ngay05!K15</f>
        <v xml:space="preserve"> </v>
      </c>
      <c r="G17" s="22" t="str">
        <f>ngay06!K15</f>
        <v xml:space="preserve"> </v>
      </c>
      <c r="H17" s="22" t="str">
        <f>ngay07!K15</f>
        <v xml:space="preserve"> </v>
      </c>
      <c r="I17" s="22" t="str">
        <f>ngay08!K15</f>
        <v xml:space="preserve"> </v>
      </c>
      <c r="J17" s="22" t="str">
        <f>ngay09!K15</f>
        <v xml:space="preserve"> </v>
      </c>
      <c r="K17" s="22" t="str">
        <f>ngay10!K15</f>
        <v xml:space="preserve"> </v>
      </c>
      <c r="L17" s="7" t="str">
        <f>ngay11!K15</f>
        <v xml:space="preserve"> </v>
      </c>
      <c r="M17" s="7" t="str">
        <f>ngay12!K15</f>
        <v xml:space="preserve"> </v>
      </c>
      <c r="N17" s="7" t="str">
        <f>ngay13!K15</f>
        <v xml:space="preserve"> </v>
      </c>
      <c r="O17" s="7" t="str">
        <f>ngay14!K15</f>
        <v xml:space="preserve"> </v>
      </c>
      <c r="P17" s="7" t="str">
        <f>ngay15!K15</f>
        <v xml:space="preserve"> </v>
      </c>
      <c r="Q17" s="7" t="str">
        <f>ngay16!K15</f>
        <v xml:space="preserve"> </v>
      </c>
      <c r="R17" s="7" t="str">
        <f>ngay17!K15</f>
        <v xml:space="preserve"> </v>
      </c>
      <c r="S17" s="7" t="str">
        <f>ngay18!K15</f>
        <v xml:space="preserve"> </v>
      </c>
      <c r="T17" s="7" t="str">
        <f>ngay19!K15</f>
        <v xml:space="preserve"> </v>
      </c>
      <c r="U17" s="7" t="str">
        <f>ngay20!K15</f>
        <v xml:space="preserve"> </v>
      </c>
      <c r="V17" s="7" t="str">
        <f>ngay21!K15</f>
        <v xml:space="preserve"> </v>
      </c>
      <c r="W17" s="7" t="str">
        <f>ngay22!K15</f>
        <v xml:space="preserve"> </v>
      </c>
      <c r="X17" s="7" t="str">
        <f>ngay23!K15</f>
        <v xml:space="preserve"> </v>
      </c>
      <c r="Y17" s="7" t="str">
        <f>ngay24!K15</f>
        <v xml:space="preserve"> </v>
      </c>
      <c r="Z17" s="7" t="str">
        <f>ngay25!K15</f>
        <v xml:space="preserve"> </v>
      </c>
      <c r="AA17" s="7" t="str">
        <f>ngay26!K15</f>
        <v xml:space="preserve"> </v>
      </c>
      <c r="AB17" s="7" t="str">
        <f>ngay27!K15</f>
        <v xml:space="preserve"> </v>
      </c>
      <c r="AC17" s="7" t="str">
        <f>ngay28!K15</f>
        <v xml:space="preserve"> </v>
      </c>
      <c r="AD17" s="7" t="str">
        <f>ngay29!K15</f>
        <v xml:space="preserve"> </v>
      </c>
      <c r="AE17" s="7" t="str">
        <f>ngay30!K15</f>
        <v xml:space="preserve"> </v>
      </c>
      <c r="AF17" s="7" t="str">
        <f>ngay31!K15</f>
        <v xml:space="preserve"> </v>
      </c>
      <c r="AG17" s="22"/>
      <c r="AH17" s="23" t="str">
        <f t="shared" si="0"/>
        <v xml:space="preserve"> </v>
      </c>
      <c r="AI17" s="22"/>
      <c r="AJ17" s="10"/>
      <c r="AK17" s="10"/>
      <c r="AL17" s="10"/>
      <c r="AM17" s="10"/>
      <c r="AN17" s="10"/>
      <c r="AO17" s="10"/>
      <c r="AP17" s="10"/>
      <c r="AQ17" s="10"/>
      <c r="AR17" s="10"/>
      <c r="AS17" s="10"/>
    </row>
    <row r="18" spans="1:45" ht="12.75">
      <c r="A18" s="184" t="s">
        <v>139</v>
      </c>
      <c r="B18" s="22" t="str">
        <f>ngay01!K16</f>
        <v xml:space="preserve"> </v>
      </c>
      <c r="C18" s="22" t="str">
        <f>ngay02!K16</f>
        <v xml:space="preserve"> </v>
      </c>
      <c r="D18" s="22" t="str">
        <f>ngay03!K16</f>
        <v xml:space="preserve"> </v>
      </c>
      <c r="E18" s="22" t="str">
        <f>ngay04!K16</f>
        <v xml:space="preserve"> </v>
      </c>
      <c r="F18" s="22" t="str">
        <f>ngay05!K16</f>
        <v xml:space="preserve"> </v>
      </c>
      <c r="G18" s="22" t="str">
        <f>ngay06!K16</f>
        <v xml:space="preserve"> </v>
      </c>
      <c r="H18" s="22" t="str">
        <f>ngay07!K16</f>
        <v xml:space="preserve"> </v>
      </c>
      <c r="I18" s="22" t="str">
        <f>ngay08!K16</f>
        <v xml:space="preserve"> </v>
      </c>
      <c r="J18" s="22" t="str">
        <f>ngay09!K16</f>
        <v xml:space="preserve"> </v>
      </c>
      <c r="K18" s="22" t="str">
        <f>ngay10!K16</f>
        <v xml:space="preserve"> </v>
      </c>
      <c r="L18" s="7" t="str">
        <f>ngay11!K16</f>
        <v xml:space="preserve"> </v>
      </c>
      <c r="M18" s="7" t="str">
        <f>ngay12!K16</f>
        <v xml:space="preserve"> </v>
      </c>
      <c r="N18" s="7" t="str">
        <f>ngay13!K16</f>
        <v xml:space="preserve"> </v>
      </c>
      <c r="O18" s="7" t="str">
        <f>ngay14!K16</f>
        <v xml:space="preserve"> </v>
      </c>
      <c r="P18" s="7" t="str">
        <f>ngay15!K16</f>
        <v xml:space="preserve"> </v>
      </c>
      <c r="Q18" s="7" t="str">
        <f>ngay16!K16</f>
        <v xml:space="preserve"> </v>
      </c>
      <c r="R18" s="7" t="str">
        <f>ngay17!K16</f>
        <v xml:space="preserve"> </v>
      </c>
      <c r="S18" s="7" t="str">
        <f>ngay18!K16</f>
        <v xml:space="preserve"> </v>
      </c>
      <c r="T18" s="7" t="str">
        <f>ngay19!K16</f>
        <v xml:space="preserve"> </v>
      </c>
      <c r="U18" s="7" t="str">
        <f>ngay20!K16</f>
        <v xml:space="preserve"> </v>
      </c>
      <c r="V18" s="7" t="str">
        <f>ngay21!K16</f>
        <v xml:space="preserve"> </v>
      </c>
      <c r="W18" s="7" t="str">
        <f>ngay22!K16</f>
        <v xml:space="preserve"> </v>
      </c>
      <c r="X18" s="7" t="str">
        <f>ngay23!K16</f>
        <v xml:space="preserve"> </v>
      </c>
      <c r="Y18" s="7" t="str">
        <f>ngay24!K16</f>
        <v xml:space="preserve"> </v>
      </c>
      <c r="Z18" s="7" t="str">
        <f>ngay25!K16</f>
        <v xml:space="preserve"> </v>
      </c>
      <c r="AA18" s="7" t="str">
        <f>ngay26!K16</f>
        <v xml:space="preserve"> </v>
      </c>
      <c r="AB18" s="7" t="str">
        <f>ngay27!K16</f>
        <v xml:space="preserve"> </v>
      </c>
      <c r="AC18" s="7" t="str">
        <f>ngay28!K16</f>
        <v xml:space="preserve"> </v>
      </c>
      <c r="AD18" s="7" t="str">
        <f>ngay29!K16</f>
        <v xml:space="preserve"> </v>
      </c>
      <c r="AE18" s="7" t="str">
        <f>ngay30!K16</f>
        <v xml:space="preserve"> </v>
      </c>
      <c r="AF18" s="7" t="str">
        <f>ngay31!K16</f>
        <v xml:space="preserve"> </v>
      </c>
      <c r="AG18" s="22"/>
      <c r="AH18" s="23" t="str">
        <f t="shared" si="0"/>
        <v xml:space="preserve"> </v>
      </c>
      <c r="AI18" s="22"/>
      <c r="AJ18" s="10"/>
      <c r="AK18" s="10"/>
      <c r="AL18" s="10"/>
      <c r="AM18" s="10"/>
      <c r="AN18" s="10"/>
      <c r="AO18" s="10"/>
      <c r="AP18" s="10"/>
      <c r="AQ18" s="10"/>
      <c r="AR18" s="10"/>
      <c r="AS18" s="10"/>
    </row>
    <row r="19" spans="1:45" ht="12.75">
      <c r="A19" s="183" t="s">
        <v>140</v>
      </c>
      <c r="B19" s="22" t="str">
        <f>ngay01!K17</f>
        <v xml:space="preserve"> </v>
      </c>
      <c r="C19" s="22" t="str">
        <f>ngay02!K17</f>
        <v xml:space="preserve"> </v>
      </c>
      <c r="D19" s="22" t="str">
        <f>ngay03!K17</f>
        <v xml:space="preserve"> </v>
      </c>
      <c r="E19" s="22" t="str">
        <f>ngay04!K17</f>
        <v xml:space="preserve"> </v>
      </c>
      <c r="F19" s="22" t="str">
        <f>ngay05!K17</f>
        <v xml:space="preserve"> </v>
      </c>
      <c r="G19" s="22" t="str">
        <f>ngay06!K17</f>
        <v xml:space="preserve"> </v>
      </c>
      <c r="H19" s="22" t="str">
        <f>ngay07!K17</f>
        <v xml:space="preserve"> </v>
      </c>
      <c r="I19" s="22" t="str">
        <f>ngay08!K17</f>
        <v xml:space="preserve"> </v>
      </c>
      <c r="J19" s="22" t="str">
        <f>ngay09!K17</f>
        <v xml:space="preserve"> </v>
      </c>
      <c r="K19" s="22" t="str">
        <f>ngay10!K17</f>
        <v xml:space="preserve"> </v>
      </c>
      <c r="L19" s="7" t="str">
        <f>ngay11!K17</f>
        <v xml:space="preserve"> </v>
      </c>
      <c r="M19" s="7" t="str">
        <f>ngay12!K17</f>
        <v xml:space="preserve"> </v>
      </c>
      <c r="N19" s="7" t="str">
        <f>ngay13!K17</f>
        <v xml:space="preserve"> </v>
      </c>
      <c r="O19" s="7" t="str">
        <f>ngay14!K17</f>
        <v xml:space="preserve"> </v>
      </c>
      <c r="P19" s="7" t="str">
        <f>ngay15!K17</f>
        <v xml:space="preserve"> </v>
      </c>
      <c r="Q19" s="7" t="str">
        <f>ngay16!K17</f>
        <v xml:space="preserve"> </v>
      </c>
      <c r="R19" s="7" t="str">
        <f>ngay17!K17</f>
        <v xml:space="preserve"> </v>
      </c>
      <c r="S19" s="7" t="str">
        <f>ngay18!K17</f>
        <v xml:space="preserve"> </v>
      </c>
      <c r="T19" s="7" t="str">
        <f>ngay19!K17</f>
        <v xml:space="preserve"> </v>
      </c>
      <c r="U19" s="7" t="str">
        <f>ngay20!K17</f>
        <v xml:space="preserve"> </v>
      </c>
      <c r="V19" s="7" t="str">
        <f>ngay21!K17</f>
        <v xml:space="preserve"> </v>
      </c>
      <c r="W19" s="7" t="str">
        <f>ngay22!K17</f>
        <v xml:space="preserve"> </v>
      </c>
      <c r="X19" s="7" t="str">
        <f>ngay23!K17</f>
        <v xml:space="preserve"> </v>
      </c>
      <c r="Y19" s="7" t="str">
        <f>ngay24!K17</f>
        <v xml:space="preserve"> </v>
      </c>
      <c r="Z19" s="7" t="str">
        <f>ngay25!K17</f>
        <v xml:space="preserve"> </v>
      </c>
      <c r="AA19" s="7" t="str">
        <f>ngay26!K17</f>
        <v xml:space="preserve"> </v>
      </c>
      <c r="AB19" s="7" t="str">
        <f>ngay27!K17</f>
        <v xml:space="preserve"> </v>
      </c>
      <c r="AC19" s="7" t="str">
        <f>ngay28!K17</f>
        <v xml:space="preserve"> </v>
      </c>
      <c r="AD19" s="7" t="str">
        <f>ngay29!K17</f>
        <v xml:space="preserve"> </v>
      </c>
      <c r="AE19" s="7" t="str">
        <f>ngay30!K17</f>
        <v xml:space="preserve"> </v>
      </c>
      <c r="AF19" s="7" t="str">
        <f>ngay31!K17</f>
        <v xml:space="preserve"> </v>
      </c>
      <c r="AG19" s="22"/>
      <c r="AH19" s="23" t="str">
        <f t="shared" si="0"/>
        <v xml:space="preserve"> </v>
      </c>
      <c r="AI19" s="22"/>
      <c r="AJ19" s="10"/>
    </row>
    <row r="20" spans="1:45" ht="12.75">
      <c r="A20" s="184" t="s">
        <v>141</v>
      </c>
      <c r="B20" s="22" t="str">
        <f>ngay01!K18</f>
        <v xml:space="preserve"> </v>
      </c>
      <c r="C20" s="22" t="str">
        <f>ngay02!K18</f>
        <v xml:space="preserve"> </v>
      </c>
      <c r="D20" s="22" t="str">
        <f>ngay03!K18</f>
        <v xml:space="preserve"> </v>
      </c>
      <c r="E20" s="22" t="str">
        <f>ngay04!K18</f>
        <v xml:space="preserve"> </v>
      </c>
      <c r="F20" s="22" t="str">
        <f>ngay05!K18</f>
        <v xml:space="preserve"> </v>
      </c>
      <c r="G20" s="22" t="str">
        <f>ngay06!K18</f>
        <v xml:space="preserve"> </v>
      </c>
      <c r="H20" s="22" t="str">
        <f>ngay07!K18</f>
        <v xml:space="preserve"> </v>
      </c>
      <c r="I20" s="22" t="str">
        <f>ngay08!K18</f>
        <v xml:space="preserve"> </v>
      </c>
      <c r="J20" s="22" t="str">
        <f>ngay09!K18</f>
        <v xml:space="preserve"> </v>
      </c>
      <c r="K20" s="22" t="str">
        <f>ngay10!K18</f>
        <v xml:space="preserve"> </v>
      </c>
      <c r="L20" s="7" t="str">
        <f>ngay11!K18</f>
        <v xml:space="preserve"> </v>
      </c>
      <c r="M20" s="7" t="str">
        <f>ngay12!K18</f>
        <v xml:space="preserve"> </v>
      </c>
      <c r="N20" s="7" t="str">
        <f>ngay13!K18</f>
        <v xml:space="preserve"> </v>
      </c>
      <c r="O20" s="7" t="str">
        <f>ngay14!K18</f>
        <v xml:space="preserve"> </v>
      </c>
      <c r="P20" s="7" t="str">
        <f>ngay15!K18</f>
        <v xml:space="preserve"> </v>
      </c>
      <c r="Q20" s="7" t="str">
        <f>ngay16!K18</f>
        <v xml:space="preserve"> </v>
      </c>
      <c r="R20" s="7" t="str">
        <f>ngay17!K18</f>
        <v xml:space="preserve"> </v>
      </c>
      <c r="S20" s="7" t="str">
        <f>ngay18!K18</f>
        <v xml:space="preserve"> </v>
      </c>
      <c r="T20" s="7" t="str">
        <f>ngay19!K18</f>
        <v xml:space="preserve"> </v>
      </c>
      <c r="U20" s="7" t="str">
        <f>ngay20!K18</f>
        <v xml:space="preserve"> </v>
      </c>
      <c r="V20" s="7" t="str">
        <f>ngay21!K18</f>
        <v xml:space="preserve"> </v>
      </c>
      <c r="W20" s="7" t="str">
        <f>ngay22!K18</f>
        <v xml:space="preserve"> </v>
      </c>
      <c r="X20" s="7" t="str">
        <f>ngay23!K18</f>
        <v xml:space="preserve"> </v>
      </c>
      <c r="Y20" s="7" t="str">
        <f>ngay24!K18</f>
        <v xml:space="preserve"> </v>
      </c>
      <c r="Z20" s="7" t="str">
        <f>ngay25!K18</f>
        <v xml:space="preserve"> </v>
      </c>
      <c r="AA20" s="7" t="str">
        <f>ngay26!K18</f>
        <v xml:space="preserve"> </v>
      </c>
      <c r="AB20" s="7" t="str">
        <f>ngay27!K18</f>
        <v xml:space="preserve"> </v>
      </c>
      <c r="AC20" s="7" t="str">
        <f>ngay28!K18</f>
        <v xml:space="preserve"> </v>
      </c>
      <c r="AD20" s="7" t="str">
        <f>ngay29!K18</f>
        <v xml:space="preserve"> </v>
      </c>
      <c r="AE20" s="7" t="str">
        <f>ngay30!K18</f>
        <v xml:space="preserve"> </v>
      </c>
      <c r="AF20" s="7" t="str">
        <f>ngay31!K18</f>
        <v xml:space="preserve"> </v>
      </c>
      <c r="AG20" s="22"/>
      <c r="AH20" s="23" t="str">
        <f t="shared" si="0"/>
        <v xml:space="preserve"> </v>
      </c>
      <c r="AI20" s="22"/>
    </row>
    <row r="21" spans="1:45" ht="12.75">
      <c r="A21" s="183" t="s">
        <v>142</v>
      </c>
      <c r="B21" s="22" t="str">
        <f>ngay01!K19</f>
        <v xml:space="preserve"> </v>
      </c>
      <c r="C21" s="22" t="str">
        <f>ngay02!K19</f>
        <v xml:space="preserve"> </v>
      </c>
      <c r="D21" s="22" t="str">
        <f>ngay03!K19</f>
        <v xml:space="preserve"> </v>
      </c>
      <c r="E21" s="22" t="str">
        <f>ngay04!K19</f>
        <v xml:space="preserve"> </v>
      </c>
      <c r="F21" s="22" t="str">
        <f>ngay05!K19</f>
        <v xml:space="preserve"> </v>
      </c>
      <c r="G21" s="22" t="str">
        <f>ngay06!K19</f>
        <v xml:space="preserve"> </v>
      </c>
      <c r="H21" s="22" t="str">
        <f>ngay07!K19</f>
        <v xml:space="preserve"> </v>
      </c>
      <c r="I21" s="22" t="str">
        <f>ngay08!K19</f>
        <v xml:space="preserve"> </v>
      </c>
      <c r="J21" s="22" t="str">
        <f>ngay09!K19</f>
        <v xml:space="preserve"> </v>
      </c>
      <c r="K21" s="22" t="str">
        <f>ngay10!K19</f>
        <v xml:space="preserve"> </v>
      </c>
      <c r="L21" s="7" t="str">
        <f>ngay11!K19</f>
        <v xml:space="preserve"> </v>
      </c>
      <c r="M21" s="7" t="str">
        <f>ngay12!K19</f>
        <v xml:space="preserve"> </v>
      </c>
      <c r="N21" s="7" t="str">
        <f>ngay13!K19</f>
        <v xml:space="preserve"> </v>
      </c>
      <c r="O21" s="7" t="str">
        <f>ngay14!K19</f>
        <v xml:space="preserve"> </v>
      </c>
      <c r="P21" s="7" t="str">
        <f>ngay15!K19</f>
        <v xml:space="preserve"> </v>
      </c>
      <c r="Q21" s="7" t="str">
        <f>ngay16!K19</f>
        <v xml:space="preserve"> </v>
      </c>
      <c r="R21" s="7" t="str">
        <f>ngay17!K19</f>
        <v xml:space="preserve"> </v>
      </c>
      <c r="S21" s="7" t="str">
        <f>ngay18!K19</f>
        <v xml:space="preserve"> </v>
      </c>
      <c r="T21" s="7" t="str">
        <f>ngay19!K19</f>
        <v xml:space="preserve"> </v>
      </c>
      <c r="U21" s="7" t="str">
        <f>ngay20!K19</f>
        <v xml:space="preserve"> </v>
      </c>
      <c r="V21" s="7" t="str">
        <f>ngay21!K19</f>
        <v xml:space="preserve"> </v>
      </c>
      <c r="W21" s="7" t="str">
        <f>ngay22!K19</f>
        <v xml:space="preserve"> </v>
      </c>
      <c r="X21" s="7" t="str">
        <f>ngay23!K19</f>
        <v xml:space="preserve"> </v>
      </c>
      <c r="Y21" s="7" t="str">
        <f>ngay24!K19</f>
        <v xml:space="preserve"> </v>
      </c>
      <c r="Z21" s="7" t="str">
        <f>ngay25!K19</f>
        <v xml:space="preserve"> </v>
      </c>
      <c r="AA21" s="7" t="str">
        <f>ngay26!K19</f>
        <v xml:space="preserve"> </v>
      </c>
      <c r="AB21" s="7" t="str">
        <f>ngay27!K19</f>
        <v xml:space="preserve"> </v>
      </c>
      <c r="AC21" s="7" t="str">
        <f>ngay28!K19</f>
        <v xml:space="preserve"> </v>
      </c>
      <c r="AD21" s="7" t="str">
        <f>ngay29!K19</f>
        <v xml:space="preserve"> </v>
      </c>
      <c r="AE21" s="7" t="str">
        <f>ngay30!K19</f>
        <v xml:space="preserve"> </v>
      </c>
      <c r="AF21" s="7" t="str">
        <f>ngay31!K19</f>
        <v xml:space="preserve"> </v>
      </c>
      <c r="AG21" s="22"/>
      <c r="AH21" s="23" t="str">
        <f t="shared" si="0"/>
        <v xml:space="preserve"> </v>
      </c>
      <c r="AI21" s="22"/>
    </row>
    <row r="22" spans="1:45" ht="12.75">
      <c r="A22" s="183" t="s">
        <v>143</v>
      </c>
      <c r="B22" s="22" t="str">
        <f>ngay01!K20</f>
        <v xml:space="preserve"> </v>
      </c>
      <c r="C22" s="22" t="str">
        <f>ngay02!K20</f>
        <v xml:space="preserve"> </v>
      </c>
      <c r="D22" s="22" t="str">
        <f>ngay03!K20</f>
        <v xml:space="preserve"> </v>
      </c>
      <c r="E22" s="22" t="str">
        <f>ngay04!K20</f>
        <v xml:space="preserve"> </v>
      </c>
      <c r="F22" s="22" t="str">
        <f>ngay05!K20</f>
        <v xml:space="preserve"> </v>
      </c>
      <c r="G22" s="22" t="str">
        <f>ngay06!K20</f>
        <v xml:space="preserve"> </v>
      </c>
      <c r="H22" s="22" t="str">
        <f>ngay07!K20</f>
        <v xml:space="preserve"> </v>
      </c>
      <c r="I22" s="22" t="str">
        <f>ngay08!K20</f>
        <v xml:space="preserve"> </v>
      </c>
      <c r="J22" s="22" t="str">
        <f>ngay09!K20</f>
        <v xml:space="preserve"> </v>
      </c>
      <c r="K22" s="22" t="str">
        <f>ngay10!K20</f>
        <v xml:space="preserve"> </v>
      </c>
      <c r="L22" s="7" t="str">
        <f>ngay11!K20</f>
        <v xml:space="preserve"> </v>
      </c>
      <c r="M22" s="7" t="str">
        <f>ngay12!K20</f>
        <v xml:space="preserve"> </v>
      </c>
      <c r="N22" s="7" t="str">
        <f>ngay13!K20</f>
        <v xml:space="preserve"> </v>
      </c>
      <c r="O22" s="7" t="str">
        <f>ngay14!K20</f>
        <v xml:space="preserve"> </v>
      </c>
      <c r="P22" s="7" t="str">
        <f>ngay15!K20</f>
        <v xml:space="preserve"> </v>
      </c>
      <c r="Q22" s="7" t="str">
        <f>ngay16!K20</f>
        <v xml:space="preserve"> </v>
      </c>
      <c r="R22" s="7" t="str">
        <f>ngay17!K20</f>
        <v xml:space="preserve"> </v>
      </c>
      <c r="S22" s="7" t="str">
        <f>ngay18!K20</f>
        <v xml:space="preserve"> </v>
      </c>
      <c r="T22" s="7" t="str">
        <f>ngay19!K20</f>
        <v xml:space="preserve"> </v>
      </c>
      <c r="U22" s="7" t="str">
        <f>ngay20!K20</f>
        <v xml:space="preserve"> </v>
      </c>
      <c r="V22" s="7" t="str">
        <f>ngay21!K20</f>
        <v xml:space="preserve"> </v>
      </c>
      <c r="W22" s="7" t="str">
        <f>ngay22!K20</f>
        <v xml:space="preserve"> </v>
      </c>
      <c r="X22" s="7" t="str">
        <f>ngay23!K20</f>
        <v xml:space="preserve"> </v>
      </c>
      <c r="Y22" s="7" t="str">
        <f>ngay24!K20</f>
        <v xml:space="preserve"> </v>
      </c>
      <c r="Z22" s="7" t="str">
        <f>ngay25!K20</f>
        <v xml:space="preserve"> </v>
      </c>
      <c r="AA22" s="7" t="str">
        <f>ngay26!K20</f>
        <v xml:space="preserve"> </v>
      </c>
      <c r="AB22" s="7" t="str">
        <f>ngay27!K20</f>
        <v xml:space="preserve"> </v>
      </c>
      <c r="AC22" s="7" t="str">
        <f>ngay28!K20</f>
        <v xml:space="preserve"> </v>
      </c>
      <c r="AD22" s="7" t="str">
        <f>ngay29!K20</f>
        <v xml:space="preserve"> </v>
      </c>
      <c r="AE22" s="7" t="str">
        <f>ngay30!K20</f>
        <v xml:space="preserve"> </v>
      </c>
      <c r="AF22" s="7" t="str">
        <f>ngay31!K20</f>
        <v xml:space="preserve"> </v>
      </c>
      <c r="AG22" s="22"/>
      <c r="AH22" s="23" t="str">
        <f t="shared" si="0"/>
        <v xml:space="preserve"> </v>
      </c>
      <c r="AI22" s="22"/>
    </row>
    <row r="23" spans="1:45" ht="12.75">
      <c r="A23" s="183" t="s">
        <v>144</v>
      </c>
      <c r="B23" s="22" t="str">
        <f>ngay01!K21</f>
        <v xml:space="preserve"> </v>
      </c>
      <c r="C23" s="22" t="str">
        <f>ngay02!K21</f>
        <v xml:space="preserve"> </v>
      </c>
      <c r="D23" s="22" t="str">
        <f>ngay03!K21</f>
        <v xml:space="preserve"> </v>
      </c>
      <c r="E23" s="22" t="str">
        <f>ngay04!K21</f>
        <v xml:space="preserve"> </v>
      </c>
      <c r="F23" s="22" t="str">
        <f>ngay05!K21</f>
        <v xml:space="preserve"> </v>
      </c>
      <c r="G23" s="22" t="str">
        <f>ngay06!K21</f>
        <v xml:space="preserve"> </v>
      </c>
      <c r="H23" s="22" t="str">
        <f>ngay07!K21</f>
        <v xml:space="preserve"> </v>
      </c>
      <c r="I23" s="22" t="str">
        <f>ngay08!K21</f>
        <v xml:space="preserve"> </v>
      </c>
      <c r="J23" s="22" t="str">
        <f>ngay09!K21</f>
        <v xml:space="preserve"> </v>
      </c>
      <c r="K23" s="22" t="str">
        <f>ngay10!K21</f>
        <v xml:space="preserve"> </v>
      </c>
      <c r="L23" s="7" t="str">
        <f>ngay11!K21</f>
        <v xml:space="preserve"> </v>
      </c>
      <c r="M23" s="7" t="str">
        <f>ngay12!K21</f>
        <v xml:space="preserve"> </v>
      </c>
      <c r="N23" s="7" t="str">
        <f>ngay13!K21</f>
        <v xml:space="preserve"> </v>
      </c>
      <c r="O23" s="7" t="str">
        <f>ngay14!K21</f>
        <v xml:space="preserve"> </v>
      </c>
      <c r="P23" s="7" t="str">
        <f>ngay15!K21</f>
        <v xml:space="preserve"> </v>
      </c>
      <c r="Q23" s="7" t="str">
        <f>ngay16!K21</f>
        <v xml:space="preserve"> </v>
      </c>
      <c r="R23" s="7" t="str">
        <f>ngay17!K21</f>
        <v xml:space="preserve"> </v>
      </c>
      <c r="S23" s="7" t="str">
        <f>ngay18!K21</f>
        <v xml:space="preserve"> </v>
      </c>
      <c r="T23" s="7" t="str">
        <f>ngay19!K21</f>
        <v xml:space="preserve"> </v>
      </c>
      <c r="U23" s="7" t="str">
        <f>ngay20!K21</f>
        <v xml:space="preserve"> </v>
      </c>
      <c r="V23" s="7" t="str">
        <f>ngay21!K21</f>
        <v xml:space="preserve"> </v>
      </c>
      <c r="W23" s="7" t="str">
        <f>ngay22!K21</f>
        <v xml:space="preserve"> </v>
      </c>
      <c r="X23" s="7" t="str">
        <f>ngay23!K21</f>
        <v xml:space="preserve"> </v>
      </c>
      <c r="Y23" s="7" t="str">
        <f>ngay24!K21</f>
        <v xml:space="preserve"> </v>
      </c>
      <c r="Z23" s="7" t="str">
        <f>ngay25!K21</f>
        <v xml:space="preserve"> </v>
      </c>
      <c r="AA23" s="7" t="str">
        <f>ngay26!K21</f>
        <v xml:space="preserve"> </v>
      </c>
      <c r="AB23" s="7" t="str">
        <f>ngay27!K21</f>
        <v xml:space="preserve"> </v>
      </c>
      <c r="AC23" s="7" t="str">
        <f>ngay28!K21</f>
        <v xml:space="preserve"> </v>
      </c>
      <c r="AD23" s="7" t="str">
        <f>ngay29!K21</f>
        <v xml:space="preserve"> </v>
      </c>
      <c r="AE23" s="7" t="str">
        <f>ngay30!K21</f>
        <v xml:space="preserve"> </v>
      </c>
      <c r="AF23" s="7" t="str">
        <f>ngay31!K21</f>
        <v xml:space="preserve"> </v>
      </c>
      <c r="AG23" s="22"/>
      <c r="AH23" s="23" t="str">
        <f t="shared" si="0"/>
        <v xml:space="preserve"> </v>
      </c>
      <c r="AI23" s="22"/>
    </row>
    <row r="24" spans="1:45" ht="12.75">
      <c r="A24" s="183" t="s">
        <v>145</v>
      </c>
      <c r="B24" s="22" t="str">
        <f>ngay01!K22</f>
        <v xml:space="preserve"> </v>
      </c>
      <c r="C24" s="22" t="str">
        <f>ngay02!K22</f>
        <v xml:space="preserve"> </v>
      </c>
      <c r="D24" s="22" t="str">
        <f>ngay03!K22</f>
        <v xml:space="preserve"> </v>
      </c>
      <c r="E24" s="22" t="str">
        <f>ngay04!K22</f>
        <v xml:space="preserve"> </v>
      </c>
      <c r="F24" s="22" t="str">
        <f>ngay05!K22</f>
        <v xml:space="preserve"> </v>
      </c>
      <c r="G24" s="22" t="str">
        <f>ngay06!K22</f>
        <v xml:space="preserve"> </v>
      </c>
      <c r="H24" s="22" t="str">
        <f>ngay07!K22</f>
        <v xml:space="preserve"> </v>
      </c>
      <c r="I24" s="22" t="str">
        <f>ngay08!K22</f>
        <v xml:space="preserve"> </v>
      </c>
      <c r="J24" s="22" t="str">
        <f>ngay09!K22</f>
        <v xml:space="preserve"> </v>
      </c>
      <c r="K24" s="22" t="str">
        <f>ngay10!K22</f>
        <v xml:space="preserve"> </v>
      </c>
      <c r="L24" s="7" t="str">
        <f>ngay11!K22</f>
        <v xml:space="preserve"> </v>
      </c>
      <c r="M24" s="7" t="str">
        <f>ngay12!K22</f>
        <v xml:space="preserve"> </v>
      </c>
      <c r="N24" s="7" t="str">
        <f>ngay13!K22</f>
        <v xml:space="preserve"> </v>
      </c>
      <c r="O24" s="7" t="str">
        <f>ngay14!K22</f>
        <v xml:space="preserve"> </v>
      </c>
      <c r="P24" s="7" t="str">
        <f>ngay15!K22</f>
        <v xml:space="preserve"> </v>
      </c>
      <c r="Q24" s="7" t="str">
        <f>ngay16!K22</f>
        <v xml:space="preserve"> </v>
      </c>
      <c r="R24" s="7" t="str">
        <f>ngay17!K22</f>
        <v xml:space="preserve"> </v>
      </c>
      <c r="S24" s="7" t="str">
        <f>ngay18!K22</f>
        <v xml:space="preserve"> </v>
      </c>
      <c r="T24" s="7" t="str">
        <f>ngay19!K22</f>
        <v xml:space="preserve"> </v>
      </c>
      <c r="U24" s="7" t="str">
        <f>ngay20!K22</f>
        <v xml:space="preserve"> </v>
      </c>
      <c r="V24" s="7" t="str">
        <f>ngay21!K22</f>
        <v xml:space="preserve"> </v>
      </c>
      <c r="W24" s="7" t="str">
        <f>ngay22!K22</f>
        <v xml:space="preserve"> </v>
      </c>
      <c r="X24" s="7" t="str">
        <f>ngay23!K22</f>
        <v xml:space="preserve"> </v>
      </c>
      <c r="Y24" s="7" t="str">
        <f>ngay24!K22</f>
        <v xml:space="preserve"> </v>
      </c>
      <c r="Z24" s="7" t="str">
        <f>ngay25!K22</f>
        <v xml:space="preserve"> </v>
      </c>
      <c r="AA24" s="7" t="str">
        <f>ngay26!K22</f>
        <v xml:space="preserve"> </v>
      </c>
      <c r="AB24" s="7" t="str">
        <f>ngay27!K22</f>
        <v xml:space="preserve"> </v>
      </c>
      <c r="AC24" s="7" t="str">
        <f>ngay28!K22</f>
        <v xml:space="preserve"> </v>
      </c>
      <c r="AD24" s="7" t="str">
        <f>ngay29!K22</f>
        <v xml:space="preserve"> </v>
      </c>
      <c r="AE24" s="7" t="str">
        <f>ngay30!K22</f>
        <v xml:space="preserve"> </v>
      </c>
      <c r="AF24" s="7" t="str">
        <f>ngay31!K22</f>
        <v xml:space="preserve"> </v>
      </c>
      <c r="AG24" s="22"/>
      <c r="AH24" s="23" t="str">
        <f t="shared" si="0"/>
        <v xml:space="preserve"> </v>
      </c>
      <c r="AI24" s="22"/>
    </row>
    <row r="25" spans="1:45" ht="12.75">
      <c r="A25" s="183" t="s">
        <v>146</v>
      </c>
      <c r="B25" s="22" t="str">
        <f>ngay01!K23</f>
        <v xml:space="preserve"> </v>
      </c>
      <c r="C25" s="22" t="str">
        <f>ngay02!K23</f>
        <v xml:space="preserve"> </v>
      </c>
      <c r="D25" s="22" t="str">
        <f>ngay03!K23</f>
        <v xml:space="preserve"> </v>
      </c>
      <c r="E25" s="22" t="str">
        <f>ngay04!K23</f>
        <v xml:space="preserve"> </v>
      </c>
      <c r="F25" s="22" t="str">
        <f>ngay05!K23</f>
        <v xml:space="preserve"> </v>
      </c>
      <c r="G25" s="22" t="str">
        <f>ngay06!K23</f>
        <v xml:space="preserve"> </v>
      </c>
      <c r="H25" s="22" t="str">
        <f>ngay07!K23</f>
        <v xml:space="preserve"> </v>
      </c>
      <c r="I25" s="22" t="str">
        <f>ngay08!K23</f>
        <v xml:space="preserve"> </v>
      </c>
      <c r="J25" s="22" t="str">
        <f>ngay09!K23</f>
        <v xml:space="preserve"> </v>
      </c>
      <c r="K25" s="22" t="str">
        <f>ngay10!K23</f>
        <v xml:space="preserve"> </v>
      </c>
      <c r="L25" s="7" t="str">
        <f>ngay11!K23</f>
        <v xml:space="preserve"> </v>
      </c>
      <c r="M25" s="7" t="str">
        <f>ngay12!K23</f>
        <v xml:space="preserve"> </v>
      </c>
      <c r="N25" s="7" t="str">
        <f>ngay13!K23</f>
        <v xml:space="preserve"> </v>
      </c>
      <c r="O25" s="7" t="str">
        <f>ngay14!K23</f>
        <v xml:space="preserve"> </v>
      </c>
      <c r="P25" s="7" t="str">
        <f>ngay15!K23</f>
        <v xml:space="preserve"> </v>
      </c>
      <c r="Q25" s="7" t="str">
        <f>ngay16!K23</f>
        <v xml:space="preserve"> </v>
      </c>
      <c r="R25" s="7" t="str">
        <f>ngay17!K23</f>
        <v xml:space="preserve"> </v>
      </c>
      <c r="S25" s="7" t="str">
        <f>ngay18!K23</f>
        <v xml:space="preserve"> </v>
      </c>
      <c r="T25" s="7" t="str">
        <f>ngay19!K23</f>
        <v xml:space="preserve"> </v>
      </c>
      <c r="U25" s="7" t="str">
        <f>ngay20!K23</f>
        <v xml:space="preserve"> </v>
      </c>
      <c r="V25" s="7" t="str">
        <f>ngay21!K23</f>
        <v xml:space="preserve"> </v>
      </c>
      <c r="W25" s="7" t="str">
        <f>ngay22!K23</f>
        <v xml:space="preserve"> </v>
      </c>
      <c r="X25" s="7" t="str">
        <f>ngay23!K23</f>
        <v xml:space="preserve"> </v>
      </c>
      <c r="Y25" s="7" t="str">
        <f>ngay24!K23</f>
        <v xml:space="preserve"> </v>
      </c>
      <c r="Z25" s="7" t="str">
        <f>ngay25!K23</f>
        <v xml:space="preserve"> </v>
      </c>
      <c r="AA25" s="7" t="str">
        <f>ngay26!K23</f>
        <v xml:space="preserve"> </v>
      </c>
      <c r="AB25" s="7" t="str">
        <f>ngay27!K23</f>
        <v xml:space="preserve"> </v>
      </c>
      <c r="AC25" s="7" t="str">
        <f>ngay28!K23</f>
        <v xml:space="preserve"> </v>
      </c>
      <c r="AD25" s="7" t="str">
        <f>ngay29!K23</f>
        <v xml:space="preserve"> </v>
      </c>
      <c r="AE25" s="7" t="str">
        <f>ngay30!K23</f>
        <v xml:space="preserve"> </v>
      </c>
      <c r="AF25" s="7" t="str">
        <f>ngay31!K23</f>
        <v xml:space="preserve"> </v>
      </c>
      <c r="AG25" s="22"/>
      <c r="AH25" s="23" t="str">
        <f t="shared" si="0"/>
        <v xml:space="preserve"> </v>
      </c>
      <c r="AI25" s="22"/>
    </row>
    <row r="26" spans="1:45" ht="12.75">
      <c r="A26" s="183" t="s">
        <v>147</v>
      </c>
      <c r="B26" s="22" t="str">
        <f>ngay01!K24</f>
        <v xml:space="preserve"> </v>
      </c>
      <c r="C26" s="22" t="str">
        <f>ngay02!K24</f>
        <v xml:space="preserve"> </v>
      </c>
      <c r="D26" s="22" t="str">
        <f>ngay03!K24</f>
        <v xml:space="preserve"> </v>
      </c>
      <c r="E26" s="22" t="str">
        <f>ngay04!K24</f>
        <v xml:space="preserve"> </v>
      </c>
      <c r="F26" s="22" t="str">
        <f>ngay05!K24</f>
        <v xml:space="preserve"> </v>
      </c>
      <c r="G26" s="22" t="str">
        <f>ngay06!K24</f>
        <v xml:space="preserve"> </v>
      </c>
      <c r="H26" s="22" t="str">
        <f>ngay07!K24</f>
        <v xml:space="preserve"> </v>
      </c>
      <c r="I26" s="22" t="str">
        <f>ngay08!K24</f>
        <v xml:space="preserve"> </v>
      </c>
      <c r="J26" s="22" t="str">
        <f>ngay09!K24</f>
        <v xml:space="preserve"> </v>
      </c>
      <c r="K26" s="22" t="str">
        <f>ngay10!K24</f>
        <v xml:space="preserve"> </v>
      </c>
      <c r="L26" s="7" t="str">
        <f>ngay11!K24</f>
        <v xml:space="preserve"> </v>
      </c>
      <c r="M26" s="7" t="str">
        <f>ngay12!K24</f>
        <v xml:space="preserve"> </v>
      </c>
      <c r="N26" s="7" t="str">
        <f>ngay13!K24</f>
        <v xml:space="preserve"> </v>
      </c>
      <c r="O26" s="7" t="str">
        <f>ngay14!K24</f>
        <v xml:space="preserve"> </v>
      </c>
      <c r="P26" s="7" t="str">
        <f>ngay15!K24</f>
        <v xml:space="preserve"> </v>
      </c>
      <c r="Q26" s="7" t="str">
        <f>ngay16!K24</f>
        <v xml:space="preserve"> </v>
      </c>
      <c r="R26" s="7" t="str">
        <f>ngay17!K24</f>
        <v xml:space="preserve"> </v>
      </c>
      <c r="S26" s="7" t="str">
        <f>ngay18!K24</f>
        <v xml:space="preserve"> </v>
      </c>
      <c r="T26" s="7" t="str">
        <f>ngay19!K24</f>
        <v xml:space="preserve"> </v>
      </c>
      <c r="U26" s="7" t="str">
        <f>ngay20!K24</f>
        <v xml:space="preserve"> </v>
      </c>
      <c r="V26" s="7" t="str">
        <f>ngay21!K24</f>
        <v xml:space="preserve"> </v>
      </c>
      <c r="W26" s="7" t="str">
        <f>ngay22!K24</f>
        <v xml:space="preserve"> </v>
      </c>
      <c r="X26" s="7" t="str">
        <f>ngay23!K24</f>
        <v xml:space="preserve"> </v>
      </c>
      <c r="Y26" s="7" t="str">
        <f>ngay24!K24</f>
        <v xml:space="preserve"> </v>
      </c>
      <c r="Z26" s="7" t="str">
        <f>ngay25!K24</f>
        <v xml:space="preserve"> </v>
      </c>
      <c r="AA26" s="7" t="str">
        <f>ngay26!K24</f>
        <v xml:space="preserve"> </v>
      </c>
      <c r="AB26" s="7" t="str">
        <f>ngay27!K24</f>
        <v xml:space="preserve"> </v>
      </c>
      <c r="AC26" s="7" t="str">
        <f>ngay28!K24</f>
        <v xml:space="preserve"> </v>
      </c>
      <c r="AD26" s="7" t="str">
        <f>ngay29!K24</f>
        <v xml:space="preserve"> </v>
      </c>
      <c r="AE26" s="7" t="str">
        <f>ngay30!K24</f>
        <v xml:space="preserve"> </v>
      </c>
      <c r="AF26" s="7" t="str">
        <f>ngay31!K24</f>
        <v xml:space="preserve"> </v>
      </c>
      <c r="AG26" s="22"/>
      <c r="AH26" s="23" t="str">
        <f t="shared" si="0"/>
        <v xml:space="preserve"> </v>
      </c>
      <c r="AI26" s="22"/>
    </row>
    <row r="27" spans="1:45" ht="12.75">
      <c r="A27" s="303" t="s">
        <v>191</v>
      </c>
      <c r="B27" s="22" t="str">
        <f>ngay01!K25</f>
        <v xml:space="preserve"> </v>
      </c>
      <c r="C27" s="22" t="str">
        <f>ngay02!K25</f>
        <v xml:space="preserve"> </v>
      </c>
      <c r="D27" s="22" t="str">
        <f>ngay03!K25</f>
        <v xml:space="preserve"> </v>
      </c>
      <c r="E27" s="22" t="str">
        <f>ngay04!K25</f>
        <v xml:space="preserve"> </v>
      </c>
      <c r="F27" s="22" t="str">
        <f>ngay05!K25</f>
        <v xml:space="preserve"> </v>
      </c>
      <c r="G27" s="22" t="str">
        <f>ngay06!K25</f>
        <v xml:space="preserve"> </v>
      </c>
      <c r="H27" s="22" t="str">
        <f>ngay07!K25</f>
        <v xml:space="preserve"> </v>
      </c>
      <c r="I27" s="22" t="str">
        <f>ngay08!K25</f>
        <v xml:space="preserve"> </v>
      </c>
      <c r="J27" s="22" t="str">
        <f>ngay09!K25</f>
        <v xml:space="preserve"> </v>
      </c>
      <c r="K27" s="22" t="str">
        <f>ngay10!K25</f>
        <v xml:space="preserve"> </v>
      </c>
      <c r="L27" s="7" t="str">
        <f>ngay11!K25</f>
        <v xml:space="preserve"> </v>
      </c>
      <c r="M27" s="7" t="str">
        <f>ngay12!K25</f>
        <v xml:space="preserve"> </v>
      </c>
      <c r="N27" s="7" t="str">
        <f>ngay13!K25</f>
        <v xml:space="preserve"> </v>
      </c>
      <c r="O27" s="7" t="str">
        <f>ngay14!K25</f>
        <v xml:space="preserve"> </v>
      </c>
      <c r="P27" s="7" t="str">
        <f>ngay15!K25</f>
        <v xml:space="preserve"> </v>
      </c>
      <c r="Q27" s="7" t="str">
        <f>ngay16!K25</f>
        <v xml:space="preserve"> </v>
      </c>
      <c r="R27" s="7" t="str">
        <f>ngay17!K25</f>
        <v xml:space="preserve"> </v>
      </c>
      <c r="S27" s="7" t="str">
        <f>ngay18!K25</f>
        <v xml:space="preserve"> </v>
      </c>
      <c r="T27" s="7" t="str">
        <f>ngay19!K25</f>
        <v xml:space="preserve"> </v>
      </c>
      <c r="U27" s="7" t="str">
        <f>ngay20!K25</f>
        <v xml:space="preserve"> </v>
      </c>
      <c r="V27" s="7" t="str">
        <f>ngay21!K25</f>
        <v xml:space="preserve"> </v>
      </c>
      <c r="W27" s="7" t="str">
        <f>ngay22!K25</f>
        <v xml:space="preserve"> </v>
      </c>
      <c r="X27" s="7" t="str">
        <f>ngay23!K25</f>
        <v xml:space="preserve"> </v>
      </c>
      <c r="Y27" s="7" t="str">
        <f>ngay24!K25</f>
        <v xml:space="preserve"> </v>
      </c>
      <c r="Z27" s="7" t="str">
        <f>ngay25!K25</f>
        <v xml:space="preserve"> </v>
      </c>
      <c r="AA27" s="7" t="str">
        <f>ngay26!K25</f>
        <v xml:space="preserve"> </v>
      </c>
      <c r="AB27" s="7" t="str">
        <f>ngay27!K25</f>
        <v xml:space="preserve"> </v>
      </c>
      <c r="AC27" s="7" t="str">
        <f>ngay28!K25</f>
        <v xml:space="preserve"> </v>
      </c>
      <c r="AD27" s="7" t="str">
        <f>ngay29!K25</f>
        <v xml:space="preserve"> </v>
      </c>
      <c r="AE27" s="7" t="str">
        <f>ngay30!K25</f>
        <v xml:space="preserve"> </v>
      </c>
      <c r="AF27" s="7" t="str">
        <f>ngay31!K25</f>
        <v xml:space="preserve"> </v>
      </c>
      <c r="AG27" s="22"/>
      <c r="AH27" s="23" t="str">
        <f t="shared" si="0"/>
        <v xml:space="preserve"> </v>
      </c>
      <c r="AI27" s="22"/>
    </row>
    <row r="28" spans="1:45">
      <c r="B28" s="22" t="str">
        <f>ngay01!K26</f>
        <v xml:space="preserve"> </v>
      </c>
      <c r="C28" s="22" t="str">
        <f>ngay02!K26</f>
        <v xml:space="preserve"> </v>
      </c>
      <c r="D28" s="22" t="str">
        <f>ngay03!K26</f>
        <v xml:space="preserve"> </v>
      </c>
      <c r="E28" s="22" t="str">
        <f>ngay04!K26</f>
        <v xml:space="preserve"> </v>
      </c>
      <c r="F28" s="22" t="str">
        <f>ngay05!K26</f>
        <v xml:space="preserve"> </v>
      </c>
      <c r="G28" s="22" t="str">
        <f>ngay06!K26</f>
        <v xml:space="preserve"> </v>
      </c>
      <c r="H28" s="22" t="str">
        <f>ngay07!K26</f>
        <v xml:space="preserve"> </v>
      </c>
      <c r="I28" s="22" t="str">
        <f>ngay08!K26</f>
        <v xml:space="preserve"> </v>
      </c>
      <c r="J28" s="22" t="str">
        <f>ngay09!K26</f>
        <v xml:space="preserve"> </v>
      </c>
      <c r="K28" s="22" t="str">
        <f>ngay10!K26</f>
        <v xml:space="preserve"> </v>
      </c>
      <c r="L28" s="7" t="str">
        <f>ngay11!K26</f>
        <v xml:space="preserve"> </v>
      </c>
      <c r="M28" s="7" t="str">
        <f>ngay12!K26</f>
        <v xml:space="preserve"> </v>
      </c>
      <c r="N28" s="7" t="str">
        <f>ngay13!K26</f>
        <v xml:space="preserve"> </v>
      </c>
      <c r="O28" s="7" t="str">
        <f>ngay14!K26</f>
        <v xml:space="preserve"> </v>
      </c>
      <c r="P28" s="7" t="str">
        <f>ngay15!K26</f>
        <v xml:space="preserve"> </v>
      </c>
      <c r="Q28" s="7" t="str">
        <f>ngay16!K26</f>
        <v xml:space="preserve"> </v>
      </c>
      <c r="R28" s="7" t="str">
        <f>ngay17!K26</f>
        <v xml:space="preserve"> </v>
      </c>
      <c r="S28" s="7" t="str">
        <f>ngay18!K26</f>
        <v xml:space="preserve"> </v>
      </c>
      <c r="T28" s="7" t="str">
        <f>ngay19!K26</f>
        <v xml:space="preserve"> </v>
      </c>
      <c r="U28" s="7" t="str">
        <f>ngay20!K26</f>
        <v xml:space="preserve"> </v>
      </c>
      <c r="V28" s="7" t="str">
        <f>ngay21!K26</f>
        <v xml:space="preserve"> </v>
      </c>
      <c r="W28" s="7" t="str">
        <f>ngay22!K26</f>
        <v xml:space="preserve"> </v>
      </c>
      <c r="X28" s="7" t="str">
        <f>ngay23!K26</f>
        <v xml:space="preserve"> </v>
      </c>
      <c r="Y28" s="7" t="str">
        <f>ngay24!K26</f>
        <v xml:space="preserve"> </v>
      </c>
      <c r="Z28" s="7" t="str">
        <f>ngay25!K26</f>
        <v xml:space="preserve"> </v>
      </c>
      <c r="AA28" s="7" t="str">
        <f>ngay26!K26</f>
        <v xml:space="preserve"> </v>
      </c>
      <c r="AB28" s="7" t="str">
        <f>ngay27!K26</f>
        <v xml:space="preserve"> </v>
      </c>
      <c r="AC28" s="7" t="str">
        <f>ngay28!K26</f>
        <v xml:space="preserve"> </v>
      </c>
      <c r="AD28" s="7" t="str">
        <f>ngay29!K26</f>
        <v xml:space="preserve"> </v>
      </c>
      <c r="AE28" s="7" t="str">
        <f>ngay30!K26</f>
        <v xml:space="preserve"> </v>
      </c>
      <c r="AF28" s="7" t="str">
        <f>ngay31!K26</f>
        <v xml:space="preserve"> </v>
      </c>
      <c r="AG28" s="22"/>
      <c r="AH28" s="23" t="str">
        <f>IF(COUNT(B28:AF28)&gt;0,AVERAGE(B28:AF28)," ")</f>
        <v xml:space="preserve"> </v>
      </c>
    </row>
    <row r="29" spans="1:45">
      <c r="C29" s="10"/>
      <c r="D29" s="10"/>
      <c r="E29" s="10"/>
      <c r="F29" s="10"/>
    </row>
    <row r="30" spans="1:45">
      <c r="C30" s="10"/>
      <c r="D30" s="10"/>
      <c r="E30" s="10"/>
      <c r="F30" s="10"/>
    </row>
    <row r="31" spans="1:45">
      <c r="C31" s="10"/>
      <c r="D31" s="10"/>
      <c r="E31" s="10"/>
      <c r="F31" s="10"/>
    </row>
    <row r="32" spans="1:45">
      <c r="C32" s="10"/>
      <c r="D32" s="10"/>
      <c r="E32" s="10"/>
      <c r="F32" s="10"/>
    </row>
    <row r="33" spans="3:6">
      <c r="C33" s="10"/>
      <c r="D33" s="10"/>
      <c r="E33" s="10"/>
      <c r="F33" s="10"/>
    </row>
    <row r="34" spans="3:6">
      <c r="C34" s="10"/>
      <c r="D34" s="10"/>
      <c r="E34" s="10"/>
      <c r="F34" s="10"/>
    </row>
    <row r="35" spans="3:6">
      <c r="C35" s="10"/>
      <c r="D35" s="10"/>
      <c r="E35" s="10"/>
      <c r="F35" s="10"/>
    </row>
    <row r="36" spans="3:6">
      <c r="C36" s="10"/>
      <c r="D36" s="10"/>
      <c r="E36" s="10"/>
      <c r="F36" s="10"/>
    </row>
    <row r="37" spans="3:6">
      <c r="C37" s="10"/>
      <c r="D37" s="10"/>
      <c r="E37" s="10"/>
      <c r="F37" s="10"/>
    </row>
    <row r="38" spans="3:6">
      <c r="C38" s="10"/>
      <c r="D38" s="10"/>
      <c r="E38" s="10"/>
      <c r="F38" s="10"/>
    </row>
    <row r="39" spans="3:6">
      <c r="C39" s="10"/>
      <c r="D39" s="10"/>
      <c r="E39" s="10"/>
      <c r="F39" s="10"/>
    </row>
    <row r="40" spans="3:6">
      <c r="C40" s="10"/>
      <c r="D40" s="10"/>
      <c r="E40" s="10"/>
      <c r="F40" s="10"/>
    </row>
    <row r="41" spans="3:6">
      <c r="C41" s="10"/>
      <c r="D41" s="10"/>
      <c r="E41" s="10"/>
      <c r="F41" s="10"/>
    </row>
    <row r="42" spans="3:6">
      <c r="C42" s="10"/>
      <c r="D42" s="10"/>
      <c r="E42" s="10"/>
      <c r="F42" s="10"/>
    </row>
    <row r="43" spans="3:6">
      <c r="C43" s="10"/>
      <c r="D43" s="10"/>
      <c r="E43" s="10"/>
      <c r="F43" s="10"/>
    </row>
    <row r="44" spans="3:6">
      <c r="C44" s="10"/>
      <c r="D44" s="10"/>
      <c r="E44" s="10"/>
      <c r="F44" s="10"/>
    </row>
    <row r="45" spans="3:6">
      <c r="C45" s="10"/>
      <c r="D45" s="10"/>
      <c r="E45" s="10"/>
      <c r="F45" s="10"/>
    </row>
    <row r="46" spans="3:6">
      <c r="C46" s="10"/>
      <c r="D46" s="10"/>
      <c r="E46" s="10"/>
      <c r="F46" s="10"/>
    </row>
    <row r="47" spans="3:6">
      <c r="C47" s="10"/>
      <c r="D47" s="10"/>
      <c r="E47" s="10"/>
      <c r="F47" s="10"/>
    </row>
  </sheetData>
  <phoneticPr fontId="0" type="noConversion"/>
  <pageMargins left="0.39370078740157483" right="0.39370078740157483" top="0.39370078740157483" bottom="0.39370078740157483" header="0.11811023622047245" footer="0.11811023622047245"/>
  <pageSetup paperSize="9" orientation="portrait" blackAndWhite="1" horizontalDpi="4294967292" r:id="rId1"/>
  <headerFooter alignWithMargins="0">
    <oddHeader>&amp;A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E28"/>
  <sheetViews>
    <sheetView zoomScaleNormal="100" workbookViewId="0">
      <selection activeCell="AH26" sqref="AH26"/>
    </sheetView>
  </sheetViews>
  <sheetFormatPr defaultColWidth="6" defaultRowHeight="11.25"/>
  <cols>
    <col min="1" max="1" width="13.1640625" style="9" customWidth="1"/>
    <col min="2" max="31" width="6" style="9"/>
    <col min="32" max="32" width="6.6640625" style="9" customWidth="1"/>
    <col min="33" max="33" width="9.33203125" style="21" customWidth="1"/>
    <col min="34" max="34" width="13" style="21" customWidth="1"/>
    <col min="35" max="35" width="9.33203125" style="9" bestFit="1" customWidth="1"/>
    <col min="36" max="16384" width="6" style="9"/>
  </cols>
  <sheetData>
    <row r="1" spans="1:57" ht="8.25" customHeight="1">
      <c r="A1" s="8"/>
      <c r="B1" s="8"/>
      <c r="C1" s="8"/>
    </row>
    <row r="2" spans="1:57" ht="6.7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5"/>
      <c r="AH2" s="15"/>
      <c r="AI2" s="10"/>
      <c r="AJ2" s="10"/>
      <c r="AK2" s="10"/>
    </row>
    <row r="3" spans="1:57" ht="7.5" customHeight="1" thickBot="1"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</row>
    <row r="4" spans="1:57" s="21" customFormat="1" ht="18.75" customHeight="1">
      <c r="A4" s="11"/>
      <c r="B4" s="30" t="s">
        <v>21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9"/>
      <c r="AG4" s="30" t="s">
        <v>22</v>
      </c>
      <c r="AH4" s="24"/>
      <c r="AI4" s="9"/>
      <c r="AJ4" s="9"/>
      <c r="AK4" s="9"/>
      <c r="AL4" s="9"/>
      <c r="AM4" s="9"/>
      <c r="AN4" s="9"/>
      <c r="AO4" s="9"/>
      <c r="AP4" s="9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</row>
    <row r="5" spans="1:57" ht="18.75" customHeight="1" thickBot="1">
      <c r="A5" s="17" t="s">
        <v>19</v>
      </c>
      <c r="B5" s="12">
        <v>1</v>
      </c>
      <c r="C5" s="13">
        <v>2</v>
      </c>
      <c r="D5" s="13">
        <v>3</v>
      </c>
      <c r="E5" s="13">
        <v>4</v>
      </c>
      <c r="F5" s="13">
        <v>5</v>
      </c>
      <c r="G5" s="13">
        <v>6</v>
      </c>
      <c r="H5" s="13">
        <v>7</v>
      </c>
      <c r="I5" s="13">
        <v>8</v>
      </c>
      <c r="J5" s="13">
        <v>9</v>
      </c>
      <c r="K5" s="13">
        <v>10</v>
      </c>
      <c r="L5" s="13">
        <v>11</v>
      </c>
      <c r="M5" s="13">
        <v>12</v>
      </c>
      <c r="N5" s="13">
        <v>13</v>
      </c>
      <c r="O5" s="13">
        <v>14</v>
      </c>
      <c r="P5" s="13">
        <v>15</v>
      </c>
      <c r="Q5" s="13">
        <v>16</v>
      </c>
      <c r="R5" s="13">
        <v>17</v>
      </c>
      <c r="S5" s="13">
        <v>18</v>
      </c>
      <c r="T5" s="13">
        <v>19</v>
      </c>
      <c r="U5" s="13">
        <v>20</v>
      </c>
      <c r="V5" s="13">
        <v>21</v>
      </c>
      <c r="W5" s="13">
        <v>22</v>
      </c>
      <c r="X5" s="13">
        <v>23</v>
      </c>
      <c r="Y5" s="13">
        <v>24</v>
      </c>
      <c r="Z5" s="13">
        <v>25</v>
      </c>
      <c r="AA5" s="13">
        <v>26</v>
      </c>
      <c r="AB5" s="13">
        <v>27</v>
      </c>
      <c r="AC5" s="13">
        <v>28</v>
      </c>
      <c r="AD5" s="13">
        <v>29</v>
      </c>
      <c r="AE5" s="13">
        <v>30</v>
      </c>
      <c r="AF5" s="14">
        <v>31</v>
      </c>
      <c r="AG5" s="32" t="s">
        <v>23</v>
      </c>
      <c r="AH5" s="33" t="s">
        <v>24</v>
      </c>
      <c r="AI5" s="157" t="s">
        <v>84</v>
      </c>
    </row>
    <row r="6" spans="1:57" ht="13.5" thickTop="1">
      <c r="A6" s="183" t="s">
        <v>128</v>
      </c>
      <c r="B6" s="25" t="str">
        <f>IF(ngay01!M4&gt;0,ngay01!M4," ")</f>
        <v xml:space="preserve"> </v>
      </c>
      <c r="C6" s="10" t="str">
        <f>IF(ngay02!M4&gt;0,ngay02!M4," ")</f>
        <v/>
      </c>
      <c r="D6" s="10" t="str">
        <f>IF(ngay03!M4&gt;0,ngay03!M4," ")</f>
        <v/>
      </c>
      <c r="E6" s="10" t="str">
        <f>IF(ngay04!M4&gt;0,ngay04!M4," ")</f>
        <v/>
      </c>
      <c r="F6" s="10" t="str">
        <f>IF(ngay05!M4&gt;0,ngay05!M4," ")</f>
        <v/>
      </c>
      <c r="G6" s="10" t="str">
        <f>IF(ngay06!M4&gt;0,ngay06!M4," ")</f>
        <v/>
      </c>
      <c r="H6" s="10" t="str">
        <f>IF(ngay07!M4&gt;0,ngay07!M4," ")</f>
        <v/>
      </c>
      <c r="I6" s="10" t="str">
        <f>IF(ngay08!M4&gt;0,ngay08!M4," ")</f>
        <v/>
      </c>
      <c r="J6" s="10" t="str">
        <f>IF(ngay09!M4&gt;0,ngay09!M4," ")</f>
        <v/>
      </c>
      <c r="K6" s="10" t="str">
        <f>IF(ngay10!M4&gt;0,ngay10!M4," ")</f>
        <v/>
      </c>
      <c r="L6" s="10" t="str">
        <f>IF(ngay11!M4&gt;0,ngay11!M4," ")</f>
        <v/>
      </c>
      <c r="M6" s="10" t="str">
        <f>IF(ngay12!M4&gt;0,ngay12!M4," ")</f>
        <v/>
      </c>
      <c r="N6" s="10" t="str">
        <f>IF(ngay13!M4&gt;0,ngay13!M4," ")</f>
        <v/>
      </c>
      <c r="O6" s="10" t="str">
        <f>IF(ngay14!M4&gt;0,ngay14!M4," ")</f>
        <v/>
      </c>
      <c r="P6" s="10" t="str">
        <f>IF(ngay15!M4&gt;0,ngay15!M4," ")</f>
        <v/>
      </c>
      <c r="Q6" s="10" t="str">
        <f>IF(ngay16!M4&gt;0,ngay16!M4," ")</f>
        <v/>
      </c>
      <c r="R6" s="10" t="str">
        <f>IF(ngay17!M4&gt;0,ngay17!M4," ")</f>
        <v/>
      </c>
      <c r="S6" s="10" t="str">
        <f>IF(ngay18!M4&gt;0,ngay18!M4," ")</f>
        <v/>
      </c>
      <c r="T6" s="10" t="str">
        <f>IF(ngay19!M4&gt;0,ngay19!M4," ")</f>
        <v/>
      </c>
      <c r="U6" s="10" t="str">
        <f>IF(ngay20!M4&gt;0,ngay20!M4," ")</f>
        <v/>
      </c>
      <c r="V6" s="10" t="str">
        <f>IF(ngay21!M4&gt;0,ngay21!M4," ")</f>
        <v/>
      </c>
      <c r="W6" s="10" t="str">
        <f>IF(ngay22!M4&gt;0,ngay22!M4," ")</f>
        <v xml:space="preserve"> </v>
      </c>
      <c r="X6" s="10" t="str">
        <f>IF(ngay23!M4&gt;0,ngay23!M4," ")</f>
        <v xml:space="preserve"> </v>
      </c>
      <c r="Y6" s="10" t="str">
        <f>IF(ngay24!M4&gt;0,ngay24!M4," ")</f>
        <v/>
      </c>
      <c r="Z6" s="10" t="str">
        <f>IF(ngay25!M4&gt;0,ngay25!M4," ")</f>
        <v/>
      </c>
      <c r="AA6" s="10" t="str">
        <f>IF(ngay26!M4&gt;0,ngay26!M4," ")</f>
        <v/>
      </c>
      <c r="AB6" s="10" t="str">
        <f>IF(ngay27!M4&gt;0,ngay27!M4," ")</f>
        <v/>
      </c>
      <c r="AC6" s="10" t="str">
        <f>IF(ngay28!M4&gt;0,ngay28!M4," ")</f>
        <v/>
      </c>
      <c r="AD6" s="10" t="str">
        <f>IF(ngay29!M4&gt;0,ngay29!M4," ")</f>
        <v/>
      </c>
      <c r="AE6" s="10" t="str">
        <f>IF(ngay30!M4&gt;0,ngay30!M4," ")</f>
        <v/>
      </c>
      <c r="AF6" s="57" t="str">
        <f>IF(ngay31!M4&gt;0,ngay31!M4," ")</f>
        <v/>
      </c>
      <c r="AG6" s="58" t="str">
        <f>IF(MAX(B6:AF6)&gt;0,MAX(B6:AF6),"")</f>
        <v/>
      </c>
      <c r="AH6" s="59" t="str">
        <f>IF(COUNT(B6:AF6)&gt;0,AVERAGE(B6:AF6),"")</f>
        <v/>
      </c>
      <c r="AI6" s="9" t="str">
        <f>IF($AG6&lt;&gt;"",INDEX($B$5:$AF$5,1,MATCH($AG6,$B6:$AF6,0)),"")</f>
        <v/>
      </c>
    </row>
    <row r="7" spans="1:57" ht="12.75">
      <c r="A7" s="183" t="s">
        <v>129</v>
      </c>
      <c r="B7" s="25" t="str">
        <f>IF(ngay01!M5&gt;0,ngay01!M5," ")</f>
        <v xml:space="preserve"> </v>
      </c>
      <c r="C7" s="10" t="str">
        <f>IF(ngay02!M5&gt;0,ngay02!M5," ")</f>
        <v/>
      </c>
      <c r="D7" s="10" t="str">
        <f>IF(ngay03!M5&gt;0,ngay03!M5," ")</f>
        <v/>
      </c>
      <c r="E7" s="10" t="str">
        <f>IF(ngay04!M5&gt;0,ngay04!M5," ")</f>
        <v/>
      </c>
      <c r="F7" s="10" t="str">
        <f>IF(ngay05!M5&gt;0,ngay05!M5," ")</f>
        <v/>
      </c>
      <c r="G7" s="10" t="str">
        <f>IF(ngay06!M5&gt;0,ngay06!M5," ")</f>
        <v/>
      </c>
      <c r="H7" s="10" t="str">
        <f>IF(ngay07!M5&gt;0,ngay07!M5," ")</f>
        <v/>
      </c>
      <c r="I7" s="10" t="str">
        <f>IF(ngay08!M5&gt;0,ngay08!M5," ")</f>
        <v/>
      </c>
      <c r="J7" s="10" t="str">
        <f>IF(ngay09!M5&gt;0,ngay09!M5," ")</f>
        <v/>
      </c>
      <c r="K7" s="10" t="str">
        <f>IF(ngay10!M5&gt;0,ngay10!M5," ")</f>
        <v/>
      </c>
      <c r="L7" s="10" t="str">
        <f>IF(ngay11!M5&gt;0,ngay11!M5," ")</f>
        <v/>
      </c>
      <c r="M7" s="10" t="str">
        <f>IF(ngay12!M5&gt;0,ngay12!M5," ")</f>
        <v/>
      </c>
      <c r="N7" s="10" t="str">
        <f>IF(ngay13!M5&gt;0,ngay13!M5," ")</f>
        <v/>
      </c>
      <c r="O7" s="10" t="str">
        <f>IF(ngay14!M5&gt;0,ngay14!M5," ")</f>
        <v/>
      </c>
      <c r="P7" s="10" t="str">
        <f>IF(ngay15!M5&gt;0,ngay15!M5," ")</f>
        <v/>
      </c>
      <c r="Q7" s="10" t="str">
        <f>IF(ngay16!M5&gt;0,ngay16!M5," ")</f>
        <v/>
      </c>
      <c r="R7" s="10" t="str">
        <f>IF(ngay17!M5&gt;0,ngay17!M5," ")</f>
        <v/>
      </c>
      <c r="S7" s="10" t="str">
        <f>IF(ngay18!M5&gt;0,ngay18!M5," ")</f>
        <v/>
      </c>
      <c r="T7" s="10" t="str">
        <f>IF(ngay19!M5&gt;0,ngay19!M5," ")</f>
        <v/>
      </c>
      <c r="U7" s="10" t="str">
        <f>IF(ngay20!M5&gt;0,ngay20!M5," ")</f>
        <v/>
      </c>
      <c r="V7" s="10" t="str">
        <f>IF(ngay21!M5&gt;0,ngay21!M5," ")</f>
        <v/>
      </c>
      <c r="W7" s="10" t="str">
        <f>IF(ngay22!M5&gt;0,ngay22!M5," ")</f>
        <v xml:space="preserve"> </v>
      </c>
      <c r="X7" s="10" t="str">
        <f>IF(ngay23!M5&gt;0,ngay23!M5," ")</f>
        <v xml:space="preserve"> </v>
      </c>
      <c r="Y7" s="10" t="str">
        <f>IF(ngay24!M5&gt;0,ngay24!M5," ")</f>
        <v/>
      </c>
      <c r="Z7" s="10" t="str">
        <f>IF(ngay25!M5&gt;0,ngay25!M5," ")</f>
        <v/>
      </c>
      <c r="AA7" s="10" t="str">
        <f>IF(ngay26!M5&gt;0,ngay26!M5," ")</f>
        <v/>
      </c>
      <c r="AB7" s="10" t="str">
        <f>IF(ngay27!M5&gt;0,ngay27!M5," ")</f>
        <v/>
      </c>
      <c r="AC7" s="10" t="str">
        <f>IF(ngay28!M5&gt;0,ngay28!M5," ")</f>
        <v/>
      </c>
      <c r="AD7" s="10" t="str">
        <f>IF(ngay29!M5&gt;0,ngay29!M5," ")</f>
        <v/>
      </c>
      <c r="AE7" s="10" t="str">
        <f>IF(ngay30!M5&gt;0,ngay30!M5," ")</f>
        <v/>
      </c>
      <c r="AF7" s="57" t="str">
        <f>IF(ngay31!M5&gt;0,ngay31!M5," ")</f>
        <v/>
      </c>
      <c r="AG7" s="58" t="str">
        <f>IF(MAX(B7:AF7)&gt;0,MAX(B7:AF7),"")</f>
        <v/>
      </c>
      <c r="AH7" s="59" t="str">
        <f>IF(COUNT(B7:AF7)&gt;0,AVERAGE(B7:AF7),"")</f>
        <v/>
      </c>
      <c r="AI7" s="9" t="str">
        <f t="shared" ref="AI7:AI28" si="0">IF($AG7&lt;&gt;"",INDEX($B$5:$AF$5,1,MATCH($AG7,$B7:$AF7,0)),"")</f>
        <v/>
      </c>
    </row>
    <row r="8" spans="1:57" ht="12.75">
      <c r="A8" s="184" t="s">
        <v>130</v>
      </c>
      <c r="B8" s="25" t="str">
        <f>IF(ngay01!M6&gt;0,ngay01!M6," ")</f>
        <v xml:space="preserve"> </v>
      </c>
      <c r="C8" s="10" t="str">
        <f>IF(ngay02!M6&gt;0,ngay02!M6," ")</f>
        <v/>
      </c>
      <c r="D8" s="10" t="str">
        <f>IF(ngay03!M6&gt;0,ngay03!M6," ")</f>
        <v/>
      </c>
      <c r="E8" s="10" t="str">
        <f>IF(ngay04!M6&gt;0,ngay04!M6," ")</f>
        <v/>
      </c>
      <c r="F8" s="10" t="str">
        <f>IF(ngay05!M6&gt;0,ngay05!M6," ")</f>
        <v/>
      </c>
      <c r="G8" s="10" t="str">
        <f>IF(ngay06!M6&gt;0,ngay06!M6," ")</f>
        <v/>
      </c>
      <c r="H8" s="10" t="str">
        <f>IF(ngay07!M6&gt;0,ngay07!M6," ")</f>
        <v/>
      </c>
      <c r="I8" s="10" t="str">
        <f>IF(ngay08!M6&gt;0,ngay08!M6," ")</f>
        <v/>
      </c>
      <c r="J8" s="10" t="str">
        <f>IF(ngay09!M6&gt;0,ngay09!M6," ")</f>
        <v/>
      </c>
      <c r="K8" s="10" t="str">
        <f>IF(ngay10!M6&gt;0,ngay10!M6," ")</f>
        <v/>
      </c>
      <c r="L8" s="10" t="str">
        <f>IF(ngay11!M6&gt;0,ngay11!M6," ")</f>
        <v/>
      </c>
      <c r="M8" s="10" t="str">
        <f>IF(ngay12!M6&gt;0,ngay12!M6," ")</f>
        <v/>
      </c>
      <c r="N8" s="10" t="str">
        <f>IF(ngay13!M6&gt;0,ngay13!M6," ")</f>
        <v/>
      </c>
      <c r="O8" s="10" t="str">
        <f>IF(ngay14!M6&gt;0,ngay14!M6," ")</f>
        <v/>
      </c>
      <c r="P8" s="10" t="str">
        <f>IF(ngay15!M6&gt;0,ngay15!M6," ")</f>
        <v/>
      </c>
      <c r="Q8" s="10" t="str">
        <f>IF(ngay16!M6&gt;0,ngay16!M6," ")</f>
        <v/>
      </c>
      <c r="R8" s="10" t="str">
        <f>IF(ngay17!M6&gt;0,ngay17!M6," ")</f>
        <v/>
      </c>
      <c r="S8" s="10" t="str">
        <f>IF(ngay18!M6&gt;0,ngay18!M6," ")</f>
        <v/>
      </c>
      <c r="T8" s="10" t="str">
        <f>IF(ngay19!M6&gt;0,ngay19!M6," ")</f>
        <v/>
      </c>
      <c r="U8" s="10" t="str">
        <f>IF(ngay20!M6&gt;0,ngay20!M6," ")</f>
        <v/>
      </c>
      <c r="V8" s="10" t="str">
        <f>IF(ngay21!M6&gt;0,ngay21!M6," ")</f>
        <v/>
      </c>
      <c r="W8" s="10" t="str">
        <f>IF(ngay22!M6&gt;0,ngay22!M6," ")</f>
        <v xml:space="preserve"> </v>
      </c>
      <c r="X8" s="10" t="str">
        <f>IF(ngay23!M6&gt;0,ngay23!M6," ")</f>
        <v xml:space="preserve"> </v>
      </c>
      <c r="Y8" s="10" t="str">
        <f>IF(ngay24!M6&gt;0,ngay24!M6," ")</f>
        <v/>
      </c>
      <c r="Z8" s="10" t="str">
        <f>IF(ngay25!M6&gt;0,ngay25!M6," ")</f>
        <v/>
      </c>
      <c r="AA8" s="10" t="str">
        <f>IF(ngay26!M6&gt;0,ngay26!M6," ")</f>
        <v/>
      </c>
      <c r="AB8" s="10" t="str">
        <f>IF(ngay27!M6&gt;0,ngay27!M6," ")</f>
        <v/>
      </c>
      <c r="AC8" s="10" t="str">
        <f>IF(ngay28!M6&gt;0,ngay28!M6," ")</f>
        <v/>
      </c>
      <c r="AD8" s="10" t="str">
        <f>IF(ngay29!M6&gt;0,ngay29!M6," ")</f>
        <v/>
      </c>
      <c r="AE8" s="10" t="str">
        <f>IF(ngay30!M6&gt;0,ngay30!M6," ")</f>
        <v/>
      </c>
      <c r="AF8" s="57" t="str">
        <f>IF(ngay31!M6&gt;0,ngay31!M6," ")</f>
        <v/>
      </c>
      <c r="AG8" s="58" t="str">
        <f t="shared" ref="AG8:AG28" si="1">IF(MAX(B8:AF8)&gt;0,MAX(B8:AF8),"")</f>
        <v/>
      </c>
      <c r="AH8" s="59" t="str">
        <f t="shared" ref="AH8:AH28" si="2">IF(COUNT(B8:AF8)&gt;0,AVERAGE(B8:AF8),"")</f>
        <v/>
      </c>
      <c r="AI8" s="9" t="str">
        <f t="shared" si="0"/>
        <v/>
      </c>
    </row>
    <row r="9" spans="1:57" ht="12.75">
      <c r="A9" s="183" t="s">
        <v>131</v>
      </c>
      <c r="B9" s="25" t="str">
        <f>IF(ngay01!M7&gt;0,ngay01!M7," ")</f>
        <v xml:space="preserve"> </v>
      </c>
      <c r="C9" s="10" t="str">
        <f>IF(ngay02!M7&gt;0,ngay02!M7," ")</f>
        <v/>
      </c>
      <c r="D9" s="10" t="str">
        <f>IF(ngay03!M7&gt;0,ngay03!M7," ")</f>
        <v/>
      </c>
      <c r="E9" s="10" t="str">
        <f>IF(ngay04!M7&gt;0,ngay04!M7," ")</f>
        <v/>
      </c>
      <c r="F9" s="10" t="str">
        <f>IF(ngay05!M7&gt;0,ngay05!M7," ")</f>
        <v/>
      </c>
      <c r="G9" s="10" t="str">
        <f>IF(ngay06!M7&gt;0,ngay06!M7," ")</f>
        <v/>
      </c>
      <c r="H9" s="10" t="str">
        <f>IF(ngay07!M7&gt;0,ngay07!M7," ")</f>
        <v/>
      </c>
      <c r="I9" s="10" t="str">
        <f>IF(ngay08!M7&gt;0,ngay08!M7," ")</f>
        <v/>
      </c>
      <c r="J9" s="10" t="str">
        <f>IF(ngay09!M7&gt;0,ngay09!M7," ")</f>
        <v/>
      </c>
      <c r="K9" s="10" t="str">
        <f>IF(ngay10!M7&gt;0,ngay10!M7," ")</f>
        <v/>
      </c>
      <c r="L9" s="10" t="str">
        <f>IF(ngay11!M7&gt;0,ngay11!M7," ")</f>
        <v/>
      </c>
      <c r="M9" s="10" t="str">
        <f>IF(ngay12!M7&gt;0,ngay12!M7," ")</f>
        <v/>
      </c>
      <c r="N9" s="10" t="str">
        <f>IF(ngay13!M7&gt;0,ngay13!M7," ")</f>
        <v/>
      </c>
      <c r="O9" s="10" t="str">
        <f>IF(ngay14!M7&gt;0,ngay14!M7," ")</f>
        <v/>
      </c>
      <c r="P9" s="10" t="str">
        <f>IF(ngay15!M7&gt;0,ngay15!M7," ")</f>
        <v/>
      </c>
      <c r="Q9" s="10" t="str">
        <f>IF(ngay16!M7&gt;0,ngay16!M7," ")</f>
        <v/>
      </c>
      <c r="R9" s="10" t="str">
        <f>IF(ngay17!M7&gt;0,ngay17!M7," ")</f>
        <v/>
      </c>
      <c r="S9" s="10" t="str">
        <f>IF(ngay18!M7&gt;0,ngay18!M7," ")</f>
        <v/>
      </c>
      <c r="T9" s="10" t="str">
        <f>IF(ngay19!M7&gt;0,ngay19!M7," ")</f>
        <v/>
      </c>
      <c r="U9" s="10" t="str">
        <f>IF(ngay20!M7&gt;0,ngay20!M7," ")</f>
        <v/>
      </c>
      <c r="V9" s="10" t="str">
        <f>IF(ngay21!M7&gt;0,ngay21!M7," ")</f>
        <v/>
      </c>
      <c r="W9" s="10" t="str">
        <f>IF(ngay22!M7&gt;0,ngay22!M7," ")</f>
        <v xml:space="preserve"> </v>
      </c>
      <c r="X9" s="10" t="str">
        <f>IF(ngay23!M7&gt;0,ngay23!M7," ")</f>
        <v xml:space="preserve"> </v>
      </c>
      <c r="Y9" s="10" t="str">
        <f>IF(ngay24!M7&gt;0,ngay24!M7," ")</f>
        <v/>
      </c>
      <c r="Z9" s="10" t="str">
        <f>IF(ngay25!M7&gt;0,ngay25!M7," ")</f>
        <v/>
      </c>
      <c r="AA9" s="10" t="str">
        <f>IF(ngay26!M7&gt;0,ngay26!M7," ")</f>
        <v/>
      </c>
      <c r="AB9" s="10" t="str">
        <f>IF(ngay27!M7&gt;0,ngay27!M7," ")</f>
        <v/>
      </c>
      <c r="AC9" s="10" t="str">
        <f>IF(ngay28!M7&gt;0,ngay28!M7," ")</f>
        <v/>
      </c>
      <c r="AD9" s="10" t="str">
        <f>IF(ngay29!M7&gt;0,ngay29!M7," ")</f>
        <v/>
      </c>
      <c r="AE9" s="10" t="str">
        <f>IF(ngay30!M7&gt;0,ngay30!M7," ")</f>
        <v/>
      </c>
      <c r="AF9" s="57" t="str">
        <f>IF(ngay31!M7&gt;0,ngay31!M7," ")</f>
        <v/>
      </c>
      <c r="AG9" s="58" t="str">
        <f t="shared" si="1"/>
        <v/>
      </c>
      <c r="AH9" s="59" t="str">
        <f t="shared" si="2"/>
        <v/>
      </c>
      <c r="AI9" s="9" t="str">
        <f t="shared" si="0"/>
        <v/>
      </c>
    </row>
    <row r="10" spans="1:57" ht="12.75">
      <c r="A10" s="183" t="s">
        <v>132</v>
      </c>
      <c r="B10" s="25" t="str">
        <f>IF(ngay01!M8&gt;0,ngay01!M8," ")</f>
        <v xml:space="preserve"> </v>
      </c>
      <c r="C10" s="10" t="str">
        <f>IF(ngay02!M8&gt;0,ngay02!M8," ")</f>
        <v/>
      </c>
      <c r="D10" s="10" t="str">
        <f>IF(ngay03!M8&gt;0,ngay03!M8," ")</f>
        <v/>
      </c>
      <c r="E10" s="10" t="str">
        <f>IF(ngay04!M8&gt;0,ngay04!M8," ")</f>
        <v/>
      </c>
      <c r="F10" s="10" t="str">
        <f>IF(ngay05!M8&gt;0,ngay05!M8," ")</f>
        <v/>
      </c>
      <c r="G10" s="10" t="str">
        <f>IF(ngay06!M8&gt;0,ngay06!M8," ")</f>
        <v/>
      </c>
      <c r="H10" s="10" t="str">
        <f>IF(ngay07!M8&gt;0,ngay07!M8," ")</f>
        <v/>
      </c>
      <c r="I10" s="10" t="str">
        <f>IF(ngay08!M8&gt;0,ngay08!M8," ")</f>
        <v/>
      </c>
      <c r="J10" s="10" t="str">
        <f>IF(ngay09!M8&gt;0,ngay09!M8," ")</f>
        <v/>
      </c>
      <c r="K10" s="10" t="str">
        <f>IF(ngay10!M8&gt;0,ngay10!M8," ")</f>
        <v/>
      </c>
      <c r="L10" s="10" t="str">
        <f>IF(ngay11!M8&gt;0,ngay11!M8," ")</f>
        <v/>
      </c>
      <c r="M10" s="10" t="str">
        <f>IF(ngay12!M8&gt;0,ngay12!M8," ")</f>
        <v/>
      </c>
      <c r="N10" s="10" t="str">
        <f>IF(ngay13!M8&gt;0,ngay13!M8," ")</f>
        <v/>
      </c>
      <c r="O10" s="10" t="str">
        <f>IF(ngay14!M8&gt;0,ngay14!M8," ")</f>
        <v/>
      </c>
      <c r="P10" s="10" t="str">
        <f>IF(ngay15!M8&gt;0,ngay15!M8," ")</f>
        <v/>
      </c>
      <c r="Q10" s="10" t="str">
        <f>IF(ngay16!M8&gt;0,ngay16!M8," ")</f>
        <v/>
      </c>
      <c r="R10" s="10" t="str">
        <f>IF(ngay17!M8&gt;0,ngay17!M8," ")</f>
        <v/>
      </c>
      <c r="S10" s="10" t="str">
        <f>IF(ngay18!M8&gt;0,ngay18!M8," ")</f>
        <v/>
      </c>
      <c r="T10" s="10" t="str">
        <f>IF(ngay19!M8&gt;0,ngay19!M8," ")</f>
        <v/>
      </c>
      <c r="U10" s="10" t="str">
        <f>IF(ngay20!M8&gt;0,ngay20!M8," ")</f>
        <v/>
      </c>
      <c r="V10" s="10" t="str">
        <f>IF(ngay21!M8&gt;0,ngay21!M8," ")</f>
        <v/>
      </c>
      <c r="W10" s="10" t="str">
        <f>IF(ngay22!M8&gt;0,ngay22!M8," ")</f>
        <v xml:space="preserve"> </v>
      </c>
      <c r="X10" s="10" t="str">
        <f>IF(ngay23!M8&gt;0,ngay23!M8," ")</f>
        <v xml:space="preserve"> </v>
      </c>
      <c r="Y10" s="10" t="str">
        <f>IF(ngay24!M8&gt;0,ngay24!M8," ")</f>
        <v/>
      </c>
      <c r="Z10" s="10" t="str">
        <f>IF(ngay25!M8&gt;0,ngay25!M8," ")</f>
        <v/>
      </c>
      <c r="AA10" s="10" t="str">
        <f>IF(ngay26!M8&gt;0,ngay26!M8," ")</f>
        <v/>
      </c>
      <c r="AB10" s="10" t="str">
        <f>IF(ngay27!M8&gt;0,ngay27!M8," ")</f>
        <v/>
      </c>
      <c r="AC10" s="10" t="str">
        <f>IF(ngay28!M8&gt;0,ngay28!M8," ")</f>
        <v/>
      </c>
      <c r="AD10" s="10" t="str">
        <f>IF(ngay29!M8&gt;0,ngay29!M8," ")</f>
        <v/>
      </c>
      <c r="AE10" s="10" t="str">
        <f>IF(ngay30!M8&gt;0,ngay30!M8," ")</f>
        <v/>
      </c>
      <c r="AF10" s="57" t="str">
        <f>IF(ngay31!M8&gt;0,ngay31!M8," ")</f>
        <v/>
      </c>
      <c r="AG10" s="58" t="str">
        <f t="shared" si="1"/>
        <v/>
      </c>
      <c r="AH10" s="59" t="str">
        <f t="shared" si="2"/>
        <v/>
      </c>
      <c r="AI10" s="9" t="str">
        <f t="shared" si="0"/>
        <v/>
      </c>
    </row>
    <row r="11" spans="1:57" ht="12.75">
      <c r="A11" s="183" t="s">
        <v>133</v>
      </c>
      <c r="B11" s="25" t="str">
        <f>IF(ngay01!M9&gt;0,ngay01!M9," ")</f>
        <v xml:space="preserve"> </v>
      </c>
      <c r="C11" s="10" t="str">
        <f>IF(ngay02!M9&gt;0,ngay02!M9," ")</f>
        <v/>
      </c>
      <c r="D11" s="10" t="str">
        <f>IF(ngay03!M9&gt;0,ngay03!M9," ")</f>
        <v/>
      </c>
      <c r="E11" s="10" t="str">
        <f>IF(ngay04!M9&gt;0,ngay04!M9," ")</f>
        <v/>
      </c>
      <c r="F11" s="10" t="str">
        <f>IF(ngay05!M9&gt;0,ngay05!M9," ")</f>
        <v/>
      </c>
      <c r="G11" s="10" t="str">
        <f>IF(ngay06!M9&gt;0,ngay06!M9," ")</f>
        <v/>
      </c>
      <c r="H11" s="10" t="str">
        <f>IF(ngay07!M9&gt;0,ngay07!M9," ")</f>
        <v/>
      </c>
      <c r="I11" s="10" t="str">
        <f>IF(ngay08!M9&gt;0,ngay08!M9," ")</f>
        <v/>
      </c>
      <c r="J11" s="10" t="str">
        <f>IF(ngay09!M9&gt;0,ngay09!M9," ")</f>
        <v/>
      </c>
      <c r="K11" s="10" t="str">
        <f>IF(ngay10!M9&gt;0,ngay10!M9," ")</f>
        <v/>
      </c>
      <c r="L11" s="10" t="str">
        <f>IF(ngay11!M9&gt;0,ngay11!M9," ")</f>
        <v/>
      </c>
      <c r="M11" s="10" t="str">
        <f>IF(ngay12!M9&gt;0,ngay12!M9," ")</f>
        <v/>
      </c>
      <c r="N11" s="10" t="str">
        <f>IF(ngay13!M9&gt;0,ngay13!M9," ")</f>
        <v/>
      </c>
      <c r="O11" s="10" t="str">
        <f>IF(ngay14!M9&gt;0,ngay14!M9," ")</f>
        <v/>
      </c>
      <c r="P11" s="10" t="str">
        <f>IF(ngay15!M9&gt;0,ngay15!M9," ")</f>
        <v/>
      </c>
      <c r="Q11" s="10" t="str">
        <f>IF(ngay16!M9&gt;0,ngay16!M9," ")</f>
        <v/>
      </c>
      <c r="R11" s="10" t="str">
        <f>IF(ngay17!M9&gt;0,ngay17!M9," ")</f>
        <v/>
      </c>
      <c r="S11" s="10" t="str">
        <f>IF(ngay18!M9&gt;0,ngay18!M9," ")</f>
        <v/>
      </c>
      <c r="T11" s="10" t="str">
        <f>IF(ngay19!M9&gt;0,ngay19!M9," ")</f>
        <v/>
      </c>
      <c r="U11" s="10" t="str">
        <f>IF(ngay20!M9&gt;0,ngay20!M9," ")</f>
        <v/>
      </c>
      <c r="V11" s="10" t="str">
        <f>IF(ngay21!M9&gt;0,ngay21!M9," ")</f>
        <v/>
      </c>
      <c r="W11" s="10" t="str">
        <f>IF(ngay22!M9&gt;0,ngay22!M9," ")</f>
        <v xml:space="preserve"> </v>
      </c>
      <c r="X11" s="10" t="str">
        <f>IF(ngay23!M9&gt;0,ngay23!M9," ")</f>
        <v xml:space="preserve"> </v>
      </c>
      <c r="Y11" s="10" t="str">
        <f>IF(ngay24!M9&gt;0,ngay24!M9," ")</f>
        <v/>
      </c>
      <c r="Z11" s="10" t="str">
        <f>IF(ngay25!M9&gt;0,ngay25!M9," ")</f>
        <v/>
      </c>
      <c r="AA11" s="10" t="str">
        <f>IF(ngay26!M9&gt;0,ngay26!M9," ")</f>
        <v/>
      </c>
      <c r="AB11" s="10" t="str">
        <f>IF(ngay27!M9&gt;0,ngay27!M9," ")</f>
        <v/>
      </c>
      <c r="AC11" s="10" t="str">
        <f>IF(ngay28!M9&gt;0,ngay28!M9," ")</f>
        <v/>
      </c>
      <c r="AD11" s="10" t="str">
        <f>IF(ngay29!M9&gt;0,ngay29!M9," ")</f>
        <v/>
      </c>
      <c r="AE11" s="10" t="str">
        <f>IF(ngay30!M9&gt;0,ngay30!M9," ")</f>
        <v/>
      </c>
      <c r="AF11" s="57" t="str">
        <f>IF(ngay31!M9&gt;0,ngay31!M9," ")</f>
        <v/>
      </c>
      <c r="AG11" s="58" t="str">
        <f t="shared" si="1"/>
        <v/>
      </c>
      <c r="AH11" s="59" t="str">
        <f t="shared" si="2"/>
        <v/>
      </c>
      <c r="AI11" s="9" t="str">
        <f t="shared" si="0"/>
        <v/>
      </c>
    </row>
    <row r="12" spans="1:57" ht="12.75">
      <c r="A12" s="183" t="s">
        <v>134</v>
      </c>
      <c r="B12" s="25" t="str">
        <f>IF(ngay01!M10&gt;0,ngay01!M10," ")</f>
        <v xml:space="preserve"> </v>
      </c>
      <c r="C12" s="10" t="str">
        <f>IF(ngay02!M10&gt;0,ngay02!M10," ")</f>
        <v/>
      </c>
      <c r="D12" s="10" t="str">
        <f>IF(ngay03!M10&gt;0,ngay03!M10," ")</f>
        <v/>
      </c>
      <c r="E12" s="10" t="str">
        <f>IF(ngay04!M10&gt;0,ngay04!M10," ")</f>
        <v/>
      </c>
      <c r="F12" s="10" t="str">
        <f>IF(ngay05!M10&gt;0,ngay05!M10," ")</f>
        <v/>
      </c>
      <c r="G12" s="10" t="str">
        <f>IF(ngay06!M10&gt;0,ngay06!M10," ")</f>
        <v/>
      </c>
      <c r="H12" s="10" t="str">
        <f>IF(ngay07!M10&gt;0,ngay07!M10," ")</f>
        <v/>
      </c>
      <c r="I12" s="10" t="str">
        <f>IF(ngay08!M10&gt;0,ngay08!M10," ")</f>
        <v/>
      </c>
      <c r="J12" s="10" t="str">
        <f>IF(ngay09!M10&gt;0,ngay09!M10," ")</f>
        <v/>
      </c>
      <c r="K12" s="10" t="str">
        <f>IF(ngay10!M10&gt;0,ngay10!M10," ")</f>
        <v/>
      </c>
      <c r="L12" s="10" t="str">
        <f>IF(ngay11!M10&gt;0,ngay11!M10," ")</f>
        <v/>
      </c>
      <c r="M12" s="10" t="str">
        <f>IF(ngay12!M10&gt;0,ngay12!M10," ")</f>
        <v/>
      </c>
      <c r="N12" s="10" t="str">
        <f>IF(ngay13!M10&gt;0,ngay13!M10," ")</f>
        <v/>
      </c>
      <c r="O12" s="10" t="str">
        <f>IF(ngay14!M10&gt;0,ngay14!M10," ")</f>
        <v/>
      </c>
      <c r="P12" s="10" t="str">
        <f>IF(ngay15!M10&gt;0,ngay15!M10," ")</f>
        <v/>
      </c>
      <c r="Q12" s="10" t="str">
        <f>IF(ngay16!M10&gt;0,ngay16!M10," ")</f>
        <v/>
      </c>
      <c r="R12" s="10" t="str">
        <f>IF(ngay17!M10&gt;0,ngay17!M10," ")</f>
        <v/>
      </c>
      <c r="S12" s="10" t="str">
        <f>IF(ngay18!M10&gt;0,ngay18!M10," ")</f>
        <v/>
      </c>
      <c r="T12" s="10" t="str">
        <f>IF(ngay19!M10&gt;0,ngay19!M10," ")</f>
        <v/>
      </c>
      <c r="U12" s="10" t="str">
        <f>IF(ngay20!M10&gt;0,ngay20!M10," ")</f>
        <v/>
      </c>
      <c r="V12" s="10" t="str">
        <f>IF(ngay21!M10&gt;0,ngay21!M10," ")</f>
        <v/>
      </c>
      <c r="W12" s="10" t="str">
        <f>IF(ngay22!M10&gt;0,ngay22!M10," ")</f>
        <v xml:space="preserve"> </v>
      </c>
      <c r="X12" s="10" t="str">
        <f>IF(ngay23!M10&gt;0,ngay23!M10," ")</f>
        <v xml:space="preserve"> </v>
      </c>
      <c r="Y12" s="10" t="str">
        <f>IF(ngay24!M10&gt;0,ngay24!M10," ")</f>
        <v/>
      </c>
      <c r="Z12" s="10" t="str">
        <f>IF(ngay25!M10&gt;0,ngay25!M10," ")</f>
        <v/>
      </c>
      <c r="AA12" s="10" t="str">
        <f>IF(ngay26!M10&gt;0,ngay26!M10," ")</f>
        <v/>
      </c>
      <c r="AB12" s="10" t="str">
        <f>IF(ngay27!M10&gt;0,ngay27!M10," ")</f>
        <v/>
      </c>
      <c r="AC12" s="10" t="str">
        <f>IF(ngay28!M10&gt;0,ngay28!M10," ")</f>
        <v/>
      </c>
      <c r="AD12" s="10" t="str">
        <f>IF(ngay29!M10&gt;0,ngay29!M10," ")</f>
        <v/>
      </c>
      <c r="AE12" s="10" t="str">
        <f>IF(ngay30!M10&gt;0,ngay30!M10," ")</f>
        <v/>
      </c>
      <c r="AF12" s="57" t="str">
        <f>IF(ngay31!M10&gt;0,ngay31!M10," ")</f>
        <v/>
      </c>
      <c r="AG12" s="58" t="str">
        <f t="shared" si="1"/>
        <v/>
      </c>
      <c r="AH12" s="59" t="str">
        <f t="shared" si="2"/>
        <v/>
      </c>
      <c r="AI12" s="9" t="str">
        <f t="shared" si="0"/>
        <v/>
      </c>
    </row>
    <row r="13" spans="1:57" ht="12.75">
      <c r="A13" s="183" t="s">
        <v>192</v>
      </c>
      <c r="B13" s="25" t="str">
        <f>IF(ngay01!M11&gt;0,ngay01!M11," ")</f>
        <v xml:space="preserve"> </v>
      </c>
      <c r="C13" s="10" t="str">
        <f>IF(ngay02!M11&gt;0,ngay02!M11," ")</f>
        <v/>
      </c>
      <c r="D13" s="10" t="str">
        <f>IF(ngay03!M11&gt;0,ngay03!M11," ")</f>
        <v/>
      </c>
      <c r="E13" s="10" t="str">
        <f>IF(ngay04!M11&gt;0,ngay04!M11," ")</f>
        <v/>
      </c>
      <c r="F13" s="10" t="str">
        <f>IF(ngay05!M11&gt;0,ngay05!M11," ")</f>
        <v/>
      </c>
      <c r="G13" s="10" t="str">
        <f>IF(ngay06!M11&gt;0,ngay06!M11," ")</f>
        <v/>
      </c>
      <c r="H13" s="10" t="str">
        <f>IF(ngay07!M11&gt;0,ngay07!M11," ")</f>
        <v/>
      </c>
      <c r="I13" s="10" t="str">
        <f>IF(ngay08!M11&gt;0,ngay08!M11," ")</f>
        <v/>
      </c>
      <c r="J13" s="10" t="str">
        <f>IF(ngay09!M11&gt;0,ngay09!M11," ")</f>
        <v/>
      </c>
      <c r="K13" s="10" t="str">
        <f>IF(ngay10!M11&gt;0,ngay10!M11," ")</f>
        <v/>
      </c>
      <c r="L13" s="10" t="str">
        <f>IF(ngay11!M11&gt;0,ngay11!M11," ")</f>
        <v/>
      </c>
      <c r="M13" s="10" t="str">
        <f>IF(ngay12!M11&gt;0,ngay12!M11," ")</f>
        <v/>
      </c>
      <c r="N13" s="10" t="str">
        <f>IF(ngay13!M11&gt;0,ngay13!M11," ")</f>
        <v/>
      </c>
      <c r="O13" s="10" t="str">
        <f>IF(ngay14!M11&gt;0,ngay14!M11," ")</f>
        <v/>
      </c>
      <c r="P13" s="10" t="str">
        <f>IF(ngay15!M11&gt;0,ngay15!M11," ")</f>
        <v/>
      </c>
      <c r="Q13" s="10" t="str">
        <f>IF(ngay16!M11&gt;0,ngay16!M11," ")</f>
        <v/>
      </c>
      <c r="R13" s="10" t="str">
        <f>IF(ngay17!M11&gt;0,ngay17!M11," ")</f>
        <v/>
      </c>
      <c r="S13" s="10" t="str">
        <f>IF(ngay18!M11&gt;0,ngay18!M11," ")</f>
        <v/>
      </c>
      <c r="T13" s="10" t="str">
        <f>IF(ngay19!M11&gt;0,ngay19!M11," ")</f>
        <v/>
      </c>
      <c r="U13" s="10" t="str">
        <f>IF(ngay20!M11&gt;0,ngay20!M11," ")</f>
        <v/>
      </c>
      <c r="V13" s="10" t="str">
        <f>IF(ngay21!M11&gt;0,ngay21!M11," ")</f>
        <v/>
      </c>
      <c r="W13" s="10" t="str">
        <f>IF(ngay22!M11&gt;0,ngay22!M11," ")</f>
        <v xml:space="preserve"> </v>
      </c>
      <c r="X13" s="10" t="str">
        <f>IF(ngay23!M11&gt;0,ngay23!M11," ")</f>
        <v xml:space="preserve"> </v>
      </c>
      <c r="Y13" s="10" t="str">
        <f>IF(ngay24!M11&gt;0,ngay24!M11," ")</f>
        <v/>
      </c>
      <c r="Z13" s="10" t="str">
        <f>IF(ngay25!M11&gt;0,ngay25!M11," ")</f>
        <v/>
      </c>
      <c r="AA13" s="10" t="str">
        <f>IF(ngay26!M11&gt;0,ngay26!M11," ")</f>
        <v/>
      </c>
      <c r="AB13" s="10" t="str">
        <f>IF(ngay27!M11&gt;0,ngay27!M11," ")</f>
        <v/>
      </c>
      <c r="AC13" s="10" t="str">
        <f>IF(ngay28!M11&gt;0,ngay28!M11," ")</f>
        <v/>
      </c>
      <c r="AD13" s="10" t="str">
        <f>IF(ngay29!M11&gt;0,ngay29!M11," ")</f>
        <v/>
      </c>
      <c r="AE13" s="10" t="str">
        <f>IF(ngay30!M11&gt;0,ngay30!M11," ")</f>
        <v/>
      </c>
      <c r="AF13" s="57" t="str">
        <f>IF(ngay31!M11&gt;0,ngay31!M11," ")</f>
        <v/>
      </c>
      <c r="AG13" s="58" t="str">
        <f t="shared" si="1"/>
        <v/>
      </c>
      <c r="AH13" s="59" t="str">
        <f t="shared" si="2"/>
        <v/>
      </c>
      <c r="AI13" s="9" t="str">
        <f t="shared" si="0"/>
        <v/>
      </c>
    </row>
    <row r="14" spans="1:57" ht="12.75">
      <c r="A14" s="183" t="s">
        <v>135</v>
      </c>
      <c r="B14" s="25" t="str">
        <f>IF(ngay01!M12&gt;0,ngay01!M12," ")</f>
        <v xml:space="preserve"> </v>
      </c>
      <c r="C14" s="10" t="str">
        <f>IF(ngay02!M12&gt;0,ngay02!M12," ")</f>
        <v/>
      </c>
      <c r="D14" s="10" t="str">
        <f>IF(ngay03!M12&gt;0,ngay03!M12," ")</f>
        <v/>
      </c>
      <c r="E14" s="10" t="str">
        <f>IF(ngay04!M12&gt;0,ngay04!M12," ")</f>
        <v/>
      </c>
      <c r="F14" s="10" t="str">
        <f>IF(ngay05!M12&gt;0,ngay05!M12," ")</f>
        <v/>
      </c>
      <c r="G14" s="10" t="str">
        <f>IF(ngay06!M12&gt;0,ngay06!M12," ")</f>
        <v/>
      </c>
      <c r="H14" s="10" t="str">
        <f>IF(ngay07!M12&gt;0,ngay07!M12," ")</f>
        <v/>
      </c>
      <c r="I14" s="10" t="str">
        <f>IF(ngay08!M12&gt;0,ngay08!M12," ")</f>
        <v/>
      </c>
      <c r="J14" s="10" t="str">
        <f>IF(ngay09!M12&gt;0,ngay09!M12," ")</f>
        <v/>
      </c>
      <c r="K14" s="10" t="str">
        <f>IF(ngay10!M12&gt;0,ngay10!M12," ")</f>
        <v/>
      </c>
      <c r="L14" s="10" t="str">
        <f>IF(ngay11!M12&gt;0,ngay11!M12," ")</f>
        <v/>
      </c>
      <c r="M14" s="10" t="str">
        <f>IF(ngay12!M12&gt;0,ngay12!M12," ")</f>
        <v/>
      </c>
      <c r="N14" s="10" t="str">
        <f>IF(ngay13!M12&gt;0,ngay13!M12," ")</f>
        <v/>
      </c>
      <c r="O14" s="10" t="str">
        <f>IF(ngay14!M12&gt;0,ngay14!M12," ")</f>
        <v/>
      </c>
      <c r="P14" s="10" t="str">
        <f>IF(ngay15!M12&gt;0,ngay15!M12," ")</f>
        <v/>
      </c>
      <c r="Q14" s="10" t="str">
        <f>IF(ngay16!M12&gt;0,ngay16!M12," ")</f>
        <v/>
      </c>
      <c r="R14" s="10" t="str">
        <f>IF(ngay17!M12&gt;0,ngay17!M12," ")</f>
        <v/>
      </c>
      <c r="S14" s="10" t="str">
        <f>IF(ngay18!M12&gt;0,ngay18!M12," ")</f>
        <v/>
      </c>
      <c r="T14" s="10" t="str">
        <f>IF(ngay19!M12&gt;0,ngay19!M12," ")</f>
        <v/>
      </c>
      <c r="U14" s="10" t="str">
        <f>IF(ngay20!M12&gt;0,ngay20!M12," ")</f>
        <v/>
      </c>
      <c r="V14" s="10" t="str">
        <f>IF(ngay21!M12&gt;0,ngay21!M12," ")</f>
        <v/>
      </c>
      <c r="W14" s="10" t="str">
        <f>IF(ngay22!M12&gt;0,ngay22!M12," ")</f>
        <v xml:space="preserve"> </v>
      </c>
      <c r="X14" s="10" t="str">
        <f>IF(ngay23!M12&gt;0,ngay23!M12," ")</f>
        <v xml:space="preserve"> </v>
      </c>
      <c r="Y14" s="10" t="str">
        <f>IF(ngay24!M12&gt;0,ngay24!M12," ")</f>
        <v/>
      </c>
      <c r="Z14" s="10" t="str">
        <f>IF(ngay25!M12&gt;0,ngay25!M12," ")</f>
        <v/>
      </c>
      <c r="AA14" s="10" t="str">
        <f>IF(ngay26!M12&gt;0,ngay26!M12," ")</f>
        <v/>
      </c>
      <c r="AB14" s="10" t="str">
        <f>IF(ngay27!M12&gt;0,ngay27!M12," ")</f>
        <v/>
      </c>
      <c r="AC14" s="10" t="str">
        <f>IF(ngay28!M12&gt;0,ngay28!M12," ")</f>
        <v/>
      </c>
      <c r="AD14" s="10" t="str">
        <f>IF(ngay29!M12&gt;0,ngay29!M12," ")</f>
        <v/>
      </c>
      <c r="AE14" s="10" t="str">
        <f>IF(ngay30!M12&gt;0,ngay30!M12," ")</f>
        <v/>
      </c>
      <c r="AF14" s="57" t="str">
        <f>IF(ngay31!M12&gt;0,ngay31!M12," ")</f>
        <v/>
      </c>
      <c r="AG14" s="58" t="str">
        <f t="shared" si="1"/>
        <v/>
      </c>
      <c r="AH14" s="59" t="str">
        <f t="shared" si="2"/>
        <v/>
      </c>
      <c r="AI14" s="9" t="str">
        <f t="shared" si="0"/>
        <v/>
      </c>
    </row>
    <row r="15" spans="1:57" ht="12.75">
      <c r="A15" s="183" t="s">
        <v>136</v>
      </c>
      <c r="B15" s="25" t="str">
        <f>IF(ngay01!M13&gt;0,ngay01!M13," ")</f>
        <v xml:space="preserve"> </v>
      </c>
      <c r="C15" s="10" t="str">
        <f>IF(ngay02!M13&gt;0,ngay02!M13," ")</f>
        <v/>
      </c>
      <c r="D15" s="10" t="str">
        <f>IF(ngay03!M13&gt;0,ngay03!M13," ")</f>
        <v/>
      </c>
      <c r="E15" s="10" t="str">
        <f>IF(ngay04!M13&gt;0,ngay04!M13," ")</f>
        <v/>
      </c>
      <c r="F15" s="10" t="str">
        <f>IF(ngay05!M13&gt;0,ngay05!M13," ")</f>
        <v/>
      </c>
      <c r="G15" s="10" t="str">
        <f>IF(ngay06!M13&gt;0,ngay06!M13," ")</f>
        <v/>
      </c>
      <c r="H15" s="10" t="str">
        <f>IF(ngay07!M13&gt;0,ngay07!M13," ")</f>
        <v/>
      </c>
      <c r="I15" s="10" t="str">
        <f>IF(ngay08!M13&gt;0,ngay08!M13," ")</f>
        <v/>
      </c>
      <c r="J15" s="10" t="str">
        <f>IF(ngay09!M13&gt;0,ngay09!M13," ")</f>
        <v/>
      </c>
      <c r="K15" s="10" t="str">
        <f>IF(ngay10!M13&gt;0,ngay10!M13," ")</f>
        <v/>
      </c>
      <c r="L15" s="10" t="str">
        <f>IF(ngay11!M13&gt;0,ngay11!M13," ")</f>
        <v/>
      </c>
      <c r="M15" s="10" t="str">
        <f>IF(ngay12!M13&gt;0,ngay12!M13," ")</f>
        <v/>
      </c>
      <c r="N15" s="10" t="str">
        <f>IF(ngay13!M13&gt;0,ngay13!M13," ")</f>
        <v/>
      </c>
      <c r="O15" s="10" t="str">
        <f>IF(ngay14!M13&gt;0,ngay14!M13," ")</f>
        <v/>
      </c>
      <c r="P15" s="10" t="str">
        <f>IF(ngay15!M13&gt;0,ngay15!M13," ")</f>
        <v/>
      </c>
      <c r="Q15" s="10" t="str">
        <f>IF(ngay16!M13&gt;0,ngay16!M13," ")</f>
        <v/>
      </c>
      <c r="R15" s="10" t="str">
        <f>IF(ngay17!M13&gt;0,ngay17!M13," ")</f>
        <v/>
      </c>
      <c r="S15" s="10" t="str">
        <f>IF(ngay18!M13&gt;0,ngay18!M13," ")</f>
        <v/>
      </c>
      <c r="T15" s="10" t="str">
        <f>IF(ngay19!M13&gt;0,ngay19!M13," ")</f>
        <v/>
      </c>
      <c r="U15" s="10" t="str">
        <f>IF(ngay20!M13&gt;0,ngay20!M13," ")</f>
        <v/>
      </c>
      <c r="V15" s="10" t="str">
        <f>IF(ngay21!M13&gt;0,ngay21!M13," ")</f>
        <v/>
      </c>
      <c r="W15" s="10" t="str">
        <f>IF(ngay22!M13&gt;0,ngay22!M13," ")</f>
        <v xml:space="preserve"> </v>
      </c>
      <c r="X15" s="10" t="str">
        <f>IF(ngay23!M13&gt;0,ngay23!M13," ")</f>
        <v xml:space="preserve"> </v>
      </c>
      <c r="Y15" s="10" t="str">
        <f>IF(ngay24!M13&gt;0,ngay24!M13," ")</f>
        <v/>
      </c>
      <c r="Z15" s="10" t="str">
        <f>IF(ngay25!M13&gt;0,ngay25!M13," ")</f>
        <v/>
      </c>
      <c r="AA15" s="10" t="str">
        <f>IF(ngay26!M13&gt;0,ngay26!M13," ")</f>
        <v/>
      </c>
      <c r="AB15" s="10" t="str">
        <f>IF(ngay27!M13&gt;0,ngay27!M13," ")</f>
        <v/>
      </c>
      <c r="AC15" s="10" t="str">
        <f>IF(ngay28!M13&gt;0,ngay28!M13," ")</f>
        <v/>
      </c>
      <c r="AD15" s="10" t="str">
        <f>IF(ngay29!M13&gt;0,ngay29!M13," ")</f>
        <v/>
      </c>
      <c r="AE15" s="10" t="str">
        <f>IF(ngay30!M13&gt;0,ngay30!M13," ")</f>
        <v/>
      </c>
      <c r="AF15" s="57" t="str">
        <f>IF(ngay31!M13&gt;0,ngay31!M13," ")</f>
        <v/>
      </c>
      <c r="AG15" s="58" t="str">
        <f t="shared" si="1"/>
        <v/>
      </c>
      <c r="AH15" s="59" t="str">
        <f t="shared" si="2"/>
        <v/>
      </c>
      <c r="AI15" s="9" t="str">
        <f t="shared" si="0"/>
        <v/>
      </c>
    </row>
    <row r="16" spans="1:57" ht="12.75">
      <c r="A16" s="184" t="s">
        <v>137</v>
      </c>
      <c r="B16" s="25" t="str">
        <f>IF(ngay01!M14&gt;0,ngay01!M14," ")</f>
        <v xml:space="preserve"> </v>
      </c>
      <c r="C16" s="10" t="str">
        <f>IF(ngay02!M14&gt;0,ngay02!M14," ")</f>
        <v/>
      </c>
      <c r="D16" s="10" t="str">
        <f>IF(ngay03!M14&gt;0,ngay03!M14," ")</f>
        <v/>
      </c>
      <c r="E16" s="10" t="str">
        <f>IF(ngay04!M14&gt;0,ngay04!M14," ")</f>
        <v/>
      </c>
      <c r="F16" s="10" t="str">
        <f>IF(ngay05!M14&gt;0,ngay05!M14," ")</f>
        <v/>
      </c>
      <c r="G16" s="10" t="str">
        <f>IF(ngay06!M14&gt;0,ngay06!M14," ")</f>
        <v/>
      </c>
      <c r="H16" s="10" t="str">
        <f>IF(ngay07!M14&gt;0,ngay07!M14," ")</f>
        <v/>
      </c>
      <c r="I16" s="10" t="str">
        <f>IF(ngay08!M14&gt;0,ngay08!M14," ")</f>
        <v/>
      </c>
      <c r="J16" s="10" t="str">
        <f>IF(ngay09!M14&gt;0,ngay09!M14," ")</f>
        <v/>
      </c>
      <c r="K16" s="10" t="str">
        <f>IF(ngay10!M14&gt;0,ngay10!M14," ")</f>
        <v/>
      </c>
      <c r="L16" s="10" t="str">
        <f>IF(ngay11!M14&gt;0,ngay11!M14," ")</f>
        <v/>
      </c>
      <c r="M16" s="10" t="str">
        <f>IF(ngay12!M14&gt;0,ngay12!M14," ")</f>
        <v/>
      </c>
      <c r="N16" s="10" t="str">
        <f>IF(ngay13!M14&gt;0,ngay13!M14," ")</f>
        <v/>
      </c>
      <c r="O16" s="10" t="str">
        <f>IF(ngay14!M14&gt;0,ngay14!M14," ")</f>
        <v/>
      </c>
      <c r="P16" s="10" t="str">
        <f>IF(ngay15!M14&gt;0,ngay15!M14," ")</f>
        <v/>
      </c>
      <c r="Q16" s="10" t="str">
        <f>IF(ngay16!M14&gt;0,ngay16!M14," ")</f>
        <v/>
      </c>
      <c r="R16" s="10" t="str">
        <f>IF(ngay17!M14&gt;0,ngay17!M14," ")</f>
        <v/>
      </c>
      <c r="S16" s="10" t="str">
        <f>IF(ngay18!M14&gt;0,ngay18!M14," ")</f>
        <v/>
      </c>
      <c r="T16" s="10" t="str">
        <f>IF(ngay19!M14&gt;0,ngay19!M14," ")</f>
        <v/>
      </c>
      <c r="U16" s="10" t="str">
        <f>IF(ngay20!M14&gt;0,ngay20!M14," ")</f>
        <v/>
      </c>
      <c r="V16" s="10" t="str">
        <f>IF(ngay21!M14&gt;0,ngay21!M14," ")</f>
        <v/>
      </c>
      <c r="W16" s="10" t="str">
        <f>IF(ngay22!M14&gt;0,ngay22!M14," ")</f>
        <v xml:space="preserve"> </v>
      </c>
      <c r="X16" s="10" t="str">
        <f>IF(ngay23!M14&gt;0,ngay23!M14," ")</f>
        <v xml:space="preserve"> </v>
      </c>
      <c r="Y16" s="10" t="str">
        <f>IF(ngay24!M14&gt;0,ngay24!M14," ")</f>
        <v/>
      </c>
      <c r="Z16" s="10" t="str">
        <f>IF(ngay25!M14&gt;0,ngay25!M14," ")</f>
        <v/>
      </c>
      <c r="AA16" s="10" t="str">
        <f>IF(ngay26!M14&gt;0,ngay26!M14," ")</f>
        <v/>
      </c>
      <c r="AB16" s="10" t="str">
        <f>IF(ngay27!M14&gt;0,ngay27!M14," ")</f>
        <v/>
      </c>
      <c r="AC16" s="10" t="str">
        <f>IF(ngay28!M14&gt;0,ngay28!M14," ")</f>
        <v/>
      </c>
      <c r="AD16" s="10" t="str">
        <f>IF(ngay29!M14&gt;0,ngay29!M14," ")</f>
        <v/>
      </c>
      <c r="AE16" s="10" t="str">
        <f>IF(ngay30!M14&gt;0,ngay30!M14," ")</f>
        <v/>
      </c>
      <c r="AF16" s="57" t="str">
        <f>IF(ngay31!M14&gt;0,ngay31!M14," ")</f>
        <v/>
      </c>
      <c r="AG16" s="58" t="str">
        <f t="shared" si="1"/>
        <v/>
      </c>
      <c r="AH16" s="59" t="str">
        <f t="shared" si="2"/>
        <v/>
      </c>
      <c r="AI16" s="9" t="str">
        <f t="shared" si="0"/>
        <v/>
      </c>
    </row>
    <row r="17" spans="1:35" ht="12.75">
      <c r="A17" s="183" t="s">
        <v>138</v>
      </c>
      <c r="B17" s="25" t="str">
        <f>IF(ngay01!M15&gt;0,ngay01!M15," ")</f>
        <v xml:space="preserve"> </v>
      </c>
      <c r="C17" s="10" t="str">
        <f>IF(ngay02!M15&gt;0,ngay02!M15," ")</f>
        <v/>
      </c>
      <c r="D17" s="10" t="str">
        <f>IF(ngay03!M15&gt;0,ngay03!M15," ")</f>
        <v/>
      </c>
      <c r="E17" s="10" t="str">
        <f>IF(ngay04!M15&gt;0,ngay04!M15," ")</f>
        <v/>
      </c>
      <c r="F17" s="10" t="str">
        <f>IF(ngay05!M15&gt;0,ngay05!M15," ")</f>
        <v/>
      </c>
      <c r="G17" s="10" t="str">
        <f>IF(ngay06!M15&gt;0,ngay06!M15," ")</f>
        <v/>
      </c>
      <c r="H17" s="10" t="str">
        <f>IF(ngay07!M15&gt;0,ngay07!M15," ")</f>
        <v/>
      </c>
      <c r="I17" s="10" t="str">
        <f>IF(ngay08!M15&gt;0,ngay08!M15," ")</f>
        <v/>
      </c>
      <c r="J17" s="10" t="str">
        <f>IF(ngay09!M15&gt;0,ngay09!M15," ")</f>
        <v/>
      </c>
      <c r="K17" s="10" t="str">
        <f>IF(ngay10!M15&gt;0,ngay10!M15," ")</f>
        <v/>
      </c>
      <c r="L17" s="10" t="str">
        <f>IF(ngay11!M15&gt;0,ngay11!M15," ")</f>
        <v/>
      </c>
      <c r="M17" s="10" t="str">
        <f>IF(ngay12!M15&gt;0,ngay12!M15," ")</f>
        <v/>
      </c>
      <c r="N17" s="10" t="str">
        <f>IF(ngay13!M15&gt;0,ngay13!M15," ")</f>
        <v/>
      </c>
      <c r="O17" s="10" t="str">
        <f>IF(ngay14!M15&gt;0,ngay14!M15," ")</f>
        <v/>
      </c>
      <c r="P17" s="10" t="str">
        <f>IF(ngay15!M15&gt;0,ngay15!M15," ")</f>
        <v/>
      </c>
      <c r="Q17" s="10" t="str">
        <f>IF(ngay16!M15&gt;0,ngay16!M15," ")</f>
        <v/>
      </c>
      <c r="R17" s="10" t="str">
        <f>IF(ngay17!M15&gt;0,ngay17!M15," ")</f>
        <v/>
      </c>
      <c r="S17" s="10" t="str">
        <f>IF(ngay18!M15&gt;0,ngay18!M15," ")</f>
        <v/>
      </c>
      <c r="T17" s="10" t="str">
        <f>IF(ngay19!M15&gt;0,ngay19!M15," ")</f>
        <v/>
      </c>
      <c r="U17" s="10" t="str">
        <f>IF(ngay20!M15&gt;0,ngay20!M15," ")</f>
        <v/>
      </c>
      <c r="V17" s="10" t="str">
        <f>IF(ngay21!M15&gt;0,ngay21!M15," ")</f>
        <v/>
      </c>
      <c r="W17" s="10" t="str">
        <f>IF(ngay22!M15&gt;0,ngay22!M15," ")</f>
        <v xml:space="preserve"> </v>
      </c>
      <c r="X17" s="10" t="str">
        <f>IF(ngay23!M15&gt;0,ngay23!M15," ")</f>
        <v xml:space="preserve"> </v>
      </c>
      <c r="Y17" s="10" t="str">
        <f>IF(ngay24!M15&gt;0,ngay24!M15," ")</f>
        <v/>
      </c>
      <c r="Z17" s="10" t="str">
        <f>IF(ngay25!M15&gt;0,ngay25!M15," ")</f>
        <v/>
      </c>
      <c r="AA17" s="10" t="str">
        <f>IF(ngay26!M15&gt;0,ngay26!M15," ")</f>
        <v/>
      </c>
      <c r="AB17" s="10" t="str">
        <f>IF(ngay27!M15&gt;0,ngay27!M15," ")</f>
        <v/>
      </c>
      <c r="AC17" s="10" t="str">
        <f>IF(ngay28!M15&gt;0,ngay28!M15," ")</f>
        <v/>
      </c>
      <c r="AD17" s="10" t="str">
        <f>IF(ngay29!M15&gt;0,ngay29!M15," ")</f>
        <v/>
      </c>
      <c r="AE17" s="10" t="str">
        <f>IF(ngay30!M15&gt;0,ngay30!M15," ")</f>
        <v/>
      </c>
      <c r="AF17" s="57" t="str">
        <f>IF(ngay31!M15&gt;0,ngay31!M15," ")</f>
        <v/>
      </c>
      <c r="AG17" s="58" t="str">
        <f t="shared" si="1"/>
        <v/>
      </c>
      <c r="AH17" s="59" t="str">
        <f t="shared" si="2"/>
        <v/>
      </c>
      <c r="AI17" s="9" t="str">
        <f t="shared" si="0"/>
        <v/>
      </c>
    </row>
    <row r="18" spans="1:35" ht="12.75">
      <c r="A18" s="184" t="s">
        <v>139</v>
      </c>
      <c r="B18" s="25" t="str">
        <f>IF(ngay01!M16&gt;0,ngay01!M16," ")</f>
        <v xml:space="preserve"> </v>
      </c>
      <c r="C18" s="10" t="str">
        <f>IF(ngay02!M16&gt;0,ngay02!M16," ")</f>
        <v/>
      </c>
      <c r="D18" s="10" t="str">
        <f>IF(ngay03!M16&gt;0,ngay03!M16," ")</f>
        <v/>
      </c>
      <c r="E18" s="10" t="str">
        <f>IF(ngay04!M16&gt;0,ngay04!M16," ")</f>
        <v/>
      </c>
      <c r="F18" s="10" t="str">
        <f>IF(ngay05!M16&gt;0,ngay05!M16," ")</f>
        <v/>
      </c>
      <c r="G18" s="10" t="str">
        <f>IF(ngay06!M16&gt;0,ngay06!M16," ")</f>
        <v/>
      </c>
      <c r="H18" s="10" t="str">
        <f>IF(ngay07!M16&gt;0,ngay07!M16," ")</f>
        <v/>
      </c>
      <c r="I18" s="10" t="str">
        <f>IF(ngay08!M16&gt;0,ngay08!M16," ")</f>
        <v/>
      </c>
      <c r="J18" s="10" t="str">
        <f>IF(ngay09!M16&gt;0,ngay09!M16," ")</f>
        <v/>
      </c>
      <c r="K18" s="10" t="str">
        <f>IF(ngay10!M16&gt;0,ngay10!M16," ")</f>
        <v/>
      </c>
      <c r="L18" s="10" t="str">
        <f>IF(ngay11!M16&gt;0,ngay11!M16," ")</f>
        <v/>
      </c>
      <c r="M18" s="10" t="str">
        <f>IF(ngay12!M16&gt;0,ngay12!M16," ")</f>
        <v/>
      </c>
      <c r="N18" s="10" t="str">
        <f>IF(ngay13!M16&gt;0,ngay13!M16," ")</f>
        <v/>
      </c>
      <c r="O18" s="10" t="str">
        <f>IF(ngay14!M16&gt;0,ngay14!M16," ")</f>
        <v/>
      </c>
      <c r="P18" s="10" t="str">
        <f>IF(ngay15!M16&gt;0,ngay15!M16," ")</f>
        <v/>
      </c>
      <c r="Q18" s="10" t="str">
        <f>IF(ngay16!M16&gt;0,ngay16!M16," ")</f>
        <v/>
      </c>
      <c r="R18" s="10" t="str">
        <f>IF(ngay17!M16&gt;0,ngay17!M16," ")</f>
        <v/>
      </c>
      <c r="S18" s="10" t="str">
        <f>IF(ngay18!M16&gt;0,ngay18!M16," ")</f>
        <v/>
      </c>
      <c r="T18" s="10" t="str">
        <f>IF(ngay19!M16&gt;0,ngay19!M16," ")</f>
        <v/>
      </c>
      <c r="U18" s="10" t="str">
        <f>IF(ngay20!M16&gt;0,ngay20!M16," ")</f>
        <v/>
      </c>
      <c r="V18" s="10" t="str">
        <f>IF(ngay21!M16&gt;0,ngay21!M16," ")</f>
        <v/>
      </c>
      <c r="W18" s="10" t="str">
        <f>IF(ngay22!M16&gt;0,ngay22!M16," ")</f>
        <v xml:space="preserve"> </v>
      </c>
      <c r="X18" s="10" t="str">
        <f>IF(ngay23!M16&gt;0,ngay23!M16," ")</f>
        <v xml:space="preserve"> </v>
      </c>
      <c r="Y18" s="10" t="str">
        <f>IF(ngay24!M16&gt;0,ngay24!M16," ")</f>
        <v/>
      </c>
      <c r="Z18" s="10" t="str">
        <f>IF(ngay25!M16&gt;0,ngay25!M16," ")</f>
        <v/>
      </c>
      <c r="AA18" s="10" t="str">
        <f>IF(ngay26!M16&gt;0,ngay26!M16," ")</f>
        <v/>
      </c>
      <c r="AB18" s="10" t="str">
        <f>IF(ngay27!M16&gt;0,ngay27!M16," ")</f>
        <v/>
      </c>
      <c r="AC18" s="10" t="str">
        <f>IF(ngay28!M16&gt;0,ngay28!M16," ")</f>
        <v/>
      </c>
      <c r="AD18" s="10" t="str">
        <f>IF(ngay29!M16&gt;0,ngay29!M16," ")</f>
        <v/>
      </c>
      <c r="AE18" s="10" t="str">
        <f>IF(ngay30!M16&gt;0,ngay30!M16," ")</f>
        <v/>
      </c>
      <c r="AF18" s="57" t="str">
        <f>IF(ngay31!M16&gt;0,ngay31!M16," ")</f>
        <v/>
      </c>
      <c r="AG18" s="58" t="str">
        <f t="shared" si="1"/>
        <v/>
      </c>
      <c r="AH18" s="59" t="str">
        <f t="shared" si="2"/>
        <v/>
      </c>
      <c r="AI18" s="9" t="str">
        <f t="shared" si="0"/>
        <v/>
      </c>
    </row>
    <row r="19" spans="1:35" ht="12.75">
      <c r="A19" s="183" t="s">
        <v>140</v>
      </c>
      <c r="B19" s="25" t="str">
        <f>IF(ngay01!M17&gt;0,ngay01!M17," ")</f>
        <v xml:space="preserve"> </v>
      </c>
      <c r="C19" s="10" t="str">
        <f>IF(ngay02!M17&gt;0,ngay02!M17," ")</f>
        <v/>
      </c>
      <c r="D19" s="10" t="str">
        <f>IF(ngay03!M17&gt;0,ngay03!M17," ")</f>
        <v/>
      </c>
      <c r="E19" s="10" t="str">
        <f>IF(ngay04!M17&gt;0,ngay04!M17," ")</f>
        <v/>
      </c>
      <c r="F19" s="10" t="str">
        <f>IF(ngay05!M17&gt;0,ngay05!M17," ")</f>
        <v/>
      </c>
      <c r="G19" s="10" t="str">
        <f>IF(ngay06!M17&gt;0,ngay06!M17," ")</f>
        <v/>
      </c>
      <c r="H19" s="10" t="str">
        <f>IF(ngay07!M17&gt;0,ngay07!M17," ")</f>
        <v/>
      </c>
      <c r="I19" s="10" t="str">
        <f>IF(ngay08!M17&gt;0,ngay08!M17," ")</f>
        <v/>
      </c>
      <c r="J19" s="10" t="str">
        <f>IF(ngay09!M17&gt;0,ngay09!M17," ")</f>
        <v/>
      </c>
      <c r="K19" s="10" t="str">
        <f>IF(ngay10!M17&gt;0,ngay10!M17," ")</f>
        <v/>
      </c>
      <c r="L19" s="10" t="str">
        <f>IF(ngay11!M17&gt;0,ngay11!M17," ")</f>
        <v/>
      </c>
      <c r="M19" s="10" t="str">
        <f>IF(ngay12!M17&gt;0,ngay12!M17," ")</f>
        <v/>
      </c>
      <c r="N19" s="10" t="str">
        <f>IF(ngay13!M17&gt;0,ngay13!M17," ")</f>
        <v/>
      </c>
      <c r="O19" s="10" t="str">
        <f>IF(ngay14!M17&gt;0,ngay14!M17," ")</f>
        <v/>
      </c>
      <c r="P19" s="10" t="str">
        <f>IF(ngay15!M17&gt;0,ngay15!M17," ")</f>
        <v/>
      </c>
      <c r="Q19" s="10" t="str">
        <f>IF(ngay16!M17&gt;0,ngay16!M17," ")</f>
        <v/>
      </c>
      <c r="R19" s="10" t="str">
        <f>IF(ngay17!M17&gt;0,ngay17!M17," ")</f>
        <v/>
      </c>
      <c r="S19" s="10" t="str">
        <f>IF(ngay18!M17&gt;0,ngay18!M17," ")</f>
        <v/>
      </c>
      <c r="T19" s="10" t="str">
        <f>IF(ngay19!M17&gt;0,ngay19!M17," ")</f>
        <v/>
      </c>
      <c r="U19" s="10" t="str">
        <f>IF(ngay20!M17&gt;0,ngay20!M17," ")</f>
        <v/>
      </c>
      <c r="V19" s="10" t="str">
        <f>IF(ngay21!M17&gt;0,ngay21!M17," ")</f>
        <v/>
      </c>
      <c r="W19" s="10" t="str">
        <f>IF(ngay22!M17&gt;0,ngay22!M17," ")</f>
        <v xml:space="preserve"> </v>
      </c>
      <c r="X19" s="10" t="str">
        <f>IF(ngay23!M17&gt;0,ngay23!M17," ")</f>
        <v xml:space="preserve"> </v>
      </c>
      <c r="Y19" s="10" t="str">
        <f>IF(ngay24!M17&gt;0,ngay24!M17," ")</f>
        <v/>
      </c>
      <c r="Z19" s="10" t="str">
        <f>IF(ngay25!M17&gt;0,ngay25!M17," ")</f>
        <v/>
      </c>
      <c r="AA19" s="10" t="str">
        <f>IF(ngay26!M17&gt;0,ngay26!M17," ")</f>
        <v/>
      </c>
      <c r="AB19" s="10" t="str">
        <f>IF(ngay27!M17&gt;0,ngay27!M17," ")</f>
        <v/>
      </c>
      <c r="AC19" s="10" t="str">
        <f>IF(ngay28!M17&gt;0,ngay28!M17," ")</f>
        <v/>
      </c>
      <c r="AD19" s="10" t="str">
        <f>IF(ngay29!M17&gt;0,ngay29!M17," ")</f>
        <v/>
      </c>
      <c r="AE19" s="10" t="str">
        <f>IF(ngay30!M17&gt;0,ngay30!M17," ")</f>
        <v/>
      </c>
      <c r="AF19" s="57" t="str">
        <f>IF(ngay31!M17&gt;0,ngay31!M17," ")</f>
        <v/>
      </c>
      <c r="AG19" s="58" t="str">
        <f t="shared" si="1"/>
        <v/>
      </c>
      <c r="AH19" s="59" t="str">
        <f t="shared" si="2"/>
        <v/>
      </c>
      <c r="AI19" s="9" t="str">
        <f t="shared" si="0"/>
        <v/>
      </c>
    </row>
    <row r="20" spans="1:35" ht="12.75">
      <c r="A20" s="184" t="s">
        <v>141</v>
      </c>
      <c r="B20" s="25" t="str">
        <f>IF(ngay01!M18&gt;0,ngay01!M18," ")</f>
        <v xml:space="preserve"> </v>
      </c>
      <c r="C20" s="10" t="str">
        <f>IF(ngay02!M18&gt;0,ngay02!M18," ")</f>
        <v/>
      </c>
      <c r="D20" s="10" t="str">
        <f>IF(ngay03!M18&gt;0,ngay03!M18," ")</f>
        <v/>
      </c>
      <c r="E20" s="10" t="str">
        <f>IF(ngay04!M18&gt;0,ngay04!M18," ")</f>
        <v/>
      </c>
      <c r="F20" s="10" t="str">
        <f>IF(ngay05!M18&gt;0,ngay05!M18," ")</f>
        <v/>
      </c>
      <c r="G20" s="10" t="str">
        <f>IF(ngay06!M18&gt;0,ngay06!M18," ")</f>
        <v/>
      </c>
      <c r="H20" s="10" t="str">
        <f>IF(ngay07!M18&gt;0,ngay07!M18," ")</f>
        <v/>
      </c>
      <c r="I20" s="10" t="str">
        <f>IF(ngay08!M18&gt;0,ngay08!M18," ")</f>
        <v/>
      </c>
      <c r="J20" s="10" t="str">
        <f>IF(ngay09!M18&gt;0,ngay09!M18," ")</f>
        <v/>
      </c>
      <c r="K20" s="10" t="str">
        <f>IF(ngay10!M18&gt;0,ngay10!M18," ")</f>
        <v/>
      </c>
      <c r="L20" s="10" t="str">
        <f>IF(ngay11!M18&gt;0,ngay11!M18," ")</f>
        <v/>
      </c>
      <c r="M20" s="10" t="str">
        <f>IF(ngay12!M18&gt;0,ngay12!M18," ")</f>
        <v/>
      </c>
      <c r="N20" s="10" t="str">
        <f>IF(ngay13!M18&gt;0,ngay13!M18," ")</f>
        <v/>
      </c>
      <c r="O20" s="10" t="str">
        <f>IF(ngay14!M18&gt;0,ngay14!M18," ")</f>
        <v/>
      </c>
      <c r="P20" s="10" t="str">
        <f>IF(ngay15!M18&gt;0,ngay15!M18," ")</f>
        <v/>
      </c>
      <c r="Q20" s="10" t="str">
        <f>IF(ngay16!M18&gt;0,ngay16!M18," ")</f>
        <v/>
      </c>
      <c r="R20" s="10" t="str">
        <f>IF(ngay17!M18&gt;0,ngay17!M18," ")</f>
        <v/>
      </c>
      <c r="S20" s="10" t="str">
        <f>IF(ngay18!M18&gt;0,ngay18!M18," ")</f>
        <v/>
      </c>
      <c r="T20" s="10" t="str">
        <f>IF(ngay19!M18&gt;0,ngay19!M18," ")</f>
        <v/>
      </c>
      <c r="U20" s="10" t="str">
        <f>IF(ngay20!M18&gt;0,ngay20!M18," ")</f>
        <v/>
      </c>
      <c r="V20" s="10" t="str">
        <f>IF(ngay21!M18&gt;0,ngay21!M18," ")</f>
        <v/>
      </c>
      <c r="W20" s="10" t="str">
        <f>IF(ngay22!M18&gt;0,ngay22!M18," ")</f>
        <v xml:space="preserve"> </v>
      </c>
      <c r="X20" s="10" t="str">
        <f>IF(ngay23!M18&gt;0,ngay23!M18," ")</f>
        <v xml:space="preserve"> </v>
      </c>
      <c r="Y20" s="10" t="str">
        <f>IF(ngay24!M18&gt;0,ngay24!M18," ")</f>
        <v/>
      </c>
      <c r="Z20" s="10" t="str">
        <f>IF(ngay25!M18&gt;0,ngay25!M18," ")</f>
        <v/>
      </c>
      <c r="AA20" s="10" t="str">
        <f>IF(ngay26!M18&gt;0,ngay26!M18," ")</f>
        <v/>
      </c>
      <c r="AB20" s="10" t="str">
        <f>IF(ngay27!M18&gt;0,ngay27!M18," ")</f>
        <v/>
      </c>
      <c r="AC20" s="10" t="str">
        <f>IF(ngay28!M18&gt;0,ngay28!M18," ")</f>
        <v/>
      </c>
      <c r="AD20" s="10" t="str">
        <f>IF(ngay29!M18&gt;0,ngay29!M18," ")</f>
        <v/>
      </c>
      <c r="AE20" s="10" t="str">
        <f>IF(ngay30!M18&gt;0,ngay30!M18," ")</f>
        <v/>
      </c>
      <c r="AF20" s="57" t="str">
        <f>IF(ngay31!M18&gt;0,ngay31!M18," ")</f>
        <v/>
      </c>
      <c r="AG20" s="58" t="str">
        <f t="shared" si="1"/>
        <v/>
      </c>
      <c r="AH20" s="59" t="str">
        <f t="shared" si="2"/>
        <v/>
      </c>
      <c r="AI20" s="9" t="str">
        <f t="shared" si="0"/>
        <v/>
      </c>
    </row>
    <row r="21" spans="1:35" ht="12.75">
      <c r="A21" s="183" t="s">
        <v>142</v>
      </c>
      <c r="B21" s="25" t="str">
        <f>IF(ngay01!M19&gt;0,ngay01!M19," ")</f>
        <v xml:space="preserve"> </v>
      </c>
      <c r="C21" s="10" t="str">
        <f>IF(ngay02!M19&gt;0,ngay02!M19," ")</f>
        <v/>
      </c>
      <c r="D21" s="10" t="str">
        <f>IF(ngay03!M19&gt;0,ngay03!M19," ")</f>
        <v/>
      </c>
      <c r="E21" s="10" t="str">
        <f>IF(ngay04!M19&gt;0,ngay04!M19," ")</f>
        <v/>
      </c>
      <c r="F21" s="10" t="str">
        <f>IF(ngay05!M19&gt;0,ngay05!M19," ")</f>
        <v/>
      </c>
      <c r="G21" s="10" t="str">
        <f>IF(ngay06!M19&gt;0,ngay06!M19," ")</f>
        <v/>
      </c>
      <c r="H21" s="10" t="str">
        <f>IF(ngay07!M19&gt;0,ngay07!M19," ")</f>
        <v/>
      </c>
      <c r="I21" s="10" t="str">
        <f>IF(ngay08!M19&gt;0,ngay08!M19," ")</f>
        <v/>
      </c>
      <c r="J21" s="10" t="str">
        <f>IF(ngay09!M19&gt;0,ngay09!M19," ")</f>
        <v/>
      </c>
      <c r="K21" s="10" t="str">
        <f>IF(ngay10!M19&gt;0,ngay10!M19," ")</f>
        <v/>
      </c>
      <c r="L21" s="10" t="str">
        <f>IF(ngay11!M19&gt;0,ngay11!M19," ")</f>
        <v/>
      </c>
      <c r="M21" s="10" t="str">
        <f>IF(ngay12!M19&gt;0,ngay12!M19," ")</f>
        <v/>
      </c>
      <c r="N21" s="10" t="str">
        <f>IF(ngay13!M19&gt;0,ngay13!M19," ")</f>
        <v/>
      </c>
      <c r="O21" s="10" t="str">
        <f>IF(ngay14!M19&gt;0,ngay14!M19," ")</f>
        <v/>
      </c>
      <c r="P21" s="10" t="str">
        <f>IF(ngay15!M19&gt;0,ngay15!M19," ")</f>
        <v/>
      </c>
      <c r="Q21" s="10" t="str">
        <f>IF(ngay16!M19&gt;0,ngay16!M19," ")</f>
        <v/>
      </c>
      <c r="R21" s="10" t="str">
        <f>IF(ngay17!M19&gt;0,ngay17!M19," ")</f>
        <v/>
      </c>
      <c r="S21" s="10" t="str">
        <f>IF(ngay18!M19&gt;0,ngay18!M19," ")</f>
        <v/>
      </c>
      <c r="T21" s="10" t="str">
        <f>IF(ngay19!M19&gt;0,ngay19!M19," ")</f>
        <v/>
      </c>
      <c r="U21" s="10" t="str">
        <f>IF(ngay20!M19&gt;0,ngay20!M19," ")</f>
        <v/>
      </c>
      <c r="V21" s="10" t="str">
        <f>IF(ngay21!M19&gt;0,ngay21!M19," ")</f>
        <v/>
      </c>
      <c r="W21" s="10" t="str">
        <f>IF(ngay22!M19&gt;0,ngay22!M19," ")</f>
        <v xml:space="preserve"> </v>
      </c>
      <c r="X21" s="10" t="str">
        <f>IF(ngay23!M19&gt;0,ngay23!M19," ")</f>
        <v xml:space="preserve"> </v>
      </c>
      <c r="Y21" s="10" t="str">
        <f>IF(ngay24!M19&gt;0,ngay24!M19," ")</f>
        <v/>
      </c>
      <c r="Z21" s="10" t="str">
        <f>IF(ngay25!M19&gt;0,ngay25!M19," ")</f>
        <v/>
      </c>
      <c r="AA21" s="10" t="str">
        <f>IF(ngay26!M19&gt;0,ngay26!M19," ")</f>
        <v/>
      </c>
      <c r="AB21" s="10" t="str">
        <f>IF(ngay27!M19&gt;0,ngay27!M19," ")</f>
        <v/>
      </c>
      <c r="AC21" s="10" t="str">
        <f>IF(ngay28!M19&gt;0,ngay28!M19," ")</f>
        <v/>
      </c>
      <c r="AD21" s="10" t="str">
        <f>IF(ngay29!M19&gt;0,ngay29!M19," ")</f>
        <v/>
      </c>
      <c r="AE21" s="10" t="str">
        <f>IF(ngay30!M19&gt;0,ngay30!M19," ")</f>
        <v/>
      </c>
      <c r="AF21" s="57" t="str">
        <f>IF(ngay31!M19&gt;0,ngay31!M19," ")</f>
        <v/>
      </c>
      <c r="AG21" s="58" t="str">
        <f t="shared" si="1"/>
        <v/>
      </c>
      <c r="AH21" s="59" t="str">
        <f t="shared" si="2"/>
        <v/>
      </c>
      <c r="AI21" s="9" t="str">
        <f t="shared" si="0"/>
        <v/>
      </c>
    </row>
    <row r="22" spans="1:35" ht="12.75">
      <c r="A22" s="183" t="s">
        <v>143</v>
      </c>
      <c r="B22" s="25" t="str">
        <f>IF(ngay01!M20&gt;0,ngay01!M20," ")</f>
        <v xml:space="preserve"> </v>
      </c>
      <c r="C22" s="10" t="str">
        <f>IF(ngay02!M20&gt;0,ngay02!M20," ")</f>
        <v/>
      </c>
      <c r="D22" s="10" t="str">
        <f>IF(ngay03!M20&gt;0,ngay03!M20," ")</f>
        <v/>
      </c>
      <c r="E22" s="10" t="str">
        <f>IF(ngay04!M20&gt;0,ngay04!M20," ")</f>
        <v/>
      </c>
      <c r="F22" s="10" t="str">
        <f>IF(ngay05!M20&gt;0,ngay05!M20," ")</f>
        <v/>
      </c>
      <c r="G22" s="10" t="str">
        <f>IF(ngay06!M20&gt;0,ngay06!M20," ")</f>
        <v/>
      </c>
      <c r="H22" s="10" t="str">
        <f>IF(ngay07!M20&gt;0,ngay07!M20," ")</f>
        <v/>
      </c>
      <c r="I22" s="10" t="str">
        <f>IF(ngay08!M20&gt;0,ngay08!M20," ")</f>
        <v/>
      </c>
      <c r="J22" s="10" t="str">
        <f>IF(ngay09!M20&gt;0,ngay09!M20," ")</f>
        <v/>
      </c>
      <c r="K22" s="10" t="str">
        <f>IF(ngay10!M20&gt;0,ngay10!M20," ")</f>
        <v/>
      </c>
      <c r="L22" s="10" t="str">
        <f>IF(ngay11!M20&gt;0,ngay11!M20," ")</f>
        <v/>
      </c>
      <c r="M22" s="10" t="str">
        <f>IF(ngay12!M20&gt;0,ngay12!M20," ")</f>
        <v/>
      </c>
      <c r="N22" s="10" t="str">
        <f>IF(ngay13!M20&gt;0,ngay13!M20," ")</f>
        <v/>
      </c>
      <c r="O22" s="10" t="str">
        <f>IF(ngay14!M20&gt;0,ngay14!M20," ")</f>
        <v/>
      </c>
      <c r="P22" s="10" t="str">
        <f>IF(ngay15!M20&gt;0,ngay15!M20," ")</f>
        <v/>
      </c>
      <c r="Q22" s="10" t="str">
        <f>IF(ngay16!M20&gt;0,ngay16!M20," ")</f>
        <v/>
      </c>
      <c r="R22" s="10" t="str">
        <f>IF(ngay17!M20&gt;0,ngay17!M20," ")</f>
        <v/>
      </c>
      <c r="S22" s="10" t="str">
        <f>IF(ngay18!M20&gt;0,ngay18!M20," ")</f>
        <v/>
      </c>
      <c r="T22" s="10" t="str">
        <f>IF(ngay19!M20&gt;0,ngay19!M20," ")</f>
        <v/>
      </c>
      <c r="U22" s="10" t="str">
        <f>IF(ngay20!M20&gt;0,ngay20!M20," ")</f>
        <v/>
      </c>
      <c r="V22" s="10" t="str">
        <f>IF(ngay21!M20&gt;0,ngay21!M20," ")</f>
        <v/>
      </c>
      <c r="W22" s="10" t="str">
        <f>IF(ngay22!M20&gt;0,ngay22!M20," ")</f>
        <v xml:space="preserve"> </v>
      </c>
      <c r="X22" s="10" t="str">
        <f>IF(ngay23!M20&gt;0,ngay23!M20," ")</f>
        <v xml:space="preserve"> </v>
      </c>
      <c r="Y22" s="10" t="str">
        <f>IF(ngay24!M20&gt;0,ngay24!M20," ")</f>
        <v/>
      </c>
      <c r="Z22" s="10" t="str">
        <f>IF(ngay25!M20&gt;0,ngay25!M20," ")</f>
        <v/>
      </c>
      <c r="AA22" s="10" t="str">
        <f>IF(ngay26!M20&gt;0,ngay26!M20," ")</f>
        <v/>
      </c>
      <c r="AB22" s="10" t="str">
        <f>IF(ngay27!M20&gt;0,ngay27!M20," ")</f>
        <v/>
      </c>
      <c r="AC22" s="10" t="str">
        <f>IF(ngay28!M20&gt;0,ngay28!M20," ")</f>
        <v/>
      </c>
      <c r="AD22" s="10" t="str">
        <f>IF(ngay29!M20&gt;0,ngay29!M20," ")</f>
        <v/>
      </c>
      <c r="AE22" s="10" t="str">
        <f>IF(ngay30!M20&gt;0,ngay30!M20," ")</f>
        <v/>
      </c>
      <c r="AF22" s="57" t="str">
        <f>IF(ngay31!M20&gt;0,ngay31!M20," ")</f>
        <v/>
      </c>
      <c r="AG22" s="58" t="str">
        <f t="shared" si="1"/>
        <v/>
      </c>
      <c r="AH22" s="59" t="str">
        <f t="shared" si="2"/>
        <v/>
      </c>
      <c r="AI22" s="9" t="str">
        <f t="shared" si="0"/>
        <v/>
      </c>
    </row>
    <row r="23" spans="1:35" ht="12.75">
      <c r="A23" s="183" t="s">
        <v>144</v>
      </c>
      <c r="B23" s="25" t="str">
        <f>IF(ngay01!M21&gt;0,ngay01!M21," ")</f>
        <v xml:space="preserve"> </v>
      </c>
      <c r="C23" s="10" t="str">
        <f>IF(ngay02!M21&gt;0,ngay02!M21," ")</f>
        <v/>
      </c>
      <c r="D23" s="10" t="str">
        <f>IF(ngay03!M21&gt;0,ngay03!M21," ")</f>
        <v/>
      </c>
      <c r="E23" s="10" t="str">
        <f>IF(ngay04!M21&gt;0,ngay04!M21," ")</f>
        <v/>
      </c>
      <c r="F23" s="10" t="str">
        <f>IF(ngay05!M21&gt;0,ngay05!M21," ")</f>
        <v/>
      </c>
      <c r="G23" s="10" t="str">
        <f>IF(ngay06!M21&gt;0,ngay06!M21," ")</f>
        <v/>
      </c>
      <c r="H23" s="10" t="str">
        <f>IF(ngay07!M21&gt;0,ngay07!M21," ")</f>
        <v/>
      </c>
      <c r="I23" s="10" t="str">
        <f>IF(ngay08!M21&gt;0,ngay08!M21," ")</f>
        <v/>
      </c>
      <c r="J23" s="10" t="str">
        <f>IF(ngay09!M21&gt;0,ngay09!M21," ")</f>
        <v/>
      </c>
      <c r="K23" s="10" t="str">
        <f>IF(ngay10!M21&gt;0,ngay10!M21," ")</f>
        <v/>
      </c>
      <c r="L23" s="10" t="str">
        <f>IF(ngay11!M21&gt;0,ngay11!M21," ")</f>
        <v/>
      </c>
      <c r="M23" s="10" t="str">
        <f>IF(ngay12!M21&gt;0,ngay12!M21," ")</f>
        <v/>
      </c>
      <c r="N23" s="10" t="str">
        <f>IF(ngay13!M21&gt;0,ngay13!M21," ")</f>
        <v/>
      </c>
      <c r="O23" s="10" t="str">
        <f>IF(ngay14!M21&gt;0,ngay14!M21," ")</f>
        <v/>
      </c>
      <c r="P23" s="10" t="str">
        <f>IF(ngay15!M21&gt;0,ngay15!M21," ")</f>
        <v/>
      </c>
      <c r="Q23" s="10" t="str">
        <f>IF(ngay16!M21&gt;0,ngay16!M21," ")</f>
        <v/>
      </c>
      <c r="R23" s="10" t="str">
        <f>IF(ngay17!M21&gt;0,ngay17!M21," ")</f>
        <v/>
      </c>
      <c r="S23" s="10" t="str">
        <f>IF(ngay18!M21&gt;0,ngay18!M21," ")</f>
        <v/>
      </c>
      <c r="T23" s="10" t="str">
        <f>IF(ngay19!M21&gt;0,ngay19!M21," ")</f>
        <v/>
      </c>
      <c r="U23" s="10" t="str">
        <f>IF(ngay20!M21&gt;0,ngay20!M21," ")</f>
        <v/>
      </c>
      <c r="V23" s="10" t="str">
        <f>IF(ngay21!M21&gt;0,ngay21!M21," ")</f>
        <v/>
      </c>
      <c r="W23" s="10" t="str">
        <f>IF(ngay22!M21&gt;0,ngay22!M21," ")</f>
        <v xml:space="preserve"> </v>
      </c>
      <c r="X23" s="10" t="str">
        <f>IF(ngay23!M21&gt;0,ngay23!M21," ")</f>
        <v xml:space="preserve"> </v>
      </c>
      <c r="Y23" s="10" t="str">
        <f>IF(ngay24!M21&gt;0,ngay24!M21," ")</f>
        <v/>
      </c>
      <c r="Z23" s="10" t="str">
        <f>IF(ngay25!M21&gt;0,ngay25!M21," ")</f>
        <v/>
      </c>
      <c r="AA23" s="10" t="str">
        <f>IF(ngay26!M21&gt;0,ngay26!M21," ")</f>
        <v/>
      </c>
      <c r="AB23" s="10" t="str">
        <f>IF(ngay27!M21&gt;0,ngay27!M21," ")</f>
        <v/>
      </c>
      <c r="AC23" s="10" t="str">
        <f>IF(ngay28!M21&gt;0,ngay28!M21," ")</f>
        <v/>
      </c>
      <c r="AD23" s="10" t="str">
        <f>IF(ngay29!M21&gt;0,ngay29!M21," ")</f>
        <v/>
      </c>
      <c r="AE23" s="10" t="str">
        <f>IF(ngay30!M21&gt;0,ngay30!M21," ")</f>
        <v/>
      </c>
      <c r="AF23" s="57" t="str">
        <f>IF(ngay31!M21&gt;0,ngay31!M21," ")</f>
        <v/>
      </c>
      <c r="AG23" s="58" t="str">
        <f t="shared" si="1"/>
        <v/>
      </c>
      <c r="AH23" s="59" t="str">
        <f t="shared" si="2"/>
        <v/>
      </c>
      <c r="AI23" s="9" t="str">
        <f t="shared" si="0"/>
        <v/>
      </c>
    </row>
    <row r="24" spans="1:35" ht="12.75">
      <c r="A24" s="183" t="s">
        <v>145</v>
      </c>
      <c r="B24" s="25" t="str">
        <f>IF(ngay01!M22&gt;0,ngay01!M22," ")</f>
        <v xml:space="preserve"> </v>
      </c>
      <c r="C24" s="10" t="str">
        <f>IF(ngay02!M22&gt;0,ngay02!M22," ")</f>
        <v/>
      </c>
      <c r="D24" s="10" t="str">
        <f>IF(ngay03!M22&gt;0,ngay03!M22," ")</f>
        <v/>
      </c>
      <c r="E24" s="10" t="str">
        <f>IF(ngay04!M22&gt;0,ngay04!M22," ")</f>
        <v/>
      </c>
      <c r="F24" s="10" t="str">
        <f>IF(ngay05!M22&gt;0,ngay05!M22," ")</f>
        <v/>
      </c>
      <c r="G24" s="10" t="str">
        <f>IF(ngay06!M22&gt;0,ngay06!M22," ")</f>
        <v/>
      </c>
      <c r="H24" s="10" t="str">
        <f>IF(ngay07!M22&gt;0,ngay07!M22," ")</f>
        <v/>
      </c>
      <c r="I24" s="10" t="str">
        <f>IF(ngay08!M22&gt;0,ngay08!M22," ")</f>
        <v/>
      </c>
      <c r="J24" s="10" t="str">
        <f>IF(ngay09!M22&gt;0,ngay09!M22," ")</f>
        <v/>
      </c>
      <c r="K24" s="10" t="str">
        <f>IF(ngay10!M22&gt;0,ngay10!M22," ")</f>
        <v/>
      </c>
      <c r="L24" s="10" t="str">
        <f>IF(ngay11!M22&gt;0,ngay11!M22," ")</f>
        <v/>
      </c>
      <c r="M24" s="10" t="str">
        <f>IF(ngay12!M22&gt;0,ngay12!M22," ")</f>
        <v/>
      </c>
      <c r="N24" s="10" t="str">
        <f>IF(ngay13!M22&gt;0,ngay13!M22," ")</f>
        <v/>
      </c>
      <c r="O24" s="10" t="str">
        <f>IF(ngay14!M22&gt;0,ngay14!M22," ")</f>
        <v/>
      </c>
      <c r="P24" s="10" t="str">
        <f>IF(ngay15!M22&gt;0,ngay15!M22," ")</f>
        <v/>
      </c>
      <c r="Q24" s="10" t="str">
        <f>IF(ngay16!M22&gt;0,ngay16!M22," ")</f>
        <v/>
      </c>
      <c r="R24" s="10" t="str">
        <f>IF(ngay17!M22&gt;0,ngay17!M22," ")</f>
        <v/>
      </c>
      <c r="S24" s="10" t="str">
        <f>IF(ngay18!M22&gt;0,ngay18!M22," ")</f>
        <v/>
      </c>
      <c r="T24" s="10" t="str">
        <f>IF(ngay19!M22&gt;0,ngay19!M22," ")</f>
        <v/>
      </c>
      <c r="U24" s="10" t="str">
        <f>IF(ngay20!M22&gt;0,ngay20!M22," ")</f>
        <v/>
      </c>
      <c r="V24" s="10" t="str">
        <f>IF(ngay21!M22&gt;0,ngay21!M22," ")</f>
        <v/>
      </c>
      <c r="W24" s="10" t="str">
        <f>IF(ngay22!M22&gt;0,ngay22!M22," ")</f>
        <v xml:space="preserve"> </v>
      </c>
      <c r="X24" s="10" t="str">
        <f>IF(ngay23!M22&gt;0,ngay23!M22," ")</f>
        <v xml:space="preserve"> </v>
      </c>
      <c r="Y24" s="10" t="str">
        <f>IF(ngay24!M22&gt;0,ngay24!M22," ")</f>
        <v/>
      </c>
      <c r="Z24" s="10" t="str">
        <f>IF(ngay25!M22&gt;0,ngay25!M22," ")</f>
        <v/>
      </c>
      <c r="AA24" s="10" t="str">
        <f>IF(ngay26!M22&gt;0,ngay26!M22," ")</f>
        <v/>
      </c>
      <c r="AB24" s="10" t="str">
        <f>IF(ngay27!M22&gt;0,ngay27!M22," ")</f>
        <v/>
      </c>
      <c r="AC24" s="10" t="str">
        <f>IF(ngay28!M22&gt;0,ngay28!M22," ")</f>
        <v/>
      </c>
      <c r="AD24" s="10" t="str">
        <f>IF(ngay29!M22&gt;0,ngay29!M22," ")</f>
        <v/>
      </c>
      <c r="AE24" s="10" t="str">
        <f>IF(ngay30!M22&gt;0,ngay30!M22," ")</f>
        <v/>
      </c>
      <c r="AF24" s="57" t="str">
        <f>IF(ngay31!M22&gt;0,ngay31!M22," ")</f>
        <v/>
      </c>
      <c r="AG24" s="58" t="str">
        <f t="shared" si="1"/>
        <v/>
      </c>
      <c r="AH24" s="59" t="str">
        <f t="shared" si="2"/>
        <v/>
      </c>
      <c r="AI24" s="9" t="str">
        <f t="shared" si="0"/>
        <v/>
      </c>
    </row>
    <row r="25" spans="1:35" ht="12.75">
      <c r="A25" s="183" t="s">
        <v>146</v>
      </c>
      <c r="B25" s="25" t="str">
        <f>IF(ngay01!M23&gt;0,ngay01!M23," ")</f>
        <v xml:space="preserve"> </v>
      </c>
      <c r="C25" s="10" t="str">
        <f>IF(ngay02!M23&gt;0,ngay02!M23," ")</f>
        <v/>
      </c>
      <c r="D25" s="10" t="str">
        <f>IF(ngay03!M23&gt;0,ngay03!M23," ")</f>
        <v/>
      </c>
      <c r="E25" s="10" t="str">
        <f>IF(ngay04!M23&gt;0,ngay04!M23," ")</f>
        <v/>
      </c>
      <c r="F25" s="10" t="str">
        <f>IF(ngay05!M23&gt;0,ngay05!M23," ")</f>
        <v/>
      </c>
      <c r="G25" s="10" t="str">
        <f>IF(ngay06!M23&gt;0,ngay06!M23," ")</f>
        <v/>
      </c>
      <c r="H25" s="10" t="str">
        <f>IF(ngay07!M23&gt;0,ngay07!M23," ")</f>
        <v/>
      </c>
      <c r="I25" s="10" t="str">
        <f>IF(ngay08!M23&gt;0,ngay08!M23," ")</f>
        <v/>
      </c>
      <c r="J25" s="10" t="str">
        <f>IF(ngay09!M23&gt;0,ngay09!M23," ")</f>
        <v/>
      </c>
      <c r="K25" s="10" t="str">
        <f>IF(ngay10!M23&gt;0,ngay10!M23," ")</f>
        <v/>
      </c>
      <c r="L25" s="10" t="str">
        <f>IF(ngay11!M23&gt;0,ngay11!M23," ")</f>
        <v/>
      </c>
      <c r="M25" s="10" t="str">
        <f>IF(ngay12!M23&gt;0,ngay12!M23," ")</f>
        <v/>
      </c>
      <c r="N25" s="10" t="str">
        <f>IF(ngay13!M23&gt;0,ngay13!M23," ")</f>
        <v/>
      </c>
      <c r="O25" s="10" t="str">
        <f>IF(ngay14!M23&gt;0,ngay14!M23," ")</f>
        <v/>
      </c>
      <c r="P25" s="10" t="str">
        <f>IF(ngay15!M23&gt;0,ngay15!M23," ")</f>
        <v/>
      </c>
      <c r="Q25" s="10" t="str">
        <f>IF(ngay16!M23&gt;0,ngay16!M23," ")</f>
        <v/>
      </c>
      <c r="R25" s="10" t="str">
        <f>IF(ngay17!M23&gt;0,ngay17!M23," ")</f>
        <v/>
      </c>
      <c r="S25" s="10" t="str">
        <f>IF(ngay18!M23&gt;0,ngay18!M23," ")</f>
        <v/>
      </c>
      <c r="T25" s="10" t="str">
        <f>IF(ngay19!M23&gt;0,ngay19!M23," ")</f>
        <v/>
      </c>
      <c r="U25" s="10" t="str">
        <f>IF(ngay20!M23&gt;0,ngay20!M23," ")</f>
        <v/>
      </c>
      <c r="V25" s="10" t="str">
        <f>IF(ngay21!M23&gt;0,ngay21!M23," ")</f>
        <v/>
      </c>
      <c r="W25" s="10" t="str">
        <f>IF(ngay22!M23&gt;0,ngay22!M23," ")</f>
        <v xml:space="preserve"> </v>
      </c>
      <c r="X25" s="10" t="str">
        <f>IF(ngay23!M23&gt;0,ngay23!M23," ")</f>
        <v xml:space="preserve"> </v>
      </c>
      <c r="Y25" s="10" t="str">
        <f>IF(ngay24!M23&gt;0,ngay24!M23," ")</f>
        <v/>
      </c>
      <c r="Z25" s="10" t="str">
        <f>IF(ngay25!M23&gt;0,ngay25!M23," ")</f>
        <v/>
      </c>
      <c r="AA25" s="10" t="str">
        <f>IF(ngay26!M23&gt;0,ngay26!M23," ")</f>
        <v/>
      </c>
      <c r="AB25" s="10" t="str">
        <f>IF(ngay27!M23&gt;0,ngay27!M23," ")</f>
        <v/>
      </c>
      <c r="AC25" s="10" t="str">
        <f>IF(ngay28!M23&gt;0,ngay28!M23," ")</f>
        <v/>
      </c>
      <c r="AD25" s="10" t="str">
        <f>IF(ngay29!M23&gt;0,ngay29!M23," ")</f>
        <v/>
      </c>
      <c r="AE25" s="10" t="str">
        <f>IF(ngay30!M23&gt;0,ngay30!M23," ")</f>
        <v/>
      </c>
      <c r="AF25" s="57" t="str">
        <f>IF(ngay31!M23&gt;0,ngay31!M23," ")</f>
        <v/>
      </c>
      <c r="AG25" s="58" t="str">
        <f t="shared" si="1"/>
        <v/>
      </c>
      <c r="AH25" s="59" t="str">
        <f t="shared" si="2"/>
        <v/>
      </c>
      <c r="AI25" s="9" t="str">
        <f t="shared" si="0"/>
        <v/>
      </c>
    </row>
    <row r="26" spans="1:35" ht="12.75">
      <c r="A26" s="183" t="s">
        <v>147</v>
      </c>
      <c r="B26" s="25" t="str">
        <f>IF(ngay01!M24&gt;0,ngay01!M24," ")</f>
        <v xml:space="preserve"> </v>
      </c>
      <c r="C26" s="10" t="str">
        <f>IF(ngay02!M24&gt;0,ngay02!M24," ")</f>
        <v/>
      </c>
      <c r="D26" s="10" t="str">
        <f>IF(ngay03!M24&gt;0,ngay03!M24," ")</f>
        <v/>
      </c>
      <c r="E26" s="10" t="str">
        <f>IF(ngay04!M24&gt;0,ngay04!M24," ")</f>
        <v/>
      </c>
      <c r="F26" s="10" t="str">
        <f>IF(ngay05!M24&gt;0,ngay05!M24," ")</f>
        <v/>
      </c>
      <c r="G26" s="10" t="str">
        <f>IF(ngay06!M24&gt;0,ngay06!M24," ")</f>
        <v/>
      </c>
      <c r="H26" s="10" t="str">
        <f>IF(ngay07!M24&gt;0,ngay07!M24," ")</f>
        <v/>
      </c>
      <c r="I26" s="10" t="str">
        <f>IF(ngay08!M24&gt;0,ngay08!M24," ")</f>
        <v/>
      </c>
      <c r="J26" s="10" t="str">
        <f>IF(ngay09!M24&gt;0,ngay09!M24," ")</f>
        <v/>
      </c>
      <c r="K26" s="10" t="str">
        <f>IF(ngay10!M24&gt;0,ngay10!M24," ")</f>
        <v/>
      </c>
      <c r="L26" s="10" t="str">
        <f>IF(ngay11!M24&gt;0,ngay11!M24," ")</f>
        <v/>
      </c>
      <c r="M26" s="10" t="str">
        <f>IF(ngay12!M24&gt;0,ngay12!M24," ")</f>
        <v/>
      </c>
      <c r="N26" s="10" t="str">
        <f>IF(ngay13!M24&gt;0,ngay13!M24," ")</f>
        <v/>
      </c>
      <c r="O26" s="10" t="str">
        <f>IF(ngay14!M24&gt;0,ngay14!M24," ")</f>
        <v/>
      </c>
      <c r="P26" s="10" t="str">
        <f>IF(ngay15!M24&gt;0,ngay15!M24," ")</f>
        <v/>
      </c>
      <c r="Q26" s="10" t="str">
        <f>IF(ngay16!M24&gt;0,ngay16!M24," ")</f>
        <v/>
      </c>
      <c r="R26" s="10" t="str">
        <f>IF(ngay17!M24&gt;0,ngay17!M24," ")</f>
        <v/>
      </c>
      <c r="S26" s="10" t="str">
        <f>IF(ngay18!M24&gt;0,ngay18!M24," ")</f>
        <v/>
      </c>
      <c r="T26" s="10" t="str">
        <f>IF(ngay19!M24&gt;0,ngay19!M24," ")</f>
        <v/>
      </c>
      <c r="U26" s="10" t="str">
        <f>IF(ngay20!M24&gt;0,ngay20!M24," ")</f>
        <v/>
      </c>
      <c r="V26" s="10" t="str">
        <f>IF(ngay21!M24&gt;0,ngay21!M24," ")</f>
        <v/>
      </c>
      <c r="W26" s="10" t="str">
        <f>IF(ngay22!M24&gt;0,ngay22!M24," ")</f>
        <v xml:space="preserve"> </v>
      </c>
      <c r="X26" s="10" t="str">
        <f>IF(ngay23!M24&gt;0,ngay23!M24," ")</f>
        <v xml:space="preserve"> </v>
      </c>
      <c r="Y26" s="10" t="str">
        <f>IF(ngay24!M24&gt;0,ngay24!M24," ")</f>
        <v/>
      </c>
      <c r="Z26" s="10" t="str">
        <f>IF(ngay25!M24&gt;0,ngay25!M24," ")</f>
        <v/>
      </c>
      <c r="AA26" s="10" t="str">
        <f>IF(ngay26!M24&gt;0,ngay26!M24," ")</f>
        <v/>
      </c>
      <c r="AB26" s="10" t="str">
        <f>IF(ngay27!M24&gt;0,ngay27!M24," ")</f>
        <v/>
      </c>
      <c r="AC26" s="10" t="str">
        <f>IF(ngay28!M24&gt;0,ngay28!M24," ")</f>
        <v/>
      </c>
      <c r="AD26" s="10" t="str">
        <f>IF(ngay29!M24&gt;0,ngay29!M24," ")</f>
        <v/>
      </c>
      <c r="AE26" s="10" t="str">
        <f>IF(ngay30!M24&gt;0,ngay30!M24," ")</f>
        <v/>
      </c>
      <c r="AF26" s="57" t="str">
        <f>IF(ngay31!M24&gt;0,ngay31!M24," ")</f>
        <v/>
      </c>
      <c r="AG26" s="58" t="str">
        <f t="shared" si="1"/>
        <v/>
      </c>
      <c r="AH26" s="59" t="str">
        <f t="shared" si="2"/>
        <v/>
      </c>
      <c r="AI26" s="9" t="str">
        <f t="shared" si="0"/>
        <v/>
      </c>
    </row>
    <row r="27" spans="1:35" ht="12.75">
      <c r="A27" s="303" t="s">
        <v>191</v>
      </c>
      <c r="B27" s="25" t="str">
        <f>IF(ngay01!M25&gt;0,ngay01!M25," ")</f>
        <v xml:space="preserve"> </v>
      </c>
      <c r="C27" s="10" t="str">
        <f>IF(ngay02!M25&gt;0,ngay02!M25," ")</f>
        <v/>
      </c>
      <c r="D27" s="10" t="str">
        <f>IF(ngay03!M25&gt;0,ngay03!M25," ")</f>
        <v/>
      </c>
      <c r="E27" s="10" t="str">
        <f>IF(ngay04!M25&gt;0,ngay04!M25," ")</f>
        <v/>
      </c>
      <c r="F27" s="10" t="str">
        <f>IF(ngay05!M25&gt;0,ngay05!M25," ")</f>
        <v/>
      </c>
      <c r="G27" s="10" t="str">
        <f>IF(ngay06!M25&gt;0,ngay06!M25," ")</f>
        <v/>
      </c>
      <c r="H27" s="10" t="str">
        <f>IF(ngay07!M25&gt;0,ngay07!M25," ")</f>
        <v/>
      </c>
      <c r="I27" s="10" t="str">
        <f>IF(ngay08!M25&gt;0,ngay08!M25," ")</f>
        <v/>
      </c>
      <c r="J27" s="10" t="str">
        <f>IF(ngay09!M25&gt;0,ngay09!M25," ")</f>
        <v/>
      </c>
      <c r="K27" s="10" t="str">
        <f>IF(ngay10!M25&gt;0,ngay10!M25," ")</f>
        <v/>
      </c>
      <c r="L27" s="10" t="str">
        <f>IF(ngay11!M25&gt;0,ngay11!M25," ")</f>
        <v/>
      </c>
      <c r="M27" s="10" t="str">
        <f>IF(ngay12!M25&gt;0,ngay12!M25," ")</f>
        <v/>
      </c>
      <c r="N27" s="10" t="str">
        <f>IF(ngay13!M25&gt;0,ngay13!M25," ")</f>
        <v/>
      </c>
      <c r="O27" s="10" t="str">
        <f>IF(ngay14!M25&gt;0,ngay14!M25," ")</f>
        <v/>
      </c>
      <c r="P27" s="10" t="str">
        <f>IF(ngay15!M25&gt;0,ngay15!M25," ")</f>
        <v/>
      </c>
      <c r="Q27" s="10" t="str">
        <f>IF(ngay16!M25&gt;0,ngay16!M25," ")</f>
        <v/>
      </c>
      <c r="R27" s="10" t="str">
        <f>IF(ngay17!M25&gt;0,ngay17!M25," ")</f>
        <v/>
      </c>
      <c r="S27" s="10" t="str">
        <f>IF(ngay18!M25&gt;0,ngay18!M25," ")</f>
        <v/>
      </c>
      <c r="T27" s="10" t="str">
        <f>IF(ngay19!M25&gt;0,ngay19!M25," ")</f>
        <v/>
      </c>
      <c r="U27" s="10" t="str">
        <f>IF(ngay20!M25&gt;0,ngay20!M25," ")</f>
        <v/>
      </c>
      <c r="V27" s="10" t="str">
        <f>IF(ngay21!M25&gt;0,ngay21!M25," ")</f>
        <v/>
      </c>
      <c r="W27" s="10" t="str">
        <f>IF(ngay22!M25&gt;0,ngay22!M25," ")</f>
        <v xml:space="preserve"> </v>
      </c>
      <c r="X27" s="10" t="str">
        <f>IF(ngay23!M25&gt;0,ngay23!M25," ")</f>
        <v xml:space="preserve"> </v>
      </c>
      <c r="Y27" s="10" t="str">
        <f>IF(ngay24!M25&gt;0,ngay24!M25," ")</f>
        <v/>
      </c>
      <c r="Z27" s="10" t="str">
        <f>IF(ngay25!M25&gt;0,ngay25!M25," ")</f>
        <v/>
      </c>
      <c r="AA27" s="10" t="str">
        <f>IF(ngay26!M25&gt;0,ngay26!M25," ")</f>
        <v/>
      </c>
      <c r="AB27" s="10" t="str">
        <f>IF(ngay27!M25&gt;0,ngay27!M25," ")</f>
        <v/>
      </c>
      <c r="AC27" s="10" t="str">
        <f>IF(ngay28!M25&gt;0,ngay28!M25," ")</f>
        <v/>
      </c>
      <c r="AD27" s="10" t="str">
        <f>IF(ngay29!M25&gt;0,ngay29!M25," ")</f>
        <v/>
      </c>
      <c r="AE27" s="10" t="str">
        <f>IF(ngay30!M25&gt;0,ngay30!M25," ")</f>
        <v/>
      </c>
      <c r="AF27" s="57" t="str">
        <f>IF(ngay31!M25&gt;0,ngay31!M25," ")</f>
        <v/>
      </c>
      <c r="AG27" s="58" t="str">
        <f t="shared" si="1"/>
        <v/>
      </c>
      <c r="AH27" s="59" t="str">
        <f t="shared" si="2"/>
        <v/>
      </c>
      <c r="AI27" s="9" t="str">
        <f t="shared" si="0"/>
        <v/>
      </c>
    </row>
    <row r="28" spans="1:35">
      <c r="B28" s="25" t="str">
        <f>IF(ngay01!M26&gt;0,ngay01!M26," ")</f>
        <v xml:space="preserve"> </v>
      </c>
      <c r="C28" s="10" t="str">
        <f>IF(ngay02!M26&gt;0,ngay02!M26," ")</f>
        <v xml:space="preserve"> </v>
      </c>
      <c r="D28" s="10" t="str">
        <f>IF(ngay03!M26&gt;0,ngay03!M26," ")</f>
        <v xml:space="preserve"> </v>
      </c>
      <c r="E28" s="10" t="str">
        <f>IF(ngay04!M26&gt;0,ngay04!M26," ")</f>
        <v xml:space="preserve"> </v>
      </c>
      <c r="F28" s="10" t="str">
        <f>IF(ngay05!M26&gt;0,ngay05!M26," ")</f>
        <v xml:space="preserve"> </v>
      </c>
      <c r="G28" s="10" t="str">
        <f>IF(ngay06!M26&gt;0,ngay06!M26," ")</f>
        <v xml:space="preserve"> </v>
      </c>
      <c r="H28" s="10" t="str">
        <f>IF(ngay07!M26&gt;0,ngay07!M26," ")</f>
        <v xml:space="preserve"> </v>
      </c>
      <c r="I28" s="10" t="str">
        <f>IF(ngay08!M26&gt;0,ngay08!M26," ")</f>
        <v xml:space="preserve"> </v>
      </c>
      <c r="J28" s="10" t="str">
        <f>IF(ngay09!M26&gt;0,ngay09!M26," ")</f>
        <v xml:space="preserve"> </v>
      </c>
      <c r="K28" s="10" t="str">
        <f>IF(ngay10!M26&gt;0,ngay10!M26," ")</f>
        <v xml:space="preserve"> </v>
      </c>
      <c r="L28" s="10" t="str">
        <f>IF(ngay11!M26&gt;0,ngay11!M26," ")</f>
        <v xml:space="preserve"> </v>
      </c>
      <c r="M28" s="10" t="str">
        <f>IF(ngay12!M26&gt;0,ngay12!M26," ")</f>
        <v xml:space="preserve"> </v>
      </c>
      <c r="N28" s="10" t="str">
        <f>IF(ngay13!M26&gt;0,ngay13!M26," ")</f>
        <v xml:space="preserve"> </v>
      </c>
      <c r="O28" s="10" t="str">
        <f>IF(ngay14!M26&gt;0,ngay14!M26," ")</f>
        <v xml:space="preserve"> </v>
      </c>
      <c r="P28" s="10" t="str">
        <f>IF(ngay15!M26&gt;0,ngay15!M26," ")</f>
        <v xml:space="preserve"> </v>
      </c>
      <c r="Q28" s="10" t="str">
        <f>IF(ngay16!M26&gt;0,ngay16!M26," ")</f>
        <v xml:space="preserve"> </v>
      </c>
      <c r="R28" s="10" t="str">
        <f>IF(ngay17!M26&gt;0,ngay17!M26," ")</f>
        <v xml:space="preserve"> </v>
      </c>
      <c r="S28" s="10" t="str">
        <f>IF(ngay18!M26&gt;0,ngay18!M26," ")</f>
        <v xml:space="preserve"> </v>
      </c>
      <c r="T28" s="10" t="str">
        <f>IF(ngay19!M26&gt;0,ngay19!M26," ")</f>
        <v xml:space="preserve"> </v>
      </c>
      <c r="U28" s="10" t="str">
        <f>IF(ngay20!M26&gt;0,ngay20!M26," ")</f>
        <v xml:space="preserve"> </v>
      </c>
      <c r="V28" s="10" t="str">
        <f>IF(ngay21!M26&gt;0,ngay21!M26," ")</f>
        <v xml:space="preserve"> </v>
      </c>
      <c r="W28" s="10" t="str">
        <f>IF(ngay22!M26&gt;0,ngay22!M26," ")</f>
        <v xml:space="preserve"> </v>
      </c>
      <c r="X28" s="10" t="str">
        <f>IF(ngay23!M26&gt;0,ngay23!M26," ")</f>
        <v xml:space="preserve"> </v>
      </c>
      <c r="Y28" s="10" t="str">
        <f>IF(ngay24!M26&gt;0,ngay24!M26," ")</f>
        <v xml:space="preserve"> </v>
      </c>
      <c r="Z28" s="10" t="str">
        <f>IF(ngay25!M26&gt;0,ngay25!M26," ")</f>
        <v xml:space="preserve"> </v>
      </c>
      <c r="AA28" s="10" t="str">
        <f>IF(ngay26!M26&gt;0,ngay26!M26," ")</f>
        <v xml:space="preserve"> </v>
      </c>
      <c r="AB28" s="10" t="str">
        <f>IF(ngay27!M26&gt;0,ngay27!M26," ")</f>
        <v xml:space="preserve"> </v>
      </c>
      <c r="AC28" s="10" t="str">
        <f>IF(ngay28!M26&gt;0,ngay28!M26," ")</f>
        <v xml:space="preserve"> </v>
      </c>
      <c r="AD28" s="10" t="str">
        <f>IF(ngay29!M26&gt;0,ngay29!M26," ")</f>
        <v xml:space="preserve"> </v>
      </c>
      <c r="AE28" s="10" t="str">
        <f>IF(ngay30!M26&gt;0,ngay30!M26," ")</f>
        <v xml:space="preserve"> </v>
      </c>
      <c r="AF28" s="57" t="str">
        <f>IF(ngay31!M26&gt;0,ngay31!M26," ")</f>
        <v xml:space="preserve"> </v>
      </c>
      <c r="AG28" s="58" t="str">
        <f t="shared" si="1"/>
        <v/>
      </c>
      <c r="AH28" s="59" t="str">
        <f t="shared" si="2"/>
        <v/>
      </c>
      <c r="AI28" s="9" t="str">
        <f t="shared" si="0"/>
        <v/>
      </c>
    </row>
  </sheetData>
  <phoneticPr fontId="0" type="noConversion"/>
  <pageMargins left="0.39370078740157483" right="0.39370078740157483" top="0.39370078740157483" bottom="0.39370078740157483" header="0.11811023622047245" footer="0.11811023622047245"/>
  <pageSetup paperSize="9" orientation="portrait" blackAndWhite="1" horizontalDpi="4294967292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8"/>
  <sheetViews>
    <sheetView zoomScaleNormal="100" workbookViewId="0">
      <selection activeCell="AH29" sqref="AH29"/>
    </sheetView>
  </sheetViews>
  <sheetFormatPr defaultColWidth="6" defaultRowHeight="11.25"/>
  <cols>
    <col min="1" max="1" width="13.1640625" style="9" customWidth="1"/>
    <col min="2" max="31" width="6" style="9"/>
    <col min="32" max="32" width="7.5" style="9" customWidth="1"/>
    <col min="33" max="33" width="10.6640625" style="9" customWidth="1"/>
    <col min="34" max="34" width="12.1640625" style="9" customWidth="1"/>
    <col min="35" max="35" width="6.6640625" style="9" customWidth="1"/>
    <col min="36" max="16384" width="6" style="9"/>
  </cols>
  <sheetData>
    <row r="1" spans="1:57" ht="9" customHeight="1">
      <c r="A1" s="8"/>
      <c r="B1" s="8"/>
      <c r="C1" s="8"/>
    </row>
    <row r="2" spans="1:57" ht="6.7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</row>
    <row r="3" spans="1:57" ht="12" thickBot="1"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</row>
    <row r="4" spans="1:57" s="21" customFormat="1" ht="15.75" customHeight="1">
      <c r="A4" s="11"/>
      <c r="B4" s="30" t="s">
        <v>25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9"/>
      <c r="AG4" s="30" t="s">
        <v>26</v>
      </c>
      <c r="AH4" s="24"/>
      <c r="AI4" s="9"/>
      <c r="AJ4" s="9"/>
      <c r="AK4" s="9"/>
      <c r="AL4" s="9"/>
      <c r="AM4" s="9"/>
      <c r="AN4" s="9"/>
      <c r="AO4" s="9"/>
      <c r="AP4" s="9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</row>
    <row r="5" spans="1:57" ht="20.25" customHeight="1" thickBot="1">
      <c r="A5" s="17" t="s">
        <v>19</v>
      </c>
      <c r="B5" s="12">
        <v>1</v>
      </c>
      <c r="C5" s="13">
        <v>2</v>
      </c>
      <c r="D5" s="13">
        <v>3</v>
      </c>
      <c r="E5" s="13">
        <v>4</v>
      </c>
      <c r="F5" s="13">
        <v>5</v>
      </c>
      <c r="G5" s="13">
        <v>6</v>
      </c>
      <c r="H5" s="13">
        <v>7</v>
      </c>
      <c r="I5" s="13">
        <v>8</v>
      </c>
      <c r="J5" s="13">
        <v>9</v>
      </c>
      <c r="K5" s="13">
        <v>10</v>
      </c>
      <c r="L5" s="13">
        <v>11</v>
      </c>
      <c r="M5" s="13">
        <v>12</v>
      </c>
      <c r="N5" s="13">
        <v>13</v>
      </c>
      <c r="O5" s="13">
        <v>14</v>
      </c>
      <c r="P5" s="13">
        <v>15</v>
      </c>
      <c r="Q5" s="13">
        <v>16</v>
      </c>
      <c r="R5" s="13">
        <v>17</v>
      </c>
      <c r="S5" s="13">
        <v>18</v>
      </c>
      <c r="T5" s="13">
        <v>19</v>
      </c>
      <c r="U5" s="13">
        <v>20</v>
      </c>
      <c r="V5" s="13">
        <v>21</v>
      </c>
      <c r="W5" s="13">
        <v>22</v>
      </c>
      <c r="X5" s="13">
        <v>23</v>
      </c>
      <c r="Y5" s="13">
        <v>24</v>
      </c>
      <c r="Z5" s="13">
        <v>25</v>
      </c>
      <c r="AA5" s="13">
        <v>26</v>
      </c>
      <c r="AB5" s="13">
        <v>27</v>
      </c>
      <c r="AC5" s="13">
        <v>28</v>
      </c>
      <c r="AD5" s="13">
        <v>29</v>
      </c>
      <c r="AE5" s="13">
        <v>30</v>
      </c>
      <c r="AF5" s="14">
        <v>31</v>
      </c>
      <c r="AG5" s="32" t="s">
        <v>26</v>
      </c>
      <c r="AH5" s="33" t="s">
        <v>27</v>
      </c>
      <c r="AI5" s="157" t="s">
        <v>85</v>
      </c>
    </row>
    <row r="6" spans="1:57" ht="13.5" thickTop="1">
      <c r="A6" s="183" t="s">
        <v>128</v>
      </c>
      <c r="B6" s="25" t="str">
        <f>IF(ngay01!L4&gt;0,ngay01!L4," ")</f>
        <v/>
      </c>
      <c r="C6" s="10" t="str">
        <f>IF(ngay02!L4&gt;0,ngay02!L4," ")</f>
        <v/>
      </c>
      <c r="D6" s="10" t="str">
        <f>IF(ngay03!L4&gt;0,ngay03!L4," ")</f>
        <v/>
      </c>
      <c r="E6" s="10" t="str">
        <f>IF(ngay04!L4&gt;0,ngay04!L4," ")</f>
        <v/>
      </c>
      <c r="F6" s="10" t="str">
        <f>IF(ngay05!L4&gt;0,ngay05!L4," ")</f>
        <v/>
      </c>
      <c r="G6" s="10" t="str">
        <f>IF(ngay06!L4&gt;0,ngay06!L4," ")</f>
        <v/>
      </c>
      <c r="H6" s="10" t="str">
        <f>IF(ngay07!L4&gt;0,ngay07!L4," ")</f>
        <v/>
      </c>
      <c r="I6" s="10" t="str">
        <f>IF(ngay08!L4&gt;0,ngay08!L4," ")</f>
        <v/>
      </c>
      <c r="J6" s="10" t="str">
        <f>IF(ngay09!L4&gt;0,ngay09!L4," ")</f>
        <v/>
      </c>
      <c r="K6" s="10" t="str">
        <f>IF(ngay10!L4&gt;0,ngay10!L4," ")</f>
        <v/>
      </c>
      <c r="L6" s="10" t="str">
        <f>IF(ngay11!L4&gt;0,ngay11!L4," ")</f>
        <v/>
      </c>
      <c r="M6" s="10" t="str">
        <f>IF(ngay12!L4&gt;0,ngay12!L4," ")</f>
        <v/>
      </c>
      <c r="N6" s="10" t="str">
        <f>IF(ngay13!L4&gt;0,ngay13!L4," ")</f>
        <v/>
      </c>
      <c r="O6" s="10" t="str">
        <f>IF(ngay14!L4&gt;0,ngay14!L4," ")</f>
        <v/>
      </c>
      <c r="P6" s="10" t="str">
        <f>IF(ngay15!L4&gt;0,ngay15!L4," ")</f>
        <v/>
      </c>
      <c r="Q6" s="10" t="str">
        <f>IF(ngay16!L4&gt;0,ngay16!L4," ")</f>
        <v/>
      </c>
      <c r="R6" s="10" t="str">
        <f>IF(ngay17!L4&gt;0,ngay17!L4," ")</f>
        <v/>
      </c>
      <c r="S6" s="10" t="str">
        <f>IF(ngay18!L4&gt;0,ngay18!L4," ")</f>
        <v/>
      </c>
      <c r="T6" s="10" t="str">
        <f>IF(ngay19!L4&gt;0,ngay19!L4," ")</f>
        <v/>
      </c>
      <c r="U6" s="10" t="str">
        <f>IF(ngay20!L4&gt;0,ngay20!L4," ")</f>
        <v/>
      </c>
      <c r="V6" s="10" t="str">
        <f>IF(ngay21!L4&gt;0,ngay21!L4," ")</f>
        <v/>
      </c>
      <c r="W6" s="10" t="str">
        <f>IF(ngay22!L4&gt;0,ngay22!L4," ")</f>
        <v/>
      </c>
      <c r="X6" s="10" t="str">
        <f>IF(ngay23!L4&gt;0,ngay23!L4," ")</f>
        <v/>
      </c>
      <c r="Y6" s="10" t="str">
        <f>IF(ngay24!L4&gt;0,ngay24!L4," ")</f>
        <v/>
      </c>
      <c r="Z6" s="10" t="str">
        <f>IF(ngay25!L4&gt;0,ngay25!L4," ")</f>
        <v/>
      </c>
      <c r="AA6" s="10" t="str">
        <f>IF(ngay26!L4&gt;0,ngay26!L4," ")</f>
        <v/>
      </c>
      <c r="AB6" s="10" t="str">
        <f>IF(ngay27!L4&gt;0,ngay27!L4," ")</f>
        <v/>
      </c>
      <c r="AC6" s="10" t="str">
        <f>IF(ngay28!L4&gt;0,ngay28!L4," ")</f>
        <v/>
      </c>
      <c r="AD6" s="10" t="str">
        <f>IF(ngay29!L4&gt;0,ngay29!L4," ")</f>
        <v/>
      </c>
      <c r="AE6" s="10" t="str">
        <f>IF(ngay30!L4&gt;0,ngay30!L4," ")</f>
        <v/>
      </c>
      <c r="AF6" s="10" t="str">
        <f>IF(ngay31!L4&gt;0,ngay31!L4," ")</f>
        <v/>
      </c>
      <c r="AG6" s="9" t="str">
        <f>IF(MIN(B6:AF6)&gt;0,MIN(B6:AF6),"")</f>
        <v/>
      </c>
      <c r="AH6" s="9" t="str">
        <f>IF(COUNT(B6:AF6)&gt;0,AVERAGE(B6:AF6),"")</f>
        <v/>
      </c>
      <c r="AI6" s="9" t="str">
        <f>IF($AG6&lt;&gt;"",INDEX($B$5:$AF$5,1,MATCH($AG6,$B6:$AF6,0)),"")</f>
        <v/>
      </c>
    </row>
    <row r="7" spans="1:57" ht="12.75">
      <c r="A7" s="183" t="s">
        <v>129</v>
      </c>
      <c r="B7" s="25" t="str">
        <f>IF(ngay01!L5&gt;0,ngay01!L5," ")</f>
        <v/>
      </c>
      <c r="C7" s="10" t="str">
        <f>IF(ngay02!L5&gt;0,ngay02!L5," ")</f>
        <v/>
      </c>
      <c r="D7" s="10" t="str">
        <f>IF(ngay03!L5&gt;0,ngay03!L5," ")</f>
        <v/>
      </c>
      <c r="E7" s="10" t="str">
        <f>IF(ngay04!L5&gt;0,ngay04!L5," ")</f>
        <v/>
      </c>
      <c r="F7" s="10" t="str">
        <f>IF(ngay05!L5&gt;0,ngay05!L5," ")</f>
        <v/>
      </c>
      <c r="G7" s="10" t="str">
        <f>IF(ngay06!L5&gt;0,ngay06!L5," ")</f>
        <v/>
      </c>
      <c r="H7" s="10" t="str">
        <f>IF(ngay07!L5&gt;0,ngay07!L5," ")</f>
        <v/>
      </c>
      <c r="I7" s="10" t="str">
        <f>IF(ngay08!L5&gt;0,ngay08!L5," ")</f>
        <v/>
      </c>
      <c r="J7" s="10" t="str">
        <f>IF(ngay09!L5&gt;0,ngay09!L5," ")</f>
        <v/>
      </c>
      <c r="K7" s="10" t="str">
        <f>IF(ngay10!L5&gt;0,ngay10!L5," ")</f>
        <v/>
      </c>
      <c r="L7" s="10" t="str">
        <f>IF(ngay11!L5&gt;0,ngay11!L5," ")</f>
        <v/>
      </c>
      <c r="M7" s="10" t="str">
        <f>IF(ngay12!L5&gt;0,ngay12!L5," ")</f>
        <v/>
      </c>
      <c r="N7" s="10" t="str">
        <f>IF(ngay13!L5&gt;0,ngay13!L5," ")</f>
        <v/>
      </c>
      <c r="O7" s="10" t="str">
        <f>IF(ngay14!L5&gt;0,ngay14!L5," ")</f>
        <v/>
      </c>
      <c r="P7" s="10" t="str">
        <f>IF(ngay15!L5&gt;0,ngay15!L5," ")</f>
        <v/>
      </c>
      <c r="Q7" s="10" t="str">
        <f>IF(ngay16!L5&gt;0,ngay16!L5," ")</f>
        <v/>
      </c>
      <c r="R7" s="10" t="str">
        <f>IF(ngay17!L5&gt;0,ngay17!L5," ")</f>
        <v/>
      </c>
      <c r="S7" s="10" t="str">
        <f>IF(ngay18!L5&gt;0,ngay18!L5," ")</f>
        <v/>
      </c>
      <c r="T7" s="10" t="str">
        <f>IF(ngay19!L5&gt;0,ngay19!L5," ")</f>
        <v/>
      </c>
      <c r="U7" s="10" t="str">
        <f>IF(ngay20!L5&gt;0,ngay20!L5," ")</f>
        <v/>
      </c>
      <c r="V7" s="10" t="str">
        <f>IF(ngay21!L5&gt;0,ngay21!L5," ")</f>
        <v/>
      </c>
      <c r="W7" s="10" t="str">
        <f>IF(ngay22!L5&gt;0,ngay22!L5," ")</f>
        <v/>
      </c>
      <c r="X7" s="10" t="str">
        <f>IF(ngay23!L5&gt;0,ngay23!L5," ")</f>
        <v/>
      </c>
      <c r="Y7" s="10" t="str">
        <f>IF(ngay24!L5&gt;0,ngay24!L5," ")</f>
        <v/>
      </c>
      <c r="Z7" s="10" t="str">
        <f>IF(ngay25!L5&gt;0,ngay25!L5," ")</f>
        <v/>
      </c>
      <c r="AA7" s="10" t="str">
        <f>IF(ngay26!L5&gt;0,ngay26!L5," ")</f>
        <v/>
      </c>
      <c r="AB7" s="10" t="str">
        <f>IF(ngay27!L5&gt;0,ngay27!L5," ")</f>
        <v/>
      </c>
      <c r="AC7" s="10" t="str">
        <f>IF(ngay28!L5&gt;0,ngay28!L5," ")</f>
        <v/>
      </c>
      <c r="AD7" s="10" t="str">
        <f>IF(ngay29!L5&gt;0,ngay29!L5," ")</f>
        <v/>
      </c>
      <c r="AE7" s="10" t="str">
        <f>IF(ngay30!L5&gt;0,ngay30!L5," ")</f>
        <v/>
      </c>
      <c r="AF7" s="10" t="str">
        <f>IF(ngay31!L5&gt;0,ngay31!L5," ")</f>
        <v/>
      </c>
      <c r="AG7" s="9" t="str">
        <f>IF(MIN(B7:AF7)&gt;0,MIN(B7:AF7),"")</f>
        <v/>
      </c>
      <c r="AH7" s="9" t="str">
        <f>IF(COUNT(B7:AF7)&gt;0,AVERAGE(B7:AF7),"")</f>
        <v/>
      </c>
      <c r="AI7" s="9" t="str">
        <f t="shared" ref="AI7:AI28" si="0">IF($AG7&lt;&gt;"",INDEX($B$5:$AF$5,1,MATCH($AG7,$B7:$AF7,0)),"")</f>
        <v/>
      </c>
    </row>
    <row r="8" spans="1:57" ht="12.75">
      <c r="A8" s="184" t="s">
        <v>130</v>
      </c>
      <c r="B8" s="25" t="str">
        <f>IF(ngay01!L6&gt;0,ngay01!L6," ")</f>
        <v/>
      </c>
      <c r="C8" s="10" t="str">
        <f>IF(ngay02!L6&gt;0,ngay02!L6," ")</f>
        <v/>
      </c>
      <c r="D8" s="10" t="str">
        <f>IF(ngay03!L6&gt;0,ngay03!L6," ")</f>
        <v/>
      </c>
      <c r="E8" s="10" t="str">
        <f>IF(ngay04!L6&gt;0,ngay04!L6," ")</f>
        <v/>
      </c>
      <c r="F8" s="10" t="str">
        <f>IF(ngay05!L6&gt;0,ngay05!L6," ")</f>
        <v/>
      </c>
      <c r="G8" s="10" t="str">
        <f>IF(ngay06!L6&gt;0,ngay06!L6," ")</f>
        <v/>
      </c>
      <c r="H8" s="10" t="str">
        <f>IF(ngay07!L6&gt;0,ngay07!L6," ")</f>
        <v/>
      </c>
      <c r="I8" s="10" t="str">
        <f>IF(ngay08!L6&gt;0,ngay08!L6," ")</f>
        <v/>
      </c>
      <c r="J8" s="10" t="str">
        <f>IF(ngay09!L6&gt;0,ngay09!L6," ")</f>
        <v/>
      </c>
      <c r="K8" s="10" t="str">
        <f>IF(ngay10!L6&gt;0,ngay10!L6," ")</f>
        <v/>
      </c>
      <c r="L8" s="10" t="str">
        <f>IF(ngay11!L6&gt;0,ngay11!L6," ")</f>
        <v/>
      </c>
      <c r="M8" s="10" t="str">
        <f>IF(ngay12!L6&gt;0,ngay12!L6," ")</f>
        <v/>
      </c>
      <c r="N8" s="10" t="str">
        <f>IF(ngay13!L6&gt;0,ngay13!L6," ")</f>
        <v/>
      </c>
      <c r="O8" s="10" t="str">
        <f>IF(ngay14!L6&gt;0,ngay14!L6," ")</f>
        <v/>
      </c>
      <c r="P8" s="10" t="str">
        <f>IF(ngay15!L6&gt;0,ngay15!L6," ")</f>
        <v/>
      </c>
      <c r="Q8" s="10" t="str">
        <f>IF(ngay16!L6&gt;0,ngay16!L6," ")</f>
        <v/>
      </c>
      <c r="R8" s="10" t="str">
        <f>IF(ngay17!L6&gt;0,ngay17!L6," ")</f>
        <v/>
      </c>
      <c r="S8" s="10" t="str">
        <f>IF(ngay18!L6&gt;0,ngay18!L6," ")</f>
        <v/>
      </c>
      <c r="T8" s="10" t="str">
        <f>IF(ngay19!L6&gt;0,ngay19!L6," ")</f>
        <v/>
      </c>
      <c r="U8" s="10" t="str">
        <f>IF(ngay20!L6&gt;0,ngay20!L6," ")</f>
        <v/>
      </c>
      <c r="V8" s="10" t="str">
        <f>IF(ngay21!L6&gt;0,ngay21!L6," ")</f>
        <v/>
      </c>
      <c r="W8" s="10" t="str">
        <f>IF(ngay22!L6&gt;0,ngay22!L6," ")</f>
        <v/>
      </c>
      <c r="X8" s="10" t="str">
        <f>IF(ngay23!L6&gt;0,ngay23!L6," ")</f>
        <v/>
      </c>
      <c r="Y8" s="10" t="str">
        <f>IF(ngay24!L6&gt;0,ngay24!L6," ")</f>
        <v/>
      </c>
      <c r="Z8" s="10" t="str">
        <f>IF(ngay25!L6&gt;0,ngay25!L6," ")</f>
        <v/>
      </c>
      <c r="AA8" s="10" t="str">
        <f>IF(ngay26!L6&gt;0,ngay26!L6," ")</f>
        <v/>
      </c>
      <c r="AB8" s="10" t="str">
        <f>IF(ngay27!L6&gt;0,ngay27!L6," ")</f>
        <v/>
      </c>
      <c r="AC8" s="10" t="str">
        <f>IF(ngay28!L6&gt;0,ngay28!L6," ")</f>
        <v/>
      </c>
      <c r="AD8" s="10" t="str">
        <f>IF(ngay29!L6&gt;0,ngay29!L6," ")</f>
        <v/>
      </c>
      <c r="AE8" s="10" t="str">
        <f>IF(ngay30!L6&gt;0,ngay30!L6," ")</f>
        <v/>
      </c>
      <c r="AF8" s="10" t="str">
        <f>IF(ngay31!L6&gt;0,ngay31!L6," ")</f>
        <v/>
      </c>
      <c r="AG8" s="9" t="str">
        <f t="shared" ref="AG8:AG28" si="1">IF(MIN(B8:AF8)&gt;0,MIN(B8:AF8),"")</f>
        <v/>
      </c>
      <c r="AH8" s="9" t="str">
        <f t="shared" ref="AH8:AH28" si="2">IF(COUNT(B8:AF8)&gt;0,AVERAGE(B8:AF8),"")</f>
        <v/>
      </c>
      <c r="AI8" s="9" t="str">
        <f t="shared" si="0"/>
        <v/>
      </c>
    </row>
    <row r="9" spans="1:57" ht="12.75">
      <c r="A9" s="183" t="s">
        <v>131</v>
      </c>
      <c r="B9" s="25" t="str">
        <f>IF(ngay01!L7&gt;0,ngay01!L7," ")</f>
        <v/>
      </c>
      <c r="C9" s="10" t="str">
        <f>IF(ngay02!L7&gt;0,ngay02!L7," ")</f>
        <v/>
      </c>
      <c r="D9" s="10" t="str">
        <f>IF(ngay03!L7&gt;0,ngay03!L7," ")</f>
        <v/>
      </c>
      <c r="E9" s="10" t="str">
        <f>IF(ngay04!L7&gt;0,ngay04!L7," ")</f>
        <v/>
      </c>
      <c r="F9" s="10" t="str">
        <f>IF(ngay05!L7&gt;0,ngay05!L7," ")</f>
        <v/>
      </c>
      <c r="G9" s="10" t="str">
        <f>IF(ngay06!L7&gt;0,ngay06!L7," ")</f>
        <v/>
      </c>
      <c r="H9" s="10" t="str">
        <f>IF(ngay07!L7&gt;0,ngay07!L7," ")</f>
        <v/>
      </c>
      <c r="I9" s="10" t="str">
        <f>IF(ngay08!L7&gt;0,ngay08!L7," ")</f>
        <v/>
      </c>
      <c r="J9" s="10" t="str">
        <f>IF(ngay09!L7&gt;0,ngay09!L7," ")</f>
        <v/>
      </c>
      <c r="K9" s="10" t="str">
        <f>IF(ngay10!L7&gt;0,ngay10!L7," ")</f>
        <v/>
      </c>
      <c r="L9" s="10" t="str">
        <f>IF(ngay11!L7&gt;0,ngay11!L7," ")</f>
        <v/>
      </c>
      <c r="M9" s="10" t="str">
        <f>IF(ngay12!L7&gt;0,ngay12!L7," ")</f>
        <v/>
      </c>
      <c r="N9" s="10" t="str">
        <f>IF(ngay13!L7&gt;0,ngay13!L7," ")</f>
        <v/>
      </c>
      <c r="O9" s="10" t="str">
        <f>IF(ngay14!L7&gt;0,ngay14!L7," ")</f>
        <v/>
      </c>
      <c r="P9" s="10" t="str">
        <f>IF(ngay15!L7&gt;0,ngay15!L7," ")</f>
        <v/>
      </c>
      <c r="Q9" s="10" t="str">
        <f>IF(ngay16!L7&gt;0,ngay16!L7," ")</f>
        <v/>
      </c>
      <c r="R9" s="10" t="str">
        <f>IF(ngay17!L7&gt;0,ngay17!L7," ")</f>
        <v/>
      </c>
      <c r="S9" s="10" t="str">
        <f>IF(ngay18!L7&gt;0,ngay18!L7," ")</f>
        <v/>
      </c>
      <c r="T9" s="10" t="str">
        <f>IF(ngay19!L7&gt;0,ngay19!L7," ")</f>
        <v/>
      </c>
      <c r="U9" s="10" t="str">
        <f>IF(ngay20!L7&gt;0,ngay20!L7," ")</f>
        <v/>
      </c>
      <c r="V9" s="10" t="str">
        <f>IF(ngay21!L7&gt;0,ngay21!L7," ")</f>
        <v/>
      </c>
      <c r="W9" s="10" t="str">
        <f>IF(ngay22!L7&gt;0,ngay22!L7," ")</f>
        <v/>
      </c>
      <c r="X9" s="10" t="str">
        <f>IF(ngay23!L7&gt;0,ngay23!L7," ")</f>
        <v/>
      </c>
      <c r="Y9" s="10" t="str">
        <f>IF(ngay24!L7&gt;0,ngay24!L7," ")</f>
        <v/>
      </c>
      <c r="Z9" s="10" t="str">
        <f>IF(ngay25!L7&gt;0,ngay25!L7," ")</f>
        <v/>
      </c>
      <c r="AA9" s="10" t="str">
        <f>IF(ngay26!L7&gt;0,ngay26!L7," ")</f>
        <v/>
      </c>
      <c r="AB9" s="10" t="str">
        <f>IF(ngay27!L7&gt;0,ngay27!L7," ")</f>
        <v/>
      </c>
      <c r="AC9" s="10" t="str">
        <f>IF(ngay28!L7&gt;0,ngay28!L7," ")</f>
        <v/>
      </c>
      <c r="AD9" s="10" t="str">
        <f>IF(ngay29!L7&gt;0,ngay29!L7," ")</f>
        <v/>
      </c>
      <c r="AE9" s="10" t="str">
        <f>IF(ngay30!L7&gt;0,ngay30!L7," ")</f>
        <v/>
      </c>
      <c r="AF9" s="10" t="str">
        <f>IF(ngay31!L7&gt;0,ngay31!L7," ")</f>
        <v/>
      </c>
      <c r="AG9" s="9" t="str">
        <f t="shared" si="1"/>
        <v/>
      </c>
      <c r="AH9" s="9" t="str">
        <f t="shared" si="2"/>
        <v/>
      </c>
      <c r="AI9" s="9" t="str">
        <f t="shared" si="0"/>
        <v/>
      </c>
    </row>
    <row r="10" spans="1:57" ht="12.75">
      <c r="A10" s="183" t="s">
        <v>132</v>
      </c>
      <c r="B10" s="25" t="str">
        <f>IF(ngay01!L8&gt;0,ngay01!L8," ")</f>
        <v/>
      </c>
      <c r="C10" s="10" t="str">
        <f>IF(ngay02!L8&gt;0,ngay02!L8," ")</f>
        <v/>
      </c>
      <c r="D10" s="10" t="str">
        <f>IF(ngay03!L8&gt;0,ngay03!L8," ")</f>
        <v/>
      </c>
      <c r="E10" s="10" t="str">
        <f>IF(ngay04!L8&gt;0,ngay04!L8," ")</f>
        <v/>
      </c>
      <c r="F10" s="10" t="str">
        <f>IF(ngay05!L8&gt;0,ngay05!L8," ")</f>
        <v/>
      </c>
      <c r="G10" s="10" t="str">
        <f>IF(ngay06!L8&gt;0,ngay06!L8," ")</f>
        <v/>
      </c>
      <c r="H10" s="10" t="str">
        <f>IF(ngay07!L8&gt;0,ngay07!L8," ")</f>
        <v/>
      </c>
      <c r="I10" s="10" t="str">
        <f>IF(ngay08!L8&gt;0,ngay08!L8," ")</f>
        <v/>
      </c>
      <c r="J10" s="10" t="str">
        <f>IF(ngay09!L8&gt;0,ngay09!L8," ")</f>
        <v/>
      </c>
      <c r="K10" s="10" t="str">
        <f>IF(ngay10!L8&gt;0,ngay10!L8," ")</f>
        <v/>
      </c>
      <c r="L10" s="10" t="str">
        <f>IF(ngay11!L8&gt;0,ngay11!L8," ")</f>
        <v/>
      </c>
      <c r="M10" s="10" t="str">
        <f>IF(ngay12!L8&gt;0,ngay12!L8," ")</f>
        <v/>
      </c>
      <c r="N10" s="10" t="str">
        <f>IF(ngay13!L8&gt;0,ngay13!L8," ")</f>
        <v/>
      </c>
      <c r="O10" s="10" t="str">
        <f>IF(ngay14!L8&gt;0,ngay14!L8," ")</f>
        <v/>
      </c>
      <c r="P10" s="10" t="str">
        <f>IF(ngay15!L8&gt;0,ngay15!L8," ")</f>
        <v/>
      </c>
      <c r="Q10" s="10" t="str">
        <f>IF(ngay16!L8&gt;0,ngay16!L8," ")</f>
        <v/>
      </c>
      <c r="R10" s="10" t="str">
        <f>IF(ngay17!L8&gt;0,ngay17!L8," ")</f>
        <v/>
      </c>
      <c r="S10" s="10" t="str">
        <f>IF(ngay18!L8&gt;0,ngay18!L8," ")</f>
        <v/>
      </c>
      <c r="T10" s="10" t="str">
        <f>IF(ngay19!L8&gt;0,ngay19!L8," ")</f>
        <v/>
      </c>
      <c r="U10" s="10" t="str">
        <f>IF(ngay20!L8&gt;0,ngay20!L8," ")</f>
        <v/>
      </c>
      <c r="V10" s="10" t="str">
        <f>IF(ngay21!L8&gt;0,ngay21!L8," ")</f>
        <v/>
      </c>
      <c r="W10" s="10" t="str">
        <f>IF(ngay22!L8&gt;0,ngay22!L8," ")</f>
        <v/>
      </c>
      <c r="X10" s="10" t="str">
        <f>IF(ngay23!L8&gt;0,ngay23!L8," ")</f>
        <v/>
      </c>
      <c r="Y10" s="10" t="str">
        <f>IF(ngay24!L8&gt;0,ngay24!L8," ")</f>
        <v/>
      </c>
      <c r="Z10" s="10" t="str">
        <f>IF(ngay25!L8&gt;0,ngay25!L8," ")</f>
        <v/>
      </c>
      <c r="AA10" s="10" t="str">
        <f>IF(ngay26!L8&gt;0,ngay26!L8," ")</f>
        <v/>
      </c>
      <c r="AB10" s="10" t="str">
        <f>IF(ngay27!L8&gt;0,ngay27!L8," ")</f>
        <v/>
      </c>
      <c r="AC10" s="10" t="str">
        <f>IF(ngay28!L8&gt;0,ngay28!L8," ")</f>
        <v/>
      </c>
      <c r="AD10" s="10" t="str">
        <f>IF(ngay29!L8&gt;0,ngay29!L8," ")</f>
        <v/>
      </c>
      <c r="AE10" s="10" t="str">
        <f>IF(ngay30!L8&gt;0,ngay30!L8," ")</f>
        <v/>
      </c>
      <c r="AF10" s="10" t="str">
        <f>IF(ngay31!L8&gt;0,ngay31!L8," ")</f>
        <v/>
      </c>
      <c r="AG10" s="9" t="str">
        <f t="shared" si="1"/>
        <v/>
      </c>
      <c r="AH10" s="9" t="str">
        <f t="shared" si="2"/>
        <v/>
      </c>
      <c r="AI10" s="9" t="str">
        <f t="shared" si="0"/>
        <v/>
      </c>
    </row>
    <row r="11" spans="1:57" ht="12.75">
      <c r="A11" s="183" t="s">
        <v>133</v>
      </c>
      <c r="B11" s="25" t="str">
        <f>IF(ngay01!L9&gt;0,ngay01!L9," ")</f>
        <v/>
      </c>
      <c r="C11" s="10" t="str">
        <f>IF(ngay02!L9&gt;0,ngay02!L9," ")</f>
        <v/>
      </c>
      <c r="D11" s="10" t="str">
        <f>IF(ngay03!L9&gt;0,ngay03!L9," ")</f>
        <v/>
      </c>
      <c r="E11" s="10" t="str">
        <f>IF(ngay04!L9&gt;0,ngay04!L9," ")</f>
        <v/>
      </c>
      <c r="F11" s="10" t="str">
        <f>IF(ngay05!L9&gt;0,ngay05!L9," ")</f>
        <v/>
      </c>
      <c r="G11" s="10" t="str">
        <f>IF(ngay06!L9&gt;0,ngay06!L9," ")</f>
        <v/>
      </c>
      <c r="H11" s="10" t="str">
        <f>IF(ngay07!L9&gt;0,ngay07!L9," ")</f>
        <v/>
      </c>
      <c r="I11" s="10" t="str">
        <f>IF(ngay08!L9&gt;0,ngay08!L9," ")</f>
        <v/>
      </c>
      <c r="J11" s="10" t="str">
        <f>IF(ngay09!L9&gt;0,ngay09!L9," ")</f>
        <v/>
      </c>
      <c r="K11" s="10" t="str">
        <f>IF(ngay10!L9&gt;0,ngay10!L9," ")</f>
        <v/>
      </c>
      <c r="L11" s="10" t="str">
        <f>IF(ngay11!L9&gt;0,ngay11!L9," ")</f>
        <v/>
      </c>
      <c r="M11" s="10" t="str">
        <f>IF(ngay12!L9&gt;0,ngay12!L9," ")</f>
        <v/>
      </c>
      <c r="N11" s="10" t="str">
        <f>IF(ngay13!L9&gt;0,ngay13!L9," ")</f>
        <v/>
      </c>
      <c r="O11" s="10" t="str">
        <f>IF(ngay14!L9&gt;0,ngay14!L9," ")</f>
        <v/>
      </c>
      <c r="P11" s="10" t="str">
        <f>IF(ngay15!L9&gt;0,ngay15!L9," ")</f>
        <v/>
      </c>
      <c r="Q11" s="10" t="str">
        <f>IF(ngay16!L9&gt;0,ngay16!L9," ")</f>
        <v/>
      </c>
      <c r="R11" s="10" t="str">
        <f>IF(ngay17!L9&gt;0,ngay17!L9," ")</f>
        <v/>
      </c>
      <c r="S11" s="10" t="str">
        <f>IF(ngay18!L9&gt;0,ngay18!L9," ")</f>
        <v/>
      </c>
      <c r="T11" s="10" t="str">
        <f>IF(ngay19!L9&gt;0,ngay19!L9," ")</f>
        <v/>
      </c>
      <c r="U11" s="10" t="str">
        <f>IF(ngay20!L9&gt;0,ngay20!L9," ")</f>
        <v/>
      </c>
      <c r="V11" s="10" t="str">
        <f>IF(ngay21!L9&gt;0,ngay21!L9," ")</f>
        <v/>
      </c>
      <c r="W11" s="10" t="str">
        <f>IF(ngay22!L9&gt;0,ngay22!L9," ")</f>
        <v/>
      </c>
      <c r="X11" s="10" t="str">
        <f>IF(ngay23!L9&gt;0,ngay23!L9," ")</f>
        <v/>
      </c>
      <c r="Y11" s="10" t="str">
        <f>IF(ngay24!L9&gt;0,ngay24!L9," ")</f>
        <v/>
      </c>
      <c r="Z11" s="10" t="str">
        <f>IF(ngay25!L9&gt;0,ngay25!L9," ")</f>
        <v/>
      </c>
      <c r="AA11" s="10" t="str">
        <f>IF(ngay26!L9&gt;0,ngay26!L9," ")</f>
        <v/>
      </c>
      <c r="AB11" s="10" t="str">
        <f>IF(ngay27!L9&gt;0,ngay27!L9," ")</f>
        <v/>
      </c>
      <c r="AC11" s="10" t="str">
        <f>IF(ngay28!L9&gt;0,ngay28!L9," ")</f>
        <v/>
      </c>
      <c r="AD11" s="10" t="str">
        <f>IF(ngay29!L9&gt;0,ngay29!L9," ")</f>
        <v/>
      </c>
      <c r="AE11" s="10" t="str">
        <f>IF(ngay30!L9&gt;0,ngay30!L9," ")</f>
        <v/>
      </c>
      <c r="AF11" s="10" t="str">
        <f>IF(ngay31!L9&gt;0,ngay31!L9," ")</f>
        <v/>
      </c>
      <c r="AG11" s="9" t="str">
        <f t="shared" si="1"/>
        <v/>
      </c>
      <c r="AH11" s="9" t="str">
        <f t="shared" si="2"/>
        <v/>
      </c>
      <c r="AI11" s="9" t="str">
        <f t="shared" si="0"/>
        <v/>
      </c>
    </row>
    <row r="12" spans="1:57" ht="12.75">
      <c r="A12" s="183" t="s">
        <v>134</v>
      </c>
      <c r="B12" s="25" t="str">
        <f>IF(ngay01!L10&gt;0,ngay01!L10," ")</f>
        <v/>
      </c>
      <c r="C12" s="10" t="str">
        <f>IF(ngay02!L10&gt;0,ngay02!L10," ")</f>
        <v/>
      </c>
      <c r="D12" s="10" t="str">
        <f>IF(ngay03!L10&gt;0,ngay03!L10," ")</f>
        <v/>
      </c>
      <c r="E12" s="10" t="str">
        <f>IF(ngay04!L10&gt;0,ngay04!L10," ")</f>
        <v/>
      </c>
      <c r="F12" s="10" t="str">
        <f>IF(ngay05!L10&gt;0,ngay05!L10," ")</f>
        <v/>
      </c>
      <c r="G12" s="10" t="str">
        <f>IF(ngay06!L10&gt;0,ngay06!L10," ")</f>
        <v/>
      </c>
      <c r="H12" s="10" t="str">
        <f>IF(ngay07!L10&gt;0,ngay07!L10," ")</f>
        <v/>
      </c>
      <c r="I12" s="10" t="str">
        <f>IF(ngay08!L10&gt;0,ngay08!L10," ")</f>
        <v/>
      </c>
      <c r="J12" s="10" t="str">
        <f>IF(ngay09!L10&gt;0,ngay09!L10," ")</f>
        <v/>
      </c>
      <c r="K12" s="10" t="str">
        <f>IF(ngay10!L10&gt;0,ngay10!L10," ")</f>
        <v/>
      </c>
      <c r="L12" s="10" t="str">
        <f>IF(ngay11!L10&gt;0,ngay11!L10," ")</f>
        <v/>
      </c>
      <c r="M12" s="10" t="str">
        <f>IF(ngay12!L10&gt;0,ngay12!L10," ")</f>
        <v/>
      </c>
      <c r="N12" s="10" t="str">
        <f>IF(ngay13!L10&gt;0,ngay13!L10," ")</f>
        <v/>
      </c>
      <c r="O12" s="10" t="str">
        <f>IF(ngay14!L10&gt;0,ngay14!L10," ")</f>
        <v/>
      </c>
      <c r="P12" s="10" t="str">
        <f>IF(ngay15!L10&gt;0,ngay15!L10," ")</f>
        <v/>
      </c>
      <c r="Q12" s="10" t="str">
        <f>IF(ngay16!L10&gt;0,ngay16!L10," ")</f>
        <v/>
      </c>
      <c r="R12" s="10" t="str">
        <f>IF(ngay17!L10&gt;0,ngay17!L10," ")</f>
        <v/>
      </c>
      <c r="S12" s="10" t="str">
        <f>IF(ngay18!L10&gt;0,ngay18!L10," ")</f>
        <v/>
      </c>
      <c r="T12" s="10" t="str">
        <f>IF(ngay19!L10&gt;0,ngay19!L10," ")</f>
        <v/>
      </c>
      <c r="U12" s="10" t="str">
        <f>IF(ngay20!L10&gt;0,ngay20!L10," ")</f>
        <v/>
      </c>
      <c r="V12" s="10" t="str">
        <f>IF(ngay21!L10&gt;0,ngay21!L10," ")</f>
        <v/>
      </c>
      <c r="W12" s="10" t="str">
        <f>IF(ngay22!L10&gt;0,ngay22!L10," ")</f>
        <v/>
      </c>
      <c r="X12" s="10" t="str">
        <f>IF(ngay23!L10&gt;0,ngay23!L10," ")</f>
        <v/>
      </c>
      <c r="Y12" s="10" t="str">
        <f>IF(ngay24!L10&gt;0,ngay24!L10," ")</f>
        <v/>
      </c>
      <c r="Z12" s="10" t="str">
        <f>IF(ngay25!L10&gt;0,ngay25!L10," ")</f>
        <v/>
      </c>
      <c r="AA12" s="10" t="str">
        <f>IF(ngay26!L10&gt;0,ngay26!L10," ")</f>
        <v/>
      </c>
      <c r="AB12" s="10" t="str">
        <f>IF(ngay27!L10&gt;0,ngay27!L10," ")</f>
        <v/>
      </c>
      <c r="AC12" s="10" t="str">
        <f>IF(ngay28!L10&gt;0,ngay28!L10," ")</f>
        <v/>
      </c>
      <c r="AD12" s="10" t="str">
        <f>IF(ngay29!L10&gt;0,ngay29!L10," ")</f>
        <v/>
      </c>
      <c r="AE12" s="10" t="str">
        <f>IF(ngay30!L10&gt;0,ngay30!L10," ")</f>
        <v/>
      </c>
      <c r="AF12" s="10" t="str">
        <f>IF(ngay31!L10&gt;0,ngay31!L10," ")</f>
        <v/>
      </c>
      <c r="AG12" s="9" t="str">
        <f t="shared" si="1"/>
        <v/>
      </c>
      <c r="AH12" s="9" t="str">
        <f t="shared" si="2"/>
        <v/>
      </c>
      <c r="AI12" s="9" t="str">
        <f t="shared" si="0"/>
        <v/>
      </c>
    </row>
    <row r="13" spans="1:57" ht="12.75">
      <c r="A13" s="183" t="s">
        <v>192</v>
      </c>
      <c r="B13" s="25" t="str">
        <f>IF(ngay01!L11&gt;0,ngay01!L11," ")</f>
        <v/>
      </c>
      <c r="C13" s="10" t="str">
        <f>IF(ngay02!L11&gt;0,ngay02!L11," ")</f>
        <v/>
      </c>
      <c r="D13" s="10" t="str">
        <f>IF(ngay03!L11&gt;0,ngay03!L11," ")</f>
        <v/>
      </c>
      <c r="E13" s="10" t="str">
        <f>IF(ngay04!L11&gt;0,ngay04!L11," ")</f>
        <v/>
      </c>
      <c r="F13" s="10" t="str">
        <f>IF(ngay05!L11&gt;0,ngay05!L11," ")</f>
        <v/>
      </c>
      <c r="G13" s="10" t="str">
        <f>IF(ngay06!L11&gt;0,ngay06!L11," ")</f>
        <v/>
      </c>
      <c r="H13" s="10" t="str">
        <f>IF(ngay07!L11&gt;0,ngay07!L11," ")</f>
        <v/>
      </c>
      <c r="I13" s="10" t="str">
        <f>IF(ngay08!L11&gt;0,ngay08!L11," ")</f>
        <v/>
      </c>
      <c r="J13" s="10" t="str">
        <f>IF(ngay09!L11&gt;0,ngay09!L11," ")</f>
        <v/>
      </c>
      <c r="K13" s="10" t="str">
        <f>IF(ngay10!L11&gt;0,ngay10!L11," ")</f>
        <v/>
      </c>
      <c r="L13" s="10" t="str">
        <f>IF(ngay11!L11&gt;0,ngay11!L11," ")</f>
        <v/>
      </c>
      <c r="M13" s="10" t="str">
        <f>IF(ngay12!L11&gt;0,ngay12!L11," ")</f>
        <v/>
      </c>
      <c r="N13" s="10" t="str">
        <f>IF(ngay13!L11&gt;0,ngay13!L11," ")</f>
        <v/>
      </c>
      <c r="O13" s="10" t="str">
        <f>IF(ngay14!L11&gt;0,ngay14!L11," ")</f>
        <v/>
      </c>
      <c r="P13" s="10" t="str">
        <f>IF(ngay15!L11&gt;0,ngay15!L11," ")</f>
        <v/>
      </c>
      <c r="Q13" s="10" t="str">
        <f>IF(ngay16!L11&gt;0,ngay16!L11," ")</f>
        <v/>
      </c>
      <c r="R13" s="10" t="str">
        <f>IF(ngay17!L11&gt;0,ngay17!L11," ")</f>
        <v/>
      </c>
      <c r="S13" s="10" t="str">
        <f>IF(ngay18!L11&gt;0,ngay18!L11," ")</f>
        <v/>
      </c>
      <c r="T13" s="10" t="str">
        <f>IF(ngay19!L11&gt;0,ngay19!L11," ")</f>
        <v/>
      </c>
      <c r="U13" s="10" t="str">
        <f>IF(ngay20!L11&gt;0,ngay20!L11," ")</f>
        <v/>
      </c>
      <c r="V13" s="10" t="str">
        <f>IF(ngay21!L11&gt;0,ngay21!L11," ")</f>
        <v/>
      </c>
      <c r="W13" s="10" t="str">
        <f>IF(ngay22!L11&gt;0,ngay22!L11," ")</f>
        <v/>
      </c>
      <c r="X13" s="10" t="str">
        <f>IF(ngay23!L11&gt;0,ngay23!L11," ")</f>
        <v/>
      </c>
      <c r="Y13" s="10" t="str">
        <f>IF(ngay24!L11&gt;0,ngay24!L11," ")</f>
        <v/>
      </c>
      <c r="Z13" s="10" t="str">
        <f>IF(ngay25!L11&gt;0,ngay25!L11," ")</f>
        <v/>
      </c>
      <c r="AA13" s="10" t="str">
        <f>IF(ngay26!L11&gt;0,ngay26!L11," ")</f>
        <v/>
      </c>
      <c r="AB13" s="10" t="str">
        <f>IF(ngay27!L11&gt;0,ngay27!L11," ")</f>
        <v/>
      </c>
      <c r="AC13" s="10" t="str">
        <f>IF(ngay28!L11&gt;0,ngay28!L11," ")</f>
        <v/>
      </c>
      <c r="AD13" s="10" t="str">
        <f>IF(ngay29!L11&gt;0,ngay29!L11," ")</f>
        <v/>
      </c>
      <c r="AE13" s="10" t="str">
        <f>IF(ngay30!L11&gt;0,ngay30!L11," ")</f>
        <v/>
      </c>
      <c r="AF13" s="10" t="str">
        <f>IF(ngay31!L11&gt;0,ngay31!L11," ")</f>
        <v/>
      </c>
      <c r="AG13" s="9" t="str">
        <f t="shared" si="1"/>
        <v/>
      </c>
      <c r="AH13" s="9" t="str">
        <f t="shared" si="2"/>
        <v/>
      </c>
      <c r="AI13" s="9" t="str">
        <f t="shared" si="0"/>
        <v/>
      </c>
    </row>
    <row r="14" spans="1:57" ht="12.75">
      <c r="A14" s="183" t="s">
        <v>135</v>
      </c>
      <c r="B14" s="25" t="str">
        <f>IF(ngay01!L12&gt;0,ngay01!L12," ")</f>
        <v/>
      </c>
      <c r="C14" s="10" t="str">
        <f>IF(ngay02!L12&gt;0,ngay02!L12," ")</f>
        <v/>
      </c>
      <c r="D14" s="10" t="str">
        <f>IF(ngay03!L12&gt;0,ngay03!L12," ")</f>
        <v/>
      </c>
      <c r="E14" s="10" t="str">
        <f>IF(ngay04!L12&gt;0,ngay04!L12," ")</f>
        <v/>
      </c>
      <c r="F14" s="10" t="str">
        <f>IF(ngay05!L12&gt;0,ngay05!L12," ")</f>
        <v/>
      </c>
      <c r="G14" s="10" t="str">
        <f>IF(ngay06!L12&gt;0,ngay06!L12," ")</f>
        <v/>
      </c>
      <c r="H14" s="10" t="str">
        <f>IF(ngay07!L12&gt;0,ngay07!L12," ")</f>
        <v/>
      </c>
      <c r="I14" s="10" t="str">
        <f>IF(ngay08!L12&gt;0,ngay08!L12," ")</f>
        <v/>
      </c>
      <c r="J14" s="10" t="str">
        <f>IF(ngay09!L12&gt;0,ngay09!L12," ")</f>
        <v/>
      </c>
      <c r="K14" s="10" t="str">
        <f>IF(ngay10!L12&gt;0,ngay10!L12," ")</f>
        <v/>
      </c>
      <c r="L14" s="10" t="str">
        <f>IF(ngay11!L12&gt;0,ngay11!L12," ")</f>
        <v/>
      </c>
      <c r="M14" s="10" t="str">
        <f>IF(ngay12!L12&gt;0,ngay12!L12," ")</f>
        <v/>
      </c>
      <c r="N14" s="10" t="str">
        <f>IF(ngay13!L12&gt;0,ngay13!L12," ")</f>
        <v/>
      </c>
      <c r="O14" s="10" t="str">
        <f>IF(ngay14!L12&gt;0,ngay14!L12," ")</f>
        <v/>
      </c>
      <c r="P14" s="10" t="str">
        <f>IF(ngay15!L12&gt;0,ngay15!L12," ")</f>
        <v/>
      </c>
      <c r="Q14" s="10" t="str">
        <f>IF(ngay16!L12&gt;0,ngay16!L12," ")</f>
        <v/>
      </c>
      <c r="R14" s="10" t="str">
        <f>IF(ngay17!L12&gt;0,ngay17!L12," ")</f>
        <v/>
      </c>
      <c r="S14" s="10" t="str">
        <f>IF(ngay18!L12&gt;0,ngay18!L12," ")</f>
        <v/>
      </c>
      <c r="T14" s="10" t="str">
        <f>IF(ngay19!L12&gt;0,ngay19!L12," ")</f>
        <v/>
      </c>
      <c r="U14" s="10" t="str">
        <f>IF(ngay20!L12&gt;0,ngay20!L12," ")</f>
        <v/>
      </c>
      <c r="V14" s="10" t="str">
        <f>IF(ngay21!L12&gt;0,ngay21!L12," ")</f>
        <v/>
      </c>
      <c r="W14" s="10" t="str">
        <f>IF(ngay22!L12&gt;0,ngay22!L12," ")</f>
        <v/>
      </c>
      <c r="X14" s="10" t="str">
        <f>IF(ngay23!L12&gt;0,ngay23!L12," ")</f>
        <v/>
      </c>
      <c r="Y14" s="10" t="str">
        <f>IF(ngay24!L12&gt;0,ngay24!L12," ")</f>
        <v/>
      </c>
      <c r="Z14" s="10" t="str">
        <f>IF(ngay25!L12&gt;0,ngay25!L12," ")</f>
        <v/>
      </c>
      <c r="AA14" s="10" t="str">
        <f>IF(ngay26!L12&gt;0,ngay26!L12," ")</f>
        <v/>
      </c>
      <c r="AB14" s="10" t="str">
        <f>IF(ngay27!L12&gt;0,ngay27!L12," ")</f>
        <v/>
      </c>
      <c r="AC14" s="10" t="str">
        <f>IF(ngay28!L12&gt;0,ngay28!L12," ")</f>
        <v/>
      </c>
      <c r="AD14" s="10" t="str">
        <f>IF(ngay29!L12&gt;0,ngay29!L12," ")</f>
        <v/>
      </c>
      <c r="AE14" s="10" t="str">
        <f>IF(ngay30!L12&gt;0,ngay30!L12," ")</f>
        <v/>
      </c>
      <c r="AF14" s="10" t="str">
        <f>IF(ngay31!L12&gt;0,ngay31!L12," ")</f>
        <v/>
      </c>
      <c r="AG14" s="9" t="str">
        <f t="shared" si="1"/>
        <v/>
      </c>
      <c r="AH14" s="9" t="str">
        <f t="shared" si="2"/>
        <v/>
      </c>
      <c r="AI14" s="9" t="str">
        <f t="shared" si="0"/>
        <v/>
      </c>
    </row>
    <row r="15" spans="1:57" ht="12.75">
      <c r="A15" s="183" t="s">
        <v>136</v>
      </c>
      <c r="B15" s="25" t="str">
        <f>IF(ngay01!L13&gt;0,ngay01!L13," ")</f>
        <v/>
      </c>
      <c r="C15" s="10" t="str">
        <f>IF(ngay02!L13&gt;0,ngay02!L13," ")</f>
        <v/>
      </c>
      <c r="D15" s="10" t="str">
        <f>IF(ngay03!L13&gt;0,ngay03!L13," ")</f>
        <v/>
      </c>
      <c r="E15" s="10" t="str">
        <f>IF(ngay04!L13&gt;0,ngay04!L13," ")</f>
        <v/>
      </c>
      <c r="F15" s="10" t="str">
        <f>IF(ngay05!L13&gt;0,ngay05!L13," ")</f>
        <v/>
      </c>
      <c r="G15" s="10" t="str">
        <f>IF(ngay06!L13&gt;0,ngay06!L13," ")</f>
        <v/>
      </c>
      <c r="H15" s="10" t="str">
        <f>IF(ngay07!L13&gt;0,ngay07!L13," ")</f>
        <v/>
      </c>
      <c r="I15" s="10" t="str">
        <f>IF(ngay08!L13&gt;0,ngay08!L13," ")</f>
        <v/>
      </c>
      <c r="J15" s="10" t="str">
        <f>IF(ngay09!L13&gt;0,ngay09!L13," ")</f>
        <v/>
      </c>
      <c r="K15" s="10" t="str">
        <f>IF(ngay10!L13&gt;0,ngay10!L13," ")</f>
        <v/>
      </c>
      <c r="L15" s="10" t="str">
        <f>IF(ngay11!L13&gt;0,ngay11!L13," ")</f>
        <v/>
      </c>
      <c r="M15" s="10" t="str">
        <f>IF(ngay12!L13&gt;0,ngay12!L13," ")</f>
        <v/>
      </c>
      <c r="N15" s="10" t="str">
        <f>IF(ngay13!L13&gt;0,ngay13!L13," ")</f>
        <v/>
      </c>
      <c r="O15" s="10" t="str">
        <f>IF(ngay14!L13&gt;0,ngay14!L13," ")</f>
        <v/>
      </c>
      <c r="P15" s="10" t="str">
        <f>IF(ngay15!L13&gt;0,ngay15!L13," ")</f>
        <v/>
      </c>
      <c r="Q15" s="10" t="str">
        <f>IF(ngay16!L13&gt;0,ngay16!L13," ")</f>
        <v/>
      </c>
      <c r="R15" s="10" t="str">
        <f>IF(ngay17!L13&gt;0,ngay17!L13," ")</f>
        <v/>
      </c>
      <c r="S15" s="10" t="str">
        <f>IF(ngay18!L13&gt;0,ngay18!L13," ")</f>
        <v/>
      </c>
      <c r="T15" s="10" t="str">
        <f>IF(ngay19!L13&gt;0,ngay19!L13," ")</f>
        <v/>
      </c>
      <c r="U15" s="10" t="str">
        <f>IF(ngay20!L13&gt;0,ngay20!L13," ")</f>
        <v/>
      </c>
      <c r="V15" s="10" t="str">
        <f>IF(ngay21!L13&gt;0,ngay21!L13," ")</f>
        <v/>
      </c>
      <c r="W15" s="10" t="str">
        <f>IF(ngay22!L13&gt;0,ngay22!L13," ")</f>
        <v/>
      </c>
      <c r="X15" s="10" t="str">
        <f>IF(ngay23!L13&gt;0,ngay23!L13," ")</f>
        <v/>
      </c>
      <c r="Y15" s="10" t="str">
        <f>IF(ngay24!L13&gt;0,ngay24!L13," ")</f>
        <v/>
      </c>
      <c r="Z15" s="10" t="str">
        <f>IF(ngay25!L13&gt;0,ngay25!L13," ")</f>
        <v/>
      </c>
      <c r="AA15" s="10" t="str">
        <f>IF(ngay26!L13&gt;0,ngay26!L13," ")</f>
        <v/>
      </c>
      <c r="AB15" s="10" t="str">
        <f>IF(ngay27!L13&gt;0,ngay27!L13," ")</f>
        <v/>
      </c>
      <c r="AC15" s="10" t="str">
        <f>IF(ngay28!L13&gt;0,ngay28!L13," ")</f>
        <v/>
      </c>
      <c r="AD15" s="10" t="str">
        <f>IF(ngay29!L13&gt;0,ngay29!L13," ")</f>
        <v/>
      </c>
      <c r="AE15" s="10" t="str">
        <f>IF(ngay30!L13&gt;0,ngay30!L13," ")</f>
        <v/>
      </c>
      <c r="AF15" s="10" t="str">
        <f>IF(ngay31!L13&gt;0,ngay31!L13," ")</f>
        <v/>
      </c>
      <c r="AG15" s="9" t="str">
        <f t="shared" si="1"/>
        <v/>
      </c>
      <c r="AH15" s="9" t="str">
        <f t="shared" si="2"/>
        <v/>
      </c>
      <c r="AI15" s="9" t="str">
        <f t="shared" si="0"/>
        <v/>
      </c>
    </row>
    <row r="16" spans="1:57" ht="12.75">
      <c r="A16" s="184" t="s">
        <v>137</v>
      </c>
      <c r="B16" s="25" t="str">
        <f>IF(ngay01!L14&gt;0,ngay01!L14," ")</f>
        <v/>
      </c>
      <c r="C16" s="10" t="str">
        <f>IF(ngay02!L14&gt;0,ngay02!L14," ")</f>
        <v/>
      </c>
      <c r="D16" s="10" t="str">
        <f>IF(ngay03!L14&gt;0,ngay03!L14," ")</f>
        <v/>
      </c>
      <c r="E16" s="10" t="str">
        <f>IF(ngay04!L14&gt;0,ngay04!L14," ")</f>
        <v/>
      </c>
      <c r="F16" s="10" t="str">
        <f>IF(ngay05!L14&gt;0,ngay05!L14," ")</f>
        <v/>
      </c>
      <c r="G16" s="10" t="str">
        <f>IF(ngay06!L14&gt;0,ngay06!L14," ")</f>
        <v/>
      </c>
      <c r="H16" s="10" t="str">
        <f>IF(ngay07!L14&gt;0,ngay07!L14," ")</f>
        <v/>
      </c>
      <c r="I16" s="10" t="str">
        <f>IF(ngay08!L14&gt;0,ngay08!L14," ")</f>
        <v/>
      </c>
      <c r="J16" s="10" t="str">
        <f>IF(ngay09!L14&gt;0,ngay09!L14," ")</f>
        <v/>
      </c>
      <c r="K16" s="10" t="str">
        <f>IF(ngay10!L14&gt;0,ngay10!L14," ")</f>
        <v/>
      </c>
      <c r="L16" s="10" t="str">
        <f>IF(ngay11!L14&gt;0,ngay11!L14," ")</f>
        <v/>
      </c>
      <c r="M16" s="10" t="str">
        <f>IF(ngay12!L14&gt;0,ngay12!L14," ")</f>
        <v/>
      </c>
      <c r="N16" s="10" t="str">
        <f>IF(ngay13!L14&gt;0,ngay13!L14," ")</f>
        <v/>
      </c>
      <c r="O16" s="10" t="str">
        <f>IF(ngay14!L14&gt;0,ngay14!L14," ")</f>
        <v/>
      </c>
      <c r="P16" s="10" t="str">
        <f>IF(ngay15!L14&gt;0,ngay15!L14," ")</f>
        <v/>
      </c>
      <c r="Q16" s="10" t="str">
        <f>IF(ngay16!L14&gt;0,ngay16!L14," ")</f>
        <v/>
      </c>
      <c r="R16" s="10" t="str">
        <f>IF(ngay17!L14&gt;0,ngay17!L14," ")</f>
        <v/>
      </c>
      <c r="S16" s="10" t="str">
        <f>IF(ngay18!L14&gt;0,ngay18!L14," ")</f>
        <v/>
      </c>
      <c r="T16" s="10" t="str">
        <f>IF(ngay19!L14&gt;0,ngay19!L14," ")</f>
        <v/>
      </c>
      <c r="U16" s="10" t="str">
        <f>IF(ngay20!L14&gt;0,ngay20!L14," ")</f>
        <v/>
      </c>
      <c r="V16" s="10" t="str">
        <f>IF(ngay21!L14&gt;0,ngay21!L14," ")</f>
        <v/>
      </c>
      <c r="W16" s="10" t="str">
        <f>IF(ngay22!L14&gt;0,ngay22!L14," ")</f>
        <v/>
      </c>
      <c r="X16" s="10" t="str">
        <f>IF(ngay23!L14&gt;0,ngay23!L14," ")</f>
        <v/>
      </c>
      <c r="Y16" s="10" t="str">
        <f>IF(ngay24!L14&gt;0,ngay24!L14," ")</f>
        <v/>
      </c>
      <c r="Z16" s="10" t="str">
        <f>IF(ngay25!L14&gt;0,ngay25!L14," ")</f>
        <v/>
      </c>
      <c r="AA16" s="10" t="str">
        <f>IF(ngay26!L14&gt;0,ngay26!L14," ")</f>
        <v/>
      </c>
      <c r="AB16" s="10" t="str">
        <f>IF(ngay27!L14&gt;0,ngay27!L14," ")</f>
        <v/>
      </c>
      <c r="AC16" s="10" t="str">
        <f>IF(ngay28!L14&gt;0,ngay28!L14," ")</f>
        <v/>
      </c>
      <c r="AD16" s="10" t="str">
        <f>IF(ngay29!L14&gt;0,ngay29!L14," ")</f>
        <v/>
      </c>
      <c r="AE16" s="10" t="str">
        <f>IF(ngay30!L14&gt;0,ngay30!L14," ")</f>
        <v/>
      </c>
      <c r="AF16" s="10" t="str">
        <f>IF(ngay31!L14&gt;0,ngay31!L14," ")</f>
        <v/>
      </c>
      <c r="AG16" s="9" t="str">
        <f t="shared" si="1"/>
        <v/>
      </c>
      <c r="AH16" s="9" t="str">
        <f t="shared" si="2"/>
        <v/>
      </c>
      <c r="AI16" s="9" t="str">
        <f t="shared" si="0"/>
        <v/>
      </c>
    </row>
    <row r="17" spans="1:35" ht="12.75">
      <c r="A17" s="183" t="s">
        <v>138</v>
      </c>
      <c r="B17" s="25" t="str">
        <f>IF(ngay01!L15&gt;0,ngay01!L15," ")</f>
        <v/>
      </c>
      <c r="C17" s="10" t="str">
        <f>IF(ngay02!L15&gt;0,ngay02!L15," ")</f>
        <v/>
      </c>
      <c r="D17" s="10" t="str">
        <f>IF(ngay03!L15&gt;0,ngay03!L15," ")</f>
        <v/>
      </c>
      <c r="E17" s="10" t="str">
        <f>IF(ngay04!L15&gt;0,ngay04!L15," ")</f>
        <v/>
      </c>
      <c r="F17" s="10" t="str">
        <f>IF(ngay05!L15&gt;0,ngay05!L15," ")</f>
        <v/>
      </c>
      <c r="G17" s="10" t="str">
        <f>IF(ngay06!L15&gt;0,ngay06!L15," ")</f>
        <v/>
      </c>
      <c r="H17" s="10" t="str">
        <f>IF(ngay07!L15&gt;0,ngay07!L15," ")</f>
        <v/>
      </c>
      <c r="I17" s="10" t="str">
        <f>IF(ngay08!L15&gt;0,ngay08!L15," ")</f>
        <v/>
      </c>
      <c r="J17" s="10" t="str">
        <f>IF(ngay09!L15&gt;0,ngay09!L15," ")</f>
        <v/>
      </c>
      <c r="K17" s="10" t="str">
        <f>IF(ngay10!L15&gt;0,ngay10!L15," ")</f>
        <v/>
      </c>
      <c r="L17" s="10" t="str">
        <f>IF(ngay11!L15&gt;0,ngay11!L15," ")</f>
        <v/>
      </c>
      <c r="M17" s="10" t="str">
        <f>IF(ngay12!L15&gt;0,ngay12!L15," ")</f>
        <v/>
      </c>
      <c r="N17" s="10" t="str">
        <f>IF(ngay13!L15&gt;0,ngay13!L15," ")</f>
        <v/>
      </c>
      <c r="O17" s="10" t="str">
        <f>IF(ngay14!L15&gt;0,ngay14!L15," ")</f>
        <v/>
      </c>
      <c r="P17" s="10" t="str">
        <f>IF(ngay15!L15&gt;0,ngay15!L15," ")</f>
        <v/>
      </c>
      <c r="Q17" s="10" t="str">
        <f>IF(ngay16!L15&gt;0,ngay16!L15," ")</f>
        <v/>
      </c>
      <c r="R17" s="10" t="str">
        <f>IF(ngay17!L15&gt;0,ngay17!L15," ")</f>
        <v/>
      </c>
      <c r="S17" s="10" t="str">
        <f>IF(ngay18!L15&gt;0,ngay18!L15," ")</f>
        <v/>
      </c>
      <c r="T17" s="10" t="str">
        <f>IF(ngay19!L15&gt;0,ngay19!L15," ")</f>
        <v/>
      </c>
      <c r="U17" s="10" t="str">
        <f>IF(ngay20!L15&gt;0,ngay20!L15," ")</f>
        <v/>
      </c>
      <c r="V17" s="10" t="str">
        <f>IF(ngay21!L15&gt;0,ngay21!L15," ")</f>
        <v/>
      </c>
      <c r="W17" s="10" t="str">
        <f>IF(ngay22!L15&gt;0,ngay22!L15," ")</f>
        <v/>
      </c>
      <c r="X17" s="10" t="str">
        <f>IF(ngay23!L15&gt;0,ngay23!L15," ")</f>
        <v/>
      </c>
      <c r="Y17" s="10" t="str">
        <f>IF(ngay24!L15&gt;0,ngay24!L15," ")</f>
        <v/>
      </c>
      <c r="Z17" s="10" t="str">
        <f>IF(ngay25!L15&gt;0,ngay25!L15," ")</f>
        <v/>
      </c>
      <c r="AA17" s="10" t="str">
        <f>IF(ngay26!L15&gt;0,ngay26!L15," ")</f>
        <v/>
      </c>
      <c r="AB17" s="10" t="str">
        <f>IF(ngay27!L15&gt;0,ngay27!L15," ")</f>
        <v/>
      </c>
      <c r="AC17" s="10" t="str">
        <f>IF(ngay28!L15&gt;0,ngay28!L15," ")</f>
        <v/>
      </c>
      <c r="AD17" s="10" t="str">
        <f>IF(ngay29!L15&gt;0,ngay29!L15," ")</f>
        <v/>
      </c>
      <c r="AE17" s="10" t="str">
        <f>IF(ngay30!L15&gt;0,ngay30!L15," ")</f>
        <v/>
      </c>
      <c r="AF17" s="10" t="str">
        <f>IF(ngay31!L15&gt;0,ngay31!L15," ")</f>
        <v/>
      </c>
      <c r="AG17" s="9" t="str">
        <f t="shared" si="1"/>
        <v/>
      </c>
      <c r="AH17" s="9" t="str">
        <f t="shared" si="2"/>
        <v/>
      </c>
      <c r="AI17" s="9" t="str">
        <f t="shared" si="0"/>
        <v/>
      </c>
    </row>
    <row r="18" spans="1:35" ht="12.75">
      <c r="A18" s="184" t="s">
        <v>139</v>
      </c>
      <c r="B18" s="25" t="str">
        <f>IF(ngay01!L16&gt;0,ngay01!L16," ")</f>
        <v/>
      </c>
      <c r="C18" s="10" t="str">
        <f>IF(ngay02!L16&gt;0,ngay02!L16," ")</f>
        <v/>
      </c>
      <c r="D18" s="10" t="str">
        <f>IF(ngay03!L16&gt;0,ngay03!L16," ")</f>
        <v/>
      </c>
      <c r="E18" s="10" t="str">
        <f>IF(ngay04!L16&gt;0,ngay04!L16," ")</f>
        <v/>
      </c>
      <c r="F18" s="10" t="str">
        <f>IF(ngay05!L16&gt;0,ngay05!L16," ")</f>
        <v/>
      </c>
      <c r="G18" s="10" t="str">
        <f>IF(ngay06!L16&gt;0,ngay06!L16," ")</f>
        <v/>
      </c>
      <c r="H18" s="10" t="str">
        <f>IF(ngay07!L16&gt;0,ngay07!L16," ")</f>
        <v/>
      </c>
      <c r="I18" s="10" t="str">
        <f>IF(ngay08!L16&gt;0,ngay08!L16," ")</f>
        <v/>
      </c>
      <c r="J18" s="10" t="str">
        <f>IF(ngay09!L16&gt;0,ngay09!L16," ")</f>
        <v/>
      </c>
      <c r="K18" s="10" t="str">
        <f>IF(ngay10!L16&gt;0,ngay10!L16," ")</f>
        <v/>
      </c>
      <c r="L18" s="10" t="str">
        <f>IF(ngay11!L16&gt;0,ngay11!L16," ")</f>
        <v/>
      </c>
      <c r="M18" s="10" t="str">
        <f>IF(ngay12!L16&gt;0,ngay12!L16," ")</f>
        <v/>
      </c>
      <c r="N18" s="10" t="str">
        <f>IF(ngay13!L16&gt;0,ngay13!L16," ")</f>
        <v/>
      </c>
      <c r="O18" s="10" t="str">
        <f>IF(ngay14!L16&gt;0,ngay14!L16," ")</f>
        <v/>
      </c>
      <c r="P18" s="10" t="str">
        <f>IF(ngay15!L16&gt;0,ngay15!L16," ")</f>
        <v/>
      </c>
      <c r="Q18" s="10" t="str">
        <f>IF(ngay16!L16&gt;0,ngay16!L16," ")</f>
        <v/>
      </c>
      <c r="R18" s="10" t="str">
        <f>IF(ngay17!L16&gt;0,ngay17!L16," ")</f>
        <v/>
      </c>
      <c r="S18" s="10" t="str">
        <f>IF(ngay18!L16&gt;0,ngay18!L16," ")</f>
        <v/>
      </c>
      <c r="T18" s="10" t="str">
        <f>IF(ngay19!L16&gt;0,ngay19!L16," ")</f>
        <v/>
      </c>
      <c r="U18" s="10" t="str">
        <f>IF(ngay20!L16&gt;0,ngay20!L16," ")</f>
        <v/>
      </c>
      <c r="V18" s="10" t="str">
        <f>IF(ngay21!L16&gt;0,ngay21!L16," ")</f>
        <v/>
      </c>
      <c r="W18" s="10" t="str">
        <f>IF(ngay22!L16&gt;0,ngay22!L16," ")</f>
        <v/>
      </c>
      <c r="X18" s="10" t="str">
        <f>IF(ngay23!L16&gt;0,ngay23!L16," ")</f>
        <v/>
      </c>
      <c r="Y18" s="10" t="str">
        <f>IF(ngay24!L16&gt;0,ngay24!L16," ")</f>
        <v/>
      </c>
      <c r="Z18" s="10" t="str">
        <f>IF(ngay25!L16&gt;0,ngay25!L16," ")</f>
        <v/>
      </c>
      <c r="AA18" s="10" t="str">
        <f>IF(ngay26!L16&gt;0,ngay26!L16," ")</f>
        <v/>
      </c>
      <c r="AB18" s="10" t="str">
        <f>IF(ngay27!L16&gt;0,ngay27!L16," ")</f>
        <v/>
      </c>
      <c r="AC18" s="10" t="str">
        <f>IF(ngay28!L16&gt;0,ngay28!L16," ")</f>
        <v/>
      </c>
      <c r="AD18" s="10" t="str">
        <f>IF(ngay29!L16&gt;0,ngay29!L16," ")</f>
        <v/>
      </c>
      <c r="AE18" s="10" t="str">
        <f>IF(ngay30!L16&gt;0,ngay30!L16," ")</f>
        <v/>
      </c>
      <c r="AF18" s="10" t="str">
        <f>IF(ngay31!L16&gt;0,ngay31!L16," ")</f>
        <v/>
      </c>
      <c r="AG18" s="9" t="str">
        <f t="shared" si="1"/>
        <v/>
      </c>
      <c r="AH18" s="9" t="str">
        <f t="shared" si="2"/>
        <v/>
      </c>
      <c r="AI18" s="9" t="str">
        <f t="shared" si="0"/>
        <v/>
      </c>
    </row>
    <row r="19" spans="1:35" ht="12.75">
      <c r="A19" s="183" t="s">
        <v>140</v>
      </c>
      <c r="B19" s="25" t="str">
        <f>IF(ngay01!L17&gt;0,ngay01!L17," ")</f>
        <v/>
      </c>
      <c r="C19" s="10" t="str">
        <f>IF(ngay02!L17&gt;0,ngay02!L17," ")</f>
        <v/>
      </c>
      <c r="D19" s="10" t="str">
        <f>IF(ngay03!L17&gt;0,ngay03!L17," ")</f>
        <v/>
      </c>
      <c r="E19" s="10" t="str">
        <f>IF(ngay04!L17&gt;0,ngay04!L17," ")</f>
        <v/>
      </c>
      <c r="F19" s="10" t="str">
        <f>IF(ngay05!L17&gt;0,ngay05!L17," ")</f>
        <v/>
      </c>
      <c r="G19" s="10" t="str">
        <f>IF(ngay06!L17&gt;0,ngay06!L17," ")</f>
        <v/>
      </c>
      <c r="H19" s="10" t="str">
        <f>IF(ngay07!L17&gt;0,ngay07!L17," ")</f>
        <v/>
      </c>
      <c r="I19" s="10" t="str">
        <f>IF(ngay08!L17&gt;0,ngay08!L17," ")</f>
        <v/>
      </c>
      <c r="J19" s="10" t="str">
        <f>IF(ngay09!L17&gt;0,ngay09!L17," ")</f>
        <v/>
      </c>
      <c r="K19" s="10" t="str">
        <f>IF(ngay10!L17&gt;0,ngay10!L17," ")</f>
        <v/>
      </c>
      <c r="L19" s="10" t="str">
        <f>IF(ngay11!L17&gt;0,ngay11!L17," ")</f>
        <v/>
      </c>
      <c r="M19" s="10" t="str">
        <f>IF(ngay12!L17&gt;0,ngay12!L17," ")</f>
        <v/>
      </c>
      <c r="N19" s="10" t="str">
        <f>IF(ngay13!L17&gt;0,ngay13!L17," ")</f>
        <v/>
      </c>
      <c r="O19" s="10" t="str">
        <f>IF(ngay14!L17&gt;0,ngay14!L17," ")</f>
        <v/>
      </c>
      <c r="P19" s="10" t="str">
        <f>IF(ngay15!L17&gt;0,ngay15!L17," ")</f>
        <v/>
      </c>
      <c r="Q19" s="10" t="str">
        <f>IF(ngay16!L17&gt;0,ngay16!L17," ")</f>
        <v/>
      </c>
      <c r="R19" s="10" t="str">
        <f>IF(ngay17!L17&gt;0,ngay17!L17," ")</f>
        <v/>
      </c>
      <c r="S19" s="10" t="str">
        <f>IF(ngay18!L17&gt;0,ngay18!L17," ")</f>
        <v/>
      </c>
      <c r="T19" s="10" t="str">
        <f>IF(ngay19!L17&gt;0,ngay19!L17," ")</f>
        <v/>
      </c>
      <c r="U19" s="10" t="str">
        <f>IF(ngay20!L17&gt;0,ngay20!L17," ")</f>
        <v/>
      </c>
      <c r="V19" s="10" t="str">
        <f>IF(ngay21!L17&gt;0,ngay21!L17," ")</f>
        <v/>
      </c>
      <c r="W19" s="10" t="str">
        <f>IF(ngay22!L17&gt;0,ngay22!L17," ")</f>
        <v/>
      </c>
      <c r="X19" s="10" t="str">
        <f>IF(ngay23!L17&gt;0,ngay23!L17," ")</f>
        <v/>
      </c>
      <c r="Y19" s="10" t="str">
        <f>IF(ngay24!L17&gt;0,ngay24!L17," ")</f>
        <v/>
      </c>
      <c r="Z19" s="10" t="str">
        <f>IF(ngay25!L17&gt;0,ngay25!L17," ")</f>
        <v/>
      </c>
      <c r="AA19" s="10" t="str">
        <f>IF(ngay26!L17&gt;0,ngay26!L17," ")</f>
        <v/>
      </c>
      <c r="AB19" s="10" t="str">
        <f>IF(ngay27!L17&gt;0,ngay27!L17," ")</f>
        <v/>
      </c>
      <c r="AC19" s="10" t="str">
        <f>IF(ngay28!L17&gt;0,ngay28!L17," ")</f>
        <v/>
      </c>
      <c r="AD19" s="10" t="str">
        <f>IF(ngay29!L17&gt;0,ngay29!L17," ")</f>
        <v/>
      </c>
      <c r="AE19" s="10" t="str">
        <f>IF(ngay30!L17&gt;0,ngay30!L17," ")</f>
        <v/>
      </c>
      <c r="AF19" s="10" t="str">
        <f>IF(ngay31!L17&gt;0,ngay31!L17," ")</f>
        <v/>
      </c>
      <c r="AG19" s="9" t="str">
        <f t="shared" si="1"/>
        <v/>
      </c>
      <c r="AH19" s="9" t="str">
        <f t="shared" si="2"/>
        <v/>
      </c>
      <c r="AI19" s="9" t="str">
        <f t="shared" si="0"/>
        <v/>
      </c>
    </row>
    <row r="20" spans="1:35" ht="12.75">
      <c r="A20" s="184" t="s">
        <v>141</v>
      </c>
      <c r="B20" s="25" t="str">
        <f>IF(ngay01!L18&gt;0,ngay01!L18," ")</f>
        <v/>
      </c>
      <c r="C20" s="10" t="str">
        <f>IF(ngay02!L18&gt;0,ngay02!L18," ")</f>
        <v/>
      </c>
      <c r="D20" s="10" t="str">
        <f>IF(ngay03!L18&gt;0,ngay03!L18," ")</f>
        <v/>
      </c>
      <c r="E20" s="10" t="str">
        <f>IF(ngay04!L18&gt;0,ngay04!L18," ")</f>
        <v/>
      </c>
      <c r="F20" s="10" t="str">
        <f>IF(ngay05!L18&gt;0,ngay05!L18," ")</f>
        <v/>
      </c>
      <c r="G20" s="10" t="str">
        <f>IF(ngay06!L18&gt;0,ngay06!L18," ")</f>
        <v/>
      </c>
      <c r="H20" s="10" t="str">
        <f>IF(ngay07!L18&gt;0,ngay07!L18," ")</f>
        <v/>
      </c>
      <c r="I20" s="10" t="str">
        <f>IF(ngay08!L18&gt;0,ngay08!L18," ")</f>
        <v/>
      </c>
      <c r="J20" s="10" t="str">
        <f>IF(ngay09!L18&gt;0,ngay09!L18," ")</f>
        <v/>
      </c>
      <c r="K20" s="10" t="str">
        <f>IF(ngay10!L18&gt;0,ngay10!L18," ")</f>
        <v/>
      </c>
      <c r="L20" s="10" t="str">
        <f>IF(ngay11!L18&gt;0,ngay11!L18," ")</f>
        <v/>
      </c>
      <c r="M20" s="10" t="str">
        <f>IF(ngay12!L18&gt;0,ngay12!L18," ")</f>
        <v/>
      </c>
      <c r="N20" s="10" t="str">
        <f>IF(ngay13!L18&gt;0,ngay13!L18," ")</f>
        <v/>
      </c>
      <c r="O20" s="10" t="str">
        <f>IF(ngay14!L18&gt;0,ngay14!L18," ")</f>
        <v/>
      </c>
      <c r="P20" s="10" t="str">
        <f>IF(ngay15!L18&gt;0,ngay15!L18," ")</f>
        <v/>
      </c>
      <c r="Q20" s="10" t="str">
        <f>IF(ngay16!L18&gt;0,ngay16!L18," ")</f>
        <v/>
      </c>
      <c r="R20" s="10" t="str">
        <f>IF(ngay17!L18&gt;0,ngay17!L18," ")</f>
        <v/>
      </c>
      <c r="S20" s="10" t="str">
        <f>IF(ngay18!L18&gt;0,ngay18!L18," ")</f>
        <v/>
      </c>
      <c r="T20" s="10" t="str">
        <f>IF(ngay19!L18&gt;0,ngay19!L18," ")</f>
        <v/>
      </c>
      <c r="U20" s="10" t="str">
        <f>IF(ngay20!L18&gt;0,ngay20!L18," ")</f>
        <v/>
      </c>
      <c r="V20" s="10" t="str">
        <f>IF(ngay21!L18&gt;0,ngay21!L18," ")</f>
        <v/>
      </c>
      <c r="W20" s="10" t="str">
        <f>IF(ngay22!L18&gt;0,ngay22!L18," ")</f>
        <v/>
      </c>
      <c r="X20" s="10" t="str">
        <f>IF(ngay23!L18&gt;0,ngay23!L18," ")</f>
        <v/>
      </c>
      <c r="Y20" s="10" t="str">
        <f>IF(ngay24!L18&gt;0,ngay24!L18," ")</f>
        <v/>
      </c>
      <c r="Z20" s="10" t="str">
        <f>IF(ngay25!L18&gt;0,ngay25!L18," ")</f>
        <v/>
      </c>
      <c r="AA20" s="10" t="str">
        <f>IF(ngay26!L18&gt;0,ngay26!L18," ")</f>
        <v/>
      </c>
      <c r="AB20" s="10" t="str">
        <f>IF(ngay27!L18&gt;0,ngay27!L18," ")</f>
        <v/>
      </c>
      <c r="AC20" s="10" t="str">
        <f>IF(ngay28!L18&gt;0,ngay28!L18," ")</f>
        <v/>
      </c>
      <c r="AD20" s="10" t="str">
        <f>IF(ngay29!L18&gt;0,ngay29!L18," ")</f>
        <v/>
      </c>
      <c r="AE20" s="10" t="str">
        <f>IF(ngay30!L18&gt;0,ngay30!L18," ")</f>
        <v/>
      </c>
      <c r="AF20" s="10" t="str">
        <f>IF(ngay31!L18&gt;0,ngay31!L18," ")</f>
        <v/>
      </c>
      <c r="AG20" s="9" t="str">
        <f t="shared" si="1"/>
        <v/>
      </c>
      <c r="AH20" s="9" t="str">
        <f t="shared" si="2"/>
        <v/>
      </c>
      <c r="AI20" s="9" t="str">
        <f t="shared" si="0"/>
        <v/>
      </c>
    </row>
    <row r="21" spans="1:35" ht="12.75">
      <c r="A21" s="183" t="s">
        <v>142</v>
      </c>
      <c r="B21" s="25" t="str">
        <f>IF(ngay01!L19&gt;0,ngay01!L19," ")</f>
        <v/>
      </c>
      <c r="C21" s="10" t="str">
        <f>IF(ngay02!L19&gt;0,ngay02!L19," ")</f>
        <v/>
      </c>
      <c r="D21" s="10" t="str">
        <f>IF(ngay03!L19&gt;0,ngay03!L19," ")</f>
        <v/>
      </c>
      <c r="E21" s="10" t="str">
        <f>IF(ngay04!L19&gt;0,ngay04!L19," ")</f>
        <v/>
      </c>
      <c r="F21" s="10" t="str">
        <f>IF(ngay05!L19&gt;0,ngay05!L19," ")</f>
        <v/>
      </c>
      <c r="G21" s="10" t="str">
        <f>IF(ngay06!L19&gt;0,ngay06!L19," ")</f>
        <v/>
      </c>
      <c r="H21" s="10" t="str">
        <f>IF(ngay07!L19&gt;0,ngay07!L19," ")</f>
        <v/>
      </c>
      <c r="I21" s="10" t="str">
        <f>IF(ngay08!L19&gt;0,ngay08!L19," ")</f>
        <v/>
      </c>
      <c r="J21" s="10" t="str">
        <f>IF(ngay09!L19&gt;0,ngay09!L19," ")</f>
        <v/>
      </c>
      <c r="K21" s="10" t="str">
        <f>IF(ngay10!L19&gt;0,ngay10!L19," ")</f>
        <v/>
      </c>
      <c r="L21" s="10" t="str">
        <f>IF(ngay11!L19&gt;0,ngay11!L19," ")</f>
        <v/>
      </c>
      <c r="M21" s="10" t="str">
        <f>IF(ngay12!L19&gt;0,ngay12!L19," ")</f>
        <v/>
      </c>
      <c r="N21" s="10" t="str">
        <f>IF(ngay13!L19&gt;0,ngay13!L19," ")</f>
        <v/>
      </c>
      <c r="O21" s="10" t="str">
        <f>IF(ngay14!L19&gt;0,ngay14!L19," ")</f>
        <v/>
      </c>
      <c r="P21" s="10" t="str">
        <f>IF(ngay15!L19&gt;0,ngay15!L19," ")</f>
        <v/>
      </c>
      <c r="Q21" s="10" t="str">
        <f>IF(ngay16!L19&gt;0,ngay16!L19," ")</f>
        <v/>
      </c>
      <c r="R21" s="10" t="str">
        <f>IF(ngay17!L19&gt;0,ngay17!L19," ")</f>
        <v/>
      </c>
      <c r="S21" s="10" t="str">
        <f>IF(ngay18!L19&gt;0,ngay18!L19," ")</f>
        <v/>
      </c>
      <c r="T21" s="10" t="str">
        <f>IF(ngay19!L19&gt;0,ngay19!L19," ")</f>
        <v/>
      </c>
      <c r="U21" s="10" t="str">
        <f>IF(ngay20!L19&gt;0,ngay20!L19," ")</f>
        <v/>
      </c>
      <c r="V21" s="10" t="str">
        <f>IF(ngay21!L19&gt;0,ngay21!L19," ")</f>
        <v/>
      </c>
      <c r="W21" s="10" t="str">
        <f>IF(ngay22!L19&gt;0,ngay22!L19," ")</f>
        <v/>
      </c>
      <c r="X21" s="10" t="str">
        <f>IF(ngay23!L19&gt;0,ngay23!L19," ")</f>
        <v/>
      </c>
      <c r="Y21" s="10" t="str">
        <f>IF(ngay24!L19&gt;0,ngay24!L19," ")</f>
        <v/>
      </c>
      <c r="Z21" s="10" t="str">
        <f>IF(ngay25!L19&gt;0,ngay25!L19," ")</f>
        <v/>
      </c>
      <c r="AA21" s="10" t="str">
        <f>IF(ngay26!L19&gt;0,ngay26!L19," ")</f>
        <v/>
      </c>
      <c r="AB21" s="10" t="str">
        <f>IF(ngay27!L19&gt;0,ngay27!L19," ")</f>
        <v/>
      </c>
      <c r="AC21" s="10" t="str">
        <f>IF(ngay28!L19&gt;0,ngay28!L19," ")</f>
        <v/>
      </c>
      <c r="AD21" s="10" t="str">
        <f>IF(ngay29!L19&gt;0,ngay29!L19," ")</f>
        <v/>
      </c>
      <c r="AE21" s="10" t="str">
        <f>IF(ngay30!L19&gt;0,ngay30!L19," ")</f>
        <v/>
      </c>
      <c r="AF21" s="10" t="str">
        <f>IF(ngay31!L19&gt;0,ngay31!L19," ")</f>
        <v/>
      </c>
      <c r="AG21" s="9" t="str">
        <f t="shared" si="1"/>
        <v/>
      </c>
      <c r="AH21" s="9" t="str">
        <f t="shared" si="2"/>
        <v/>
      </c>
      <c r="AI21" s="9" t="str">
        <f t="shared" si="0"/>
        <v/>
      </c>
    </row>
    <row r="22" spans="1:35" ht="12.75">
      <c r="A22" s="183" t="s">
        <v>143</v>
      </c>
      <c r="B22" s="25" t="str">
        <f>IF(ngay01!L20&gt;0,ngay01!L20," ")</f>
        <v/>
      </c>
      <c r="C22" s="10" t="str">
        <f>IF(ngay02!L20&gt;0,ngay02!L20," ")</f>
        <v/>
      </c>
      <c r="D22" s="10" t="str">
        <f>IF(ngay03!L20&gt;0,ngay03!L20," ")</f>
        <v/>
      </c>
      <c r="E22" s="10" t="str">
        <f>IF(ngay04!L20&gt;0,ngay04!L20," ")</f>
        <v/>
      </c>
      <c r="F22" s="10" t="str">
        <f>IF(ngay05!L20&gt;0,ngay05!L20," ")</f>
        <v/>
      </c>
      <c r="G22" s="10" t="str">
        <f>IF(ngay06!L20&gt;0,ngay06!L20," ")</f>
        <v/>
      </c>
      <c r="H22" s="10" t="str">
        <f>IF(ngay07!L20&gt;0,ngay07!L20," ")</f>
        <v/>
      </c>
      <c r="I22" s="10" t="str">
        <f>IF(ngay08!L20&gt;0,ngay08!L20," ")</f>
        <v/>
      </c>
      <c r="J22" s="10" t="str">
        <f>IF(ngay09!L20&gt;0,ngay09!L20," ")</f>
        <v/>
      </c>
      <c r="K22" s="10" t="str">
        <f>IF(ngay10!L20&gt;0,ngay10!L20," ")</f>
        <v/>
      </c>
      <c r="L22" s="10" t="str">
        <f>IF(ngay11!L20&gt;0,ngay11!L20," ")</f>
        <v/>
      </c>
      <c r="M22" s="10" t="str">
        <f>IF(ngay12!L20&gt;0,ngay12!L20," ")</f>
        <v/>
      </c>
      <c r="N22" s="10" t="str">
        <f>IF(ngay13!L20&gt;0,ngay13!L20," ")</f>
        <v/>
      </c>
      <c r="O22" s="10" t="str">
        <f>IF(ngay14!L20&gt;0,ngay14!L20," ")</f>
        <v/>
      </c>
      <c r="P22" s="10" t="str">
        <f>IF(ngay15!L20&gt;0,ngay15!L20," ")</f>
        <v/>
      </c>
      <c r="Q22" s="10" t="str">
        <f>IF(ngay16!L20&gt;0,ngay16!L20," ")</f>
        <v/>
      </c>
      <c r="R22" s="10" t="str">
        <f>IF(ngay17!L20&gt;0,ngay17!L20," ")</f>
        <v/>
      </c>
      <c r="S22" s="10" t="str">
        <f>IF(ngay18!L20&gt;0,ngay18!L20," ")</f>
        <v/>
      </c>
      <c r="T22" s="10" t="str">
        <f>IF(ngay19!L20&gt;0,ngay19!L20," ")</f>
        <v/>
      </c>
      <c r="U22" s="10" t="str">
        <f>IF(ngay20!L20&gt;0,ngay20!L20," ")</f>
        <v/>
      </c>
      <c r="V22" s="10" t="str">
        <f>IF(ngay21!L20&gt;0,ngay21!L20," ")</f>
        <v/>
      </c>
      <c r="W22" s="10" t="str">
        <f>IF(ngay22!L20&gt;0,ngay22!L20," ")</f>
        <v/>
      </c>
      <c r="X22" s="10" t="str">
        <f>IF(ngay23!L20&gt;0,ngay23!L20," ")</f>
        <v/>
      </c>
      <c r="Y22" s="10" t="str">
        <f>IF(ngay24!L20&gt;0,ngay24!L20," ")</f>
        <v/>
      </c>
      <c r="Z22" s="10" t="str">
        <f>IF(ngay25!L20&gt;0,ngay25!L20," ")</f>
        <v/>
      </c>
      <c r="AA22" s="10" t="str">
        <f>IF(ngay26!L20&gt;0,ngay26!L20," ")</f>
        <v/>
      </c>
      <c r="AB22" s="10" t="str">
        <f>IF(ngay27!L20&gt;0,ngay27!L20," ")</f>
        <v/>
      </c>
      <c r="AC22" s="10" t="str">
        <f>IF(ngay28!L20&gt;0,ngay28!L20," ")</f>
        <v/>
      </c>
      <c r="AD22" s="10" t="str">
        <f>IF(ngay29!L20&gt;0,ngay29!L20," ")</f>
        <v/>
      </c>
      <c r="AE22" s="10" t="str">
        <f>IF(ngay30!L20&gt;0,ngay30!L20," ")</f>
        <v/>
      </c>
      <c r="AF22" s="10" t="str">
        <f>IF(ngay31!L20&gt;0,ngay31!L20," ")</f>
        <v/>
      </c>
      <c r="AG22" s="9" t="str">
        <f t="shared" si="1"/>
        <v/>
      </c>
      <c r="AH22" s="9" t="str">
        <f t="shared" si="2"/>
        <v/>
      </c>
      <c r="AI22" s="9" t="str">
        <f t="shared" si="0"/>
        <v/>
      </c>
    </row>
    <row r="23" spans="1:35" ht="12.75">
      <c r="A23" s="183" t="s">
        <v>144</v>
      </c>
      <c r="B23" s="25" t="str">
        <f>IF(ngay01!L21&gt;0,ngay01!L21," ")</f>
        <v/>
      </c>
      <c r="C23" s="10" t="str">
        <f>IF(ngay02!L21&gt;0,ngay02!L21," ")</f>
        <v/>
      </c>
      <c r="D23" s="10" t="str">
        <f>IF(ngay03!L21&gt;0,ngay03!L21," ")</f>
        <v/>
      </c>
      <c r="E23" s="10" t="str">
        <f>IF(ngay04!L21&gt;0,ngay04!L21," ")</f>
        <v/>
      </c>
      <c r="F23" s="10" t="str">
        <f>IF(ngay05!L21&gt;0,ngay05!L21," ")</f>
        <v/>
      </c>
      <c r="G23" s="10" t="str">
        <f>IF(ngay06!L21&gt;0,ngay06!L21," ")</f>
        <v/>
      </c>
      <c r="H23" s="10" t="str">
        <f>IF(ngay07!L21&gt;0,ngay07!L21," ")</f>
        <v/>
      </c>
      <c r="I23" s="10" t="str">
        <f>IF(ngay08!L21&gt;0,ngay08!L21," ")</f>
        <v/>
      </c>
      <c r="J23" s="10" t="str">
        <f>IF(ngay09!L21&gt;0,ngay09!L21," ")</f>
        <v/>
      </c>
      <c r="K23" s="10" t="str">
        <f>IF(ngay10!L21&gt;0,ngay10!L21," ")</f>
        <v/>
      </c>
      <c r="L23" s="10" t="str">
        <f>IF(ngay11!L21&gt;0,ngay11!L21," ")</f>
        <v/>
      </c>
      <c r="M23" s="10" t="str">
        <f>IF(ngay12!L21&gt;0,ngay12!L21," ")</f>
        <v/>
      </c>
      <c r="N23" s="10" t="str">
        <f>IF(ngay13!L21&gt;0,ngay13!L21," ")</f>
        <v/>
      </c>
      <c r="O23" s="10" t="str">
        <f>IF(ngay14!L21&gt;0,ngay14!L21," ")</f>
        <v/>
      </c>
      <c r="P23" s="10" t="str">
        <f>IF(ngay15!L21&gt;0,ngay15!L21," ")</f>
        <v/>
      </c>
      <c r="Q23" s="10" t="str">
        <f>IF(ngay16!L21&gt;0,ngay16!L21," ")</f>
        <v/>
      </c>
      <c r="R23" s="10" t="str">
        <f>IF(ngay17!L21&gt;0,ngay17!L21," ")</f>
        <v/>
      </c>
      <c r="S23" s="10" t="str">
        <f>IF(ngay18!L21&gt;0,ngay18!L21," ")</f>
        <v/>
      </c>
      <c r="T23" s="10" t="str">
        <f>IF(ngay19!L21&gt;0,ngay19!L21," ")</f>
        <v/>
      </c>
      <c r="U23" s="10" t="str">
        <f>IF(ngay20!L21&gt;0,ngay20!L21," ")</f>
        <v/>
      </c>
      <c r="V23" s="10" t="str">
        <f>IF(ngay21!L21&gt;0,ngay21!L21," ")</f>
        <v/>
      </c>
      <c r="W23" s="10" t="str">
        <f>IF(ngay22!L21&gt;0,ngay22!L21," ")</f>
        <v/>
      </c>
      <c r="X23" s="10" t="str">
        <f>IF(ngay23!L21&gt;0,ngay23!L21," ")</f>
        <v/>
      </c>
      <c r="Y23" s="10" t="str">
        <f>IF(ngay24!L21&gt;0,ngay24!L21," ")</f>
        <v/>
      </c>
      <c r="Z23" s="10" t="str">
        <f>IF(ngay25!L21&gt;0,ngay25!L21," ")</f>
        <v/>
      </c>
      <c r="AA23" s="10" t="str">
        <f>IF(ngay26!L21&gt;0,ngay26!L21," ")</f>
        <v/>
      </c>
      <c r="AB23" s="10" t="str">
        <f>IF(ngay27!L21&gt;0,ngay27!L21," ")</f>
        <v/>
      </c>
      <c r="AC23" s="10" t="str">
        <f>IF(ngay28!L21&gt;0,ngay28!L21," ")</f>
        <v/>
      </c>
      <c r="AD23" s="10" t="str">
        <f>IF(ngay29!L21&gt;0,ngay29!L21," ")</f>
        <v/>
      </c>
      <c r="AE23" s="10" t="str">
        <f>IF(ngay30!L21&gt;0,ngay30!L21," ")</f>
        <v/>
      </c>
      <c r="AF23" s="10" t="str">
        <f>IF(ngay31!L21&gt;0,ngay31!L21," ")</f>
        <v/>
      </c>
      <c r="AG23" s="9" t="str">
        <f t="shared" si="1"/>
        <v/>
      </c>
      <c r="AH23" s="9" t="str">
        <f t="shared" si="2"/>
        <v/>
      </c>
      <c r="AI23" s="9" t="str">
        <f t="shared" si="0"/>
        <v/>
      </c>
    </row>
    <row r="24" spans="1:35" ht="12.75">
      <c r="A24" s="183" t="s">
        <v>145</v>
      </c>
      <c r="B24" s="25" t="str">
        <f>IF(ngay01!L22&gt;0,ngay01!L22," ")</f>
        <v/>
      </c>
      <c r="C24" s="10" t="str">
        <f>IF(ngay02!L22&gt;0,ngay02!L22," ")</f>
        <v/>
      </c>
      <c r="D24" s="10" t="str">
        <f>IF(ngay03!L22&gt;0,ngay03!L22," ")</f>
        <v/>
      </c>
      <c r="E24" s="10" t="str">
        <f>IF(ngay04!L22&gt;0,ngay04!L22," ")</f>
        <v/>
      </c>
      <c r="F24" s="10" t="str">
        <f>IF(ngay05!L22&gt;0,ngay05!L22," ")</f>
        <v/>
      </c>
      <c r="G24" s="10" t="str">
        <f>IF(ngay06!L22&gt;0,ngay06!L22," ")</f>
        <v/>
      </c>
      <c r="H24" s="10" t="str">
        <f>IF(ngay07!L22&gt;0,ngay07!L22," ")</f>
        <v/>
      </c>
      <c r="I24" s="10" t="str">
        <f>IF(ngay08!L22&gt;0,ngay08!L22," ")</f>
        <v/>
      </c>
      <c r="J24" s="10" t="str">
        <f>IF(ngay09!L22&gt;0,ngay09!L22," ")</f>
        <v/>
      </c>
      <c r="K24" s="10" t="str">
        <f>IF(ngay10!L22&gt;0,ngay10!L22," ")</f>
        <v/>
      </c>
      <c r="L24" s="10" t="str">
        <f>IF(ngay11!L22&gt;0,ngay11!L22," ")</f>
        <v/>
      </c>
      <c r="M24" s="10" t="str">
        <f>IF(ngay12!L22&gt;0,ngay12!L22," ")</f>
        <v/>
      </c>
      <c r="N24" s="10" t="str">
        <f>IF(ngay13!L22&gt;0,ngay13!L22," ")</f>
        <v/>
      </c>
      <c r="O24" s="10" t="str">
        <f>IF(ngay14!L22&gt;0,ngay14!L22," ")</f>
        <v/>
      </c>
      <c r="P24" s="10" t="str">
        <f>IF(ngay15!L22&gt;0,ngay15!L22," ")</f>
        <v/>
      </c>
      <c r="Q24" s="10" t="str">
        <f>IF(ngay16!L22&gt;0,ngay16!L22," ")</f>
        <v/>
      </c>
      <c r="R24" s="10" t="str">
        <f>IF(ngay17!L22&gt;0,ngay17!L22," ")</f>
        <v/>
      </c>
      <c r="S24" s="10" t="str">
        <f>IF(ngay18!L22&gt;0,ngay18!L22," ")</f>
        <v/>
      </c>
      <c r="T24" s="10" t="str">
        <f>IF(ngay19!L22&gt;0,ngay19!L22," ")</f>
        <v/>
      </c>
      <c r="U24" s="10" t="str">
        <f>IF(ngay20!L22&gt;0,ngay20!L22," ")</f>
        <v/>
      </c>
      <c r="V24" s="10" t="str">
        <f>IF(ngay21!L22&gt;0,ngay21!L22," ")</f>
        <v/>
      </c>
      <c r="W24" s="10" t="str">
        <f>IF(ngay22!L22&gt;0,ngay22!L22," ")</f>
        <v/>
      </c>
      <c r="X24" s="10" t="str">
        <f>IF(ngay23!L22&gt;0,ngay23!L22," ")</f>
        <v/>
      </c>
      <c r="Y24" s="10" t="str">
        <f>IF(ngay24!L22&gt;0,ngay24!L22," ")</f>
        <v/>
      </c>
      <c r="Z24" s="10" t="str">
        <f>IF(ngay25!L22&gt;0,ngay25!L22," ")</f>
        <v/>
      </c>
      <c r="AA24" s="10" t="str">
        <f>IF(ngay26!L22&gt;0,ngay26!L22," ")</f>
        <v/>
      </c>
      <c r="AB24" s="10" t="str">
        <f>IF(ngay27!L22&gt;0,ngay27!L22," ")</f>
        <v/>
      </c>
      <c r="AC24" s="10" t="str">
        <f>IF(ngay28!L22&gt;0,ngay28!L22," ")</f>
        <v/>
      </c>
      <c r="AD24" s="10" t="str">
        <f>IF(ngay29!L22&gt;0,ngay29!L22," ")</f>
        <v/>
      </c>
      <c r="AE24" s="10" t="str">
        <f>IF(ngay30!L22&gt;0,ngay30!L22," ")</f>
        <v/>
      </c>
      <c r="AF24" s="10" t="str">
        <f>IF(ngay31!L22&gt;0,ngay31!L22," ")</f>
        <v/>
      </c>
      <c r="AG24" s="9" t="str">
        <f t="shared" si="1"/>
        <v/>
      </c>
      <c r="AH24" s="9" t="str">
        <f t="shared" si="2"/>
        <v/>
      </c>
      <c r="AI24" s="9" t="str">
        <f t="shared" si="0"/>
        <v/>
      </c>
    </row>
    <row r="25" spans="1:35" ht="12.75">
      <c r="A25" s="183" t="s">
        <v>146</v>
      </c>
      <c r="B25" s="25" t="str">
        <f>IF(ngay01!L23&gt;0,ngay01!L23," ")</f>
        <v/>
      </c>
      <c r="C25" s="10" t="str">
        <f>IF(ngay02!L23&gt;0,ngay02!L23," ")</f>
        <v/>
      </c>
      <c r="D25" s="10" t="str">
        <f>IF(ngay03!L23&gt;0,ngay03!L23," ")</f>
        <v/>
      </c>
      <c r="E25" s="10" t="str">
        <f>IF(ngay04!L23&gt;0,ngay04!L23," ")</f>
        <v/>
      </c>
      <c r="F25" s="10" t="str">
        <f>IF(ngay05!L23&gt;0,ngay05!L23," ")</f>
        <v/>
      </c>
      <c r="G25" s="10" t="str">
        <f>IF(ngay06!L23&gt;0,ngay06!L23," ")</f>
        <v/>
      </c>
      <c r="H25" s="10" t="str">
        <f>IF(ngay07!L23&gt;0,ngay07!L23," ")</f>
        <v/>
      </c>
      <c r="I25" s="10" t="str">
        <f>IF(ngay08!L23&gt;0,ngay08!L23," ")</f>
        <v/>
      </c>
      <c r="J25" s="10" t="str">
        <f>IF(ngay09!L23&gt;0,ngay09!L23," ")</f>
        <v/>
      </c>
      <c r="K25" s="10" t="str">
        <f>IF(ngay10!L23&gt;0,ngay10!L23," ")</f>
        <v/>
      </c>
      <c r="L25" s="10" t="str">
        <f>IF(ngay11!L23&gt;0,ngay11!L23," ")</f>
        <v/>
      </c>
      <c r="M25" s="10" t="str">
        <f>IF(ngay12!L23&gt;0,ngay12!L23," ")</f>
        <v/>
      </c>
      <c r="N25" s="10" t="str">
        <f>IF(ngay13!L23&gt;0,ngay13!L23," ")</f>
        <v/>
      </c>
      <c r="O25" s="10" t="str">
        <f>IF(ngay14!L23&gt;0,ngay14!L23," ")</f>
        <v/>
      </c>
      <c r="P25" s="10" t="str">
        <f>IF(ngay15!L23&gt;0,ngay15!L23," ")</f>
        <v/>
      </c>
      <c r="Q25" s="10" t="str">
        <f>IF(ngay16!L23&gt;0,ngay16!L23," ")</f>
        <v/>
      </c>
      <c r="R25" s="10" t="str">
        <f>IF(ngay17!L23&gt;0,ngay17!L23," ")</f>
        <v/>
      </c>
      <c r="S25" s="10" t="str">
        <f>IF(ngay18!L23&gt;0,ngay18!L23," ")</f>
        <v/>
      </c>
      <c r="T25" s="10" t="str">
        <f>IF(ngay19!L23&gt;0,ngay19!L23," ")</f>
        <v/>
      </c>
      <c r="U25" s="10" t="str">
        <f>IF(ngay20!L23&gt;0,ngay20!L23," ")</f>
        <v/>
      </c>
      <c r="V25" s="10" t="str">
        <f>IF(ngay21!L23&gt;0,ngay21!L23," ")</f>
        <v/>
      </c>
      <c r="W25" s="10" t="str">
        <f>IF(ngay22!L23&gt;0,ngay22!L23," ")</f>
        <v/>
      </c>
      <c r="X25" s="10" t="str">
        <f>IF(ngay23!L23&gt;0,ngay23!L23," ")</f>
        <v/>
      </c>
      <c r="Y25" s="10" t="str">
        <f>IF(ngay24!L23&gt;0,ngay24!L23," ")</f>
        <v/>
      </c>
      <c r="Z25" s="10" t="str">
        <f>IF(ngay25!L23&gt;0,ngay25!L23," ")</f>
        <v/>
      </c>
      <c r="AA25" s="10" t="str">
        <f>IF(ngay26!L23&gt;0,ngay26!L23," ")</f>
        <v/>
      </c>
      <c r="AB25" s="10" t="str">
        <f>IF(ngay27!L23&gt;0,ngay27!L23," ")</f>
        <v/>
      </c>
      <c r="AC25" s="10" t="str">
        <f>IF(ngay28!L23&gt;0,ngay28!L23," ")</f>
        <v/>
      </c>
      <c r="AD25" s="10" t="str">
        <f>IF(ngay29!L23&gt;0,ngay29!L23," ")</f>
        <v/>
      </c>
      <c r="AE25" s="10" t="str">
        <f>IF(ngay30!L23&gt;0,ngay30!L23," ")</f>
        <v/>
      </c>
      <c r="AF25" s="10" t="str">
        <f>IF(ngay31!L23&gt;0,ngay31!L23," ")</f>
        <v/>
      </c>
      <c r="AG25" s="9" t="str">
        <f t="shared" si="1"/>
        <v/>
      </c>
      <c r="AH25" s="9" t="str">
        <f t="shared" si="2"/>
        <v/>
      </c>
      <c r="AI25" s="9" t="str">
        <f t="shared" si="0"/>
        <v/>
      </c>
    </row>
    <row r="26" spans="1:35" ht="12.75">
      <c r="A26" s="183" t="s">
        <v>147</v>
      </c>
      <c r="B26" s="25" t="str">
        <f>IF(ngay01!L24&gt;0,ngay01!L24," ")</f>
        <v/>
      </c>
      <c r="C26" s="10" t="str">
        <f>IF(ngay02!L24&gt;0,ngay02!L24," ")</f>
        <v/>
      </c>
      <c r="D26" s="10" t="str">
        <f>IF(ngay03!L24&gt;0,ngay03!L24," ")</f>
        <v/>
      </c>
      <c r="E26" s="10" t="str">
        <f>IF(ngay04!L24&gt;0,ngay04!L24," ")</f>
        <v/>
      </c>
      <c r="F26" s="10" t="str">
        <f>IF(ngay05!L24&gt;0,ngay05!L24," ")</f>
        <v/>
      </c>
      <c r="G26" s="10" t="str">
        <f>IF(ngay06!L24&gt;0,ngay06!L24," ")</f>
        <v/>
      </c>
      <c r="H26" s="10" t="str">
        <f>IF(ngay07!L24&gt;0,ngay07!L24," ")</f>
        <v/>
      </c>
      <c r="I26" s="10" t="str">
        <f>IF(ngay08!L24&gt;0,ngay08!L24," ")</f>
        <v/>
      </c>
      <c r="J26" s="10" t="str">
        <f>IF(ngay09!L24&gt;0,ngay09!L24," ")</f>
        <v/>
      </c>
      <c r="K26" s="10" t="str">
        <f>IF(ngay10!L24&gt;0,ngay10!L24," ")</f>
        <v/>
      </c>
      <c r="L26" s="10" t="str">
        <f>IF(ngay11!L24&gt;0,ngay11!L24," ")</f>
        <v/>
      </c>
      <c r="M26" s="10" t="str">
        <f>IF(ngay12!L24&gt;0,ngay12!L24," ")</f>
        <v/>
      </c>
      <c r="N26" s="10" t="str">
        <f>IF(ngay13!L24&gt;0,ngay13!L24," ")</f>
        <v/>
      </c>
      <c r="O26" s="10" t="str">
        <f>IF(ngay14!L24&gt;0,ngay14!L24," ")</f>
        <v/>
      </c>
      <c r="P26" s="10" t="str">
        <f>IF(ngay15!L24&gt;0,ngay15!L24," ")</f>
        <v/>
      </c>
      <c r="Q26" s="10" t="str">
        <f>IF(ngay16!L24&gt;0,ngay16!L24," ")</f>
        <v/>
      </c>
      <c r="R26" s="10" t="str">
        <f>IF(ngay17!L24&gt;0,ngay17!L24," ")</f>
        <v/>
      </c>
      <c r="S26" s="10" t="str">
        <f>IF(ngay18!L24&gt;0,ngay18!L24," ")</f>
        <v/>
      </c>
      <c r="T26" s="10" t="str">
        <f>IF(ngay19!L24&gt;0,ngay19!L24," ")</f>
        <v/>
      </c>
      <c r="U26" s="10" t="str">
        <f>IF(ngay20!L24&gt;0,ngay20!L24," ")</f>
        <v/>
      </c>
      <c r="V26" s="10" t="str">
        <f>IF(ngay21!L24&gt;0,ngay21!L24," ")</f>
        <v/>
      </c>
      <c r="W26" s="10" t="str">
        <f>IF(ngay22!L24&gt;0,ngay22!L24," ")</f>
        <v/>
      </c>
      <c r="X26" s="10" t="str">
        <f>IF(ngay23!L24&gt;0,ngay23!L24," ")</f>
        <v/>
      </c>
      <c r="Y26" s="10" t="str">
        <f>IF(ngay24!L24&gt;0,ngay24!L24," ")</f>
        <v/>
      </c>
      <c r="Z26" s="10" t="str">
        <f>IF(ngay25!L24&gt;0,ngay25!L24," ")</f>
        <v/>
      </c>
      <c r="AA26" s="10" t="str">
        <f>IF(ngay26!L24&gt;0,ngay26!L24," ")</f>
        <v/>
      </c>
      <c r="AB26" s="10" t="str">
        <f>IF(ngay27!L24&gt;0,ngay27!L24," ")</f>
        <v/>
      </c>
      <c r="AC26" s="10" t="str">
        <f>IF(ngay28!L24&gt;0,ngay28!L24," ")</f>
        <v/>
      </c>
      <c r="AD26" s="10" t="str">
        <f>IF(ngay29!L24&gt;0,ngay29!L24," ")</f>
        <v/>
      </c>
      <c r="AE26" s="10" t="str">
        <f>IF(ngay30!L24&gt;0,ngay30!L24," ")</f>
        <v/>
      </c>
      <c r="AF26" s="10" t="str">
        <f>IF(ngay31!L24&gt;0,ngay31!L24," ")</f>
        <v/>
      </c>
      <c r="AG26" s="9" t="str">
        <f t="shared" si="1"/>
        <v/>
      </c>
      <c r="AH26" s="9" t="str">
        <f t="shared" si="2"/>
        <v/>
      </c>
      <c r="AI26" s="9" t="str">
        <f t="shared" si="0"/>
        <v/>
      </c>
    </row>
    <row r="27" spans="1:35" ht="12.75">
      <c r="A27" s="303" t="s">
        <v>191</v>
      </c>
      <c r="B27" s="25" t="str">
        <f>IF(ngay01!L25&gt;0,ngay01!L25," ")</f>
        <v/>
      </c>
      <c r="C27" s="10" t="str">
        <f>IF(ngay02!L25&gt;0,ngay02!L25," ")</f>
        <v/>
      </c>
      <c r="D27" s="10" t="str">
        <f>IF(ngay03!L25&gt;0,ngay03!L25," ")</f>
        <v/>
      </c>
      <c r="E27" s="10" t="str">
        <f>IF(ngay04!L25&gt;0,ngay04!L25," ")</f>
        <v/>
      </c>
      <c r="F27" s="10" t="str">
        <f>IF(ngay05!L25&gt;0,ngay05!L25," ")</f>
        <v/>
      </c>
      <c r="G27" s="10" t="str">
        <f>IF(ngay06!L25&gt;0,ngay06!L25," ")</f>
        <v/>
      </c>
      <c r="H27" s="10" t="str">
        <f>IF(ngay07!L25&gt;0,ngay07!L25," ")</f>
        <v/>
      </c>
      <c r="I27" s="10" t="str">
        <f>IF(ngay08!L25&gt;0,ngay08!L25," ")</f>
        <v/>
      </c>
      <c r="J27" s="10" t="str">
        <f>IF(ngay09!L25&gt;0,ngay09!L25," ")</f>
        <v/>
      </c>
      <c r="K27" s="10" t="str">
        <f>IF(ngay10!L25&gt;0,ngay10!L25," ")</f>
        <v/>
      </c>
      <c r="L27" s="10" t="str">
        <f>IF(ngay11!L25&gt;0,ngay11!L25," ")</f>
        <v/>
      </c>
      <c r="M27" s="10" t="str">
        <f>IF(ngay12!L25&gt;0,ngay12!L25," ")</f>
        <v/>
      </c>
      <c r="N27" s="10" t="str">
        <f>IF(ngay13!L25&gt;0,ngay13!L25," ")</f>
        <v/>
      </c>
      <c r="O27" s="10" t="str">
        <f>IF(ngay14!L25&gt;0,ngay14!L25," ")</f>
        <v/>
      </c>
      <c r="P27" s="10" t="str">
        <f>IF(ngay15!L25&gt;0,ngay15!L25," ")</f>
        <v/>
      </c>
      <c r="Q27" s="10" t="str">
        <f>IF(ngay16!L25&gt;0,ngay16!L25," ")</f>
        <v/>
      </c>
      <c r="R27" s="10" t="str">
        <f>IF(ngay17!L25&gt;0,ngay17!L25," ")</f>
        <v/>
      </c>
      <c r="S27" s="10" t="str">
        <f>IF(ngay18!L25&gt;0,ngay18!L25," ")</f>
        <v/>
      </c>
      <c r="T27" s="10" t="str">
        <f>IF(ngay19!L25&gt;0,ngay19!L25," ")</f>
        <v/>
      </c>
      <c r="U27" s="10" t="str">
        <f>IF(ngay20!L25&gt;0,ngay20!L25," ")</f>
        <v/>
      </c>
      <c r="V27" s="10" t="str">
        <f>IF(ngay21!L25&gt;0,ngay21!L25," ")</f>
        <v/>
      </c>
      <c r="W27" s="10" t="str">
        <f>IF(ngay22!L25&gt;0,ngay22!L25," ")</f>
        <v/>
      </c>
      <c r="X27" s="10" t="str">
        <f>IF(ngay23!L25&gt;0,ngay23!L25," ")</f>
        <v/>
      </c>
      <c r="Y27" s="10" t="str">
        <f>IF(ngay24!L25&gt;0,ngay24!L25," ")</f>
        <v/>
      </c>
      <c r="Z27" s="10" t="str">
        <f>IF(ngay25!L25&gt;0,ngay25!L25," ")</f>
        <v/>
      </c>
      <c r="AA27" s="10" t="str">
        <f>IF(ngay26!L25&gt;0,ngay26!L25," ")</f>
        <v/>
      </c>
      <c r="AB27" s="10" t="str">
        <f>IF(ngay27!L25&gt;0,ngay27!L25," ")</f>
        <v/>
      </c>
      <c r="AC27" s="10" t="str">
        <f>IF(ngay28!L25&gt;0,ngay28!L25," ")</f>
        <v/>
      </c>
      <c r="AD27" s="10" t="str">
        <f>IF(ngay29!L25&gt;0,ngay29!L25," ")</f>
        <v/>
      </c>
      <c r="AE27" s="10" t="str">
        <f>IF(ngay30!L25&gt;0,ngay30!L25," ")</f>
        <v/>
      </c>
      <c r="AF27" s="10" t="str">
        <f>IF(ngay31!L25&gt;0,ngay31!L25," ")</f>
        <v/>
      </c>
      <c r="AG27" s="9" t="str">
        <f t="shared" si="1"/>
        <v/>
      </c>
      <c r="AH27" s="9" t="str">
        <f t="shared" si="2"/>
        <v/>
      </c>
      <c r="AI27" s="9" t="str">
        <f t="shared" si="0"/>
        <v/>
      </c>
    </row>
    <row r="28" spans="1:35">
      <c r="B28" s="25" t="str">
        <f>IF(ngay01!L26&gt;0,ngay01!L26," ")</f>
        <v xml:space="preserve"> </v>
      </c>
      <c r="C28" s="10" t="str">
        <f>IF(ngay02!L26&gt;0,ngay02!L26," ")</f>
        <v xml:space="preserve"> </v>
      </c>
      <c r="D28" s="10" t="str">
        <f>IF(ngay03!L26&gt;0,ngay03!L26," ")</f>
        <v xml:space="preserve"> </v>
      </c>
      <c r="E28" s="10" t="str">
        <f>IF(ngay04!L26&gt;0,ngay04!L26," ")</f>
        <v xml:space="preserve"> </v>
      </c>
      <c r="F28" s="10" t="str">
        <f>IF(ngay05!L26&gt;0,ngay05!L26," ")</f>
        <v xml:space="preserve"> </v>
      </c>
      <c r="G28" s="10" t="str">
        <f>IF(ngay06!L26&gt;0,ngay06!L26," ")</f>
        <v xml:space="preserve"> </v>
      </c>
      <c r="H28" s="10" t="str">
        <f>IF(ngay07!L26&gt;0,ngay07!L26," ")</f>
        <v xml:space="preserve"> </v>
      </c>
      <c r="I28" s="10" t="str">
        <f>IF(ngay08!L26&gt;0,ngay08!L26," ")</f>
        <v xml:space="preserve"> </v>
      </c>
      <c r="J28" s="10" t="str">
        <f>IF(ngay09!L26&gt;0,ngay09!L26," ")</f>
        <v xml:space="preserve"> </v>
      </c>
      <c r="K28" s="10" t="str">
        <f>IF(ngay10!L26&gt;0,ngay10!L26," ")</f>
        <v xml:space="preserve"> </v>
      </c>
      <c r="L28" s="10" t="str">
        <f>IF(ngay11!L26&gt;0,ngay11!L26," ")</f>
        <v xml:space="preserve"> </v>
      </c>
      <c r="M28" s="10" t="str">
        <f>IF(ngay12!L26&gt;0,ngay12!L26," ")</f>
        <v xml:space="preserve"> </v>
      </c>
      <c r="N28" s="10" t="str">
        <f>IF(ngay13!L26&gt;0,ngay13!L26," ")</f>
        <v xml:space="preserve"> </v>
      </c>
      <c r="O28" s="10" t="str">
        <f>IF(ngay14!L26&gt;0,ngay14!L26," ")</f>
        <v xml:space="preserve"> </v>
      </c>
      <c r="P28" s="10" t="str">
        <f>IF(ngay15!L26&gt;0,ngay15!L26," ")</f>
        <v xml:space="preserve"> </v>
      </c>
      <c r="Q28" s="10" t="str">
        <f>IF(ngay16!L26&gt;0,ngay16!L26," ")</f>
        <v xml:space="preserve"> </v>
      </c>
      <c r="R28" s="10" t="str">
        <f>IF(ngay17!L26&gt;0,ngay17!L26," ")</f>
        <v xml:space="preserve"> </v>
      </c>
      <c r="S28" s="10" t="str">
        <f>IF(ngay18!L26&gt;0,ngay18!L26," ")</f>
        <v xml:space="preserve"> </v>
      </c>
      <c r="T28" s="10" t="str">
        <f>IF(ngay19!L26&gt;0,ngay19!L26," ")</f>
        <v xml:space="preserve"> </v>
      </c>
      <c r="U28" s="10" t="str">
        <f>IF(ngay20!L26&gt;0,ngay20!L26," ")</f>
        <v xml:space="preserve"> </v>
      </c>
      <c r="V28" s="10" t="str">
        <f>IF(ngay21!L26&gt;0,ngay21!L26," ")</f>
        <v xml:space="preserve"> </v>
      </c>
      <c r="W28" s="10" t="str">
        <f>IF(ngay22!L26&gt;0,ngay22!L26," ")</f>
        <v xml:space="preserve"> </v>
      </c>
      <c r="X28" s="10" t="str">
        <f>IF(ngay23!L26&gt;0,ngay23!L26," ")</f>
        <v xml:space="preserve"> </v>
      </c>
      <c r="Y28" s="10" t="str">
        <f>IF(ngay24!L26&gt;0,ngay24!L26," ")</f>
        <v xml:space="preserve"> </v>
      </c>
      <c r="Z28" s="10" t="str">
        <f>IF(ngay25!L26&gt;0,ngay25!L26," ")</f>
        <v xml:space="preserve"> </v>
      </c>
      <c r="AA28" s="10" t="str">
        <f>IF(ngay26!L26&gt;0,ngay26!L26," ")</f>
        <v xml:space="preserve"> </v>
      </c>
      <c r="AB28" s="10" t="str">
        <f>IF(ngay27!L26&gt;0,ngay27!L26," ")</f>
        <v xml:space="preserve"> </v>
      </c>
      <c r="AC28" s="10" t="str">
        <f>IF(ngay28!L26&gt;0,ngay28!L26," ")</f>
        <v xml:space="preserve"> </v>
      </c>
      <c r="AD28" s="10" t="str">
        <f>IF(ngay29!L26&gt;0,ngay29!L26," ")</f>
        <v xml:space="preserve"> </v>
      </c>
      <c r="AE28" s="10" t="str">
        <f>IF(ngay30!L26&gt;0,ngay30!L26," ")</f>
        <v xml:space="preserve"> </v>
      </c>
      <c r="AF28" s="10" t="str">
        <f>IF(ngay31!L26&gt;0,ngay31!L26," ")</f>
        <v xml:space="preserve"> </v>
      </c>
      <c r="AG28" s="9" t="str">
        <f t="shared" si="1"/>
        <v/>
      </c>
      <c r="AH28" s="9" t="str">
        <f t="shared" si="2"/>
        <v/>
      </c>
      <c r="AI28" s="9" t="str">
        <f t="shared" si="0"/>
        <v/>
      </c>
    </row>
  </sheetData>
  <phoneticPr fontId="0" type="noConversion"/>
  <pageMargins left="0.39370078740157483" right="0.39370078740157483" top="0.39370078740157483" bottom="0.39370078740157483" header="0.11811023622047245" footer="0.11811023622047245"/>
  <pageSetup paperSize="9" orientation="portrait" blackAndWhite="1" horizontalDpi="4294967292" r:id="rId1"/>
  <headerFooter alignWithMargins="0">
    <oddHeader>&amp;A</oddHeader>
    <oddFooter>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F32"/>
  <sheetViews>
    <sheetView zoomScaleNormal="100" workbookViewId="0">
      <pane xSplit="1" ySplit="2" topLeftCell="B3" activePane="bottomRight" state="frozen"/>
      <selection activeCell="A6" sqref="A6:A25"/>
      <selection pane="topRight" activeCell="A6" sqref="A6:A25"/>
      <selection pane="bottomLeft" activeCell="A6" sqref="A6:A25"/>
      <selection pane="bottomRight" activeCell="E27" sqref="E27"/>
    </sheetView>
  </sheetViews>
  <sheetFormatPr defaultColWidth="6" defaultRowHeight="11.25"/>
  <cols>
    <col min="1" max="1" width="12" style="9" customWidth="1"/>
    <col min="2" max="32" width="6" style="9"/>
    <col min="33" max="33" width="10.83203125" style="9" customWidth="1"/>
    <col min="34" max="35" width="8" style="9" customWidth="1"/>
    <col min="36" max="36" width="6.1640625" style="9" bestFit="1" customWidth="1"/>
    <col min="37" max="16384" width="6" style="9"/>
  </cols>
  <sheetData>
    <row r="1" spans="1:58" ht="6" customHeight="1">
      <c r="A1" s="8"/>
      <c r="B1" s="8"/>
      <c r="C1" s="8"/>
    </row>
    <row r="2" spans="1:58" ht="6.7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</row>
    <row r="3" spans="1:58" ht="12" thickBot="1"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</row>
    <row r="4" spans="1:58" s="106" customFormat="1" ht="13.5" customHeight="1">
      <c r="A4" s="98"/>
      <c r="B4" s="99" t="s">
        <v>28</v>
      </c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1"/>
      <c r="AG4" s="102" t="s">
        <v>29</v>
      </c>
      <c r="AH4" s="103" t="s">
        <v>30</v>
      </c>
      <c r="AI4" s="103"/>
      <c r="AJ4" s="103" t="s">
        <v>88</v>
      </c>
      <c r="AK4" s="103"/>
      <c r="AL4" s="103"/>
      <c r="AM4" s="103"/>
      <c r="AN4" s="104"/>
      <c r="AO4" s="104"/>
      <c r="AP4" s="104"/>
      <c r="AQ4" s="104"/>
      <c r="AR4" s="104"/>
      <c r="AS4" s="104"/>
      <c r="AT4" s="104"/>
      <c r="AU4" s="104"/>
      <c r="AV4" s="105"/>
      <c r="AW4" s="105"/>
      <c r="AX4" s="105"/>
      <c r="AY4" s="105"/>
      <c r="AZ4" s="105"/>
      <c r="BA4" s="105"/>
      <c r="BB4" s="105"/>
      <c r="BC4" s="105"/>
      <c r="BD4" s="105"/>
      <c r="BE4" s="105"/>
      <c r="BF4" s="105"/>
    </row>
    <row r="5" spans="1:58" s="104" customFormat="1" ht="12.75" customHeight="1" thickBot="1">
      <c r="A5" s="107" t="s">
        <v>19</v>
      </c>
      <c r="B5" s="108">
        <v>1</v>
      </c>
      <c r="C5" s="109">
        <v>2</v>
      </c>
      <c r="D5" s="109">
        <v>3</v>
      </c>
      <c r="E5" s="109">
        <v>4</v>
      </c>
      <c r="F5" s="109">
        <v>5</v>
      </c>
      <c r="G5" s="109">
        <v>6</v>
      </c>
      <c r="H5" s="109">
        <v>7</v>
      </c>
      <c r="I5" s="109">
        <v>8</v>
      </c>
      <c r="J5" s="109">
        <v>9</v>
      </c>
      <c r="K5" s="109">
        <v>10</v>
      </c>
      <c r="L5" s="109">
        <v>11</v>
      </c>
      <c r="M5" s="109">
        <v>12</v>
      </c>
      <c r="N5" s="109">
        <v>13</v>
      </c>
      <c r="O5" s="109">
        <v>14</v>
      </c>
      <c r="P5" s="109">
        <v>15</v>
      </c>
      <c r="Q5" s="109">
        <v>16</v>
      </c>
      <c r="R5" s="109">
        <v>17</v>
      </c>
      <c r="S5" s="109">
        <v>18</v>
      </c>
      <c r="T5" s="109">
        <v>19</v>
      </c>
      <c r="U5" s="109">
        <v>20</v>
      </c>
      <c r="V5" s="109">
        <v>21</v>
      </c>
      <c r="W5" s="109">
        <v>22</v>
      </c>
      <c r="X5" s="109">
        <v>23</v>
      </c>
      <c r="Y5" s="109">
        <v>24</v>
      </c>
      <c r="Z5" s="109">
        <v>25</v>
      </c>
      <c r="AA5" s="109">
        <v>26</v>
      </c>
      <c r="AB5" s="109">
        <v>27</v>
      </c>
      <c r="AC5" s="109">
        <v>28</v>
      </c>
      <c r="AD5" s="109">
        <v>29</v>
      </c>
      <c r="AE5" s="109">
        <v>30</v>
      </c>
      <c r="AF5" s="110">
        <v>31</v>
      </c>
      <c r="AG5" s="111"/>
      <c r="AH5" s="112" t="s">
        <v>31</v>
      </c>
      <c r="AI5" s="112" t="s">
        <v>86</v>
      </c>
      <c r="AJ5" s="112" t="s">
        <v>86</v>
      </c>
      <c r="AK5" s="105"/>
      <c r="AL5" s="113"/>
      <c r="AM5" s="113"/>
    </row>
    <row r="6" spans="1:58" s="104" customFormat="1" ht="13.5" thickTop="1">
      <c r="A6" s="183" t="s">
        <v>128</v>
      </c>
      <c r="B6" s="113" t="str">
        <f>IF(COUNTA(ngay01!R4)&gt;0,ngay01!R4," ")</f>
        <v xml:space="preserve"> </v>
      </c>
      <c r="C6" s="113" t="str">
        <f>IF(COUNTA(ngay02!R4)&gt;0,ngay02!R4," ")</f>
        <v xml:space="preserve"> </v>
      </c>
      <c r="D6" s="113" t="str">
        <f>IF(COUNTA(ngay03!R4)&gt;0,ngay03!R4," ")</f>
        <v xml:space="preserve"> </v>
      </c>
      <c r="E6" s="113" t="str">
        <f>IF(COUNTA(ngay04!R4)&gt;0,ngay04!R4," ")</f>
        <v xml:space="preserve"> </v>
      </c>
      <c r="F6" s="113" t="str">
        <f>IF(COUNTA(ngay05!R4)&gt;0,ngay05!R4," ")</f>
        <v xml:space="preserve"> </v>
      </c>
      <c r="G6" s="113" t="str">
        <f>IF(COUNTA(ngay06!R4)&gt;0,ngay06!R4," ")</f>
        <v xml:space="preserve"> </v>
      </c>
      <c r="H6" s="113" t="str">
        <f>IF(COUNTA(ngay07!R4)&gt;0,ngay07!R4," ")</f>
        <v xml:space="preserve"> </v>
      </c>
      <c r="I6" s="113" t="str">
        <f>IF(COUNTA(ngay08!R4)&gt;0,ngay08!R4," ")</f>
        <v xml:space="preserve"> </v>
      </c>
      <c r="J6" s="113" t="str">
        <f>IF(COUNTA(ngay09!R4)&gt;0,ngay09!R4," ")</f>
        <v xml:space="preserve"> </v>
      </c>
      <c r="K6" s="113" t="str">
        <f>IF(COUNTA(ngay10!R4)&gt;0,ngay10!R4," ")</f>
        <v xml:space="preserve"> </v>
      </c>
      <c r="L6" s="113" t="str">
        <f>IF(COUNTA(ngay11!R4)&gt;0,ngay11!R4," ")</f>
        <v xml:space="preserve"> </v>
      </c>
      <c r="M6" s="113" t="str">
        <f>IF(COUNTA(ngay12!R4)&gt;0,ngay12!R4," ")</f>
        <v xml:space="preserve"> </v>
      </c>
      <c r="N6" s="113" t="str">
        <f>IF(COUNTA(ngay13!R4)&gt;0,ngay13!R4," ")</f>
        <v xml:space="preserve"> </v>
      </c>
      <c r="O6" s="113" t="str">
        <f>IF(COUNTA(ngay14!R4)&gt;0,ngay14!R4," ")</f>
        <v xml:space="preserve"> </v>
      </c>
      <c r="P6" s="113" t="str">
        <f>IF(COUNTA(ngay15!R4)&gt;0,ngay15!R4," ")</f>
        <v xml:space="preserve"> </v>
      </c>
      <c r="Q6" s="113" t="str">
        <f>IF(COUNTA(ngay16!R4)&gt;0,ngay16!R4," ")</f>
        <v xml:space="preserve"> </v>
      </c>
      <c r="R6" s="113" t="str">
        <f>IF(COUNTA(ngay17!R4)&gt;0,ngay17!R4," ")</f>
        <v xml:space="preserve"> </v>
      </c>
      <c r="S6" s="113" t="str">
        <f>IF(COUNTA(ngay18!R4)&gt;0,ngay18!R4," ")</f>
        <v xml:space="preserve"> </v>
      </c>
      <c r="T6" s="113" t="str">
        <f>IF(COUNTA(ngay19!R4)&gt;0,ngay19!R4," ")</f>
        <v xml:space="preserve"> </v>
      </c>
      <c r="U6" s="113" t="str">
        <f>IF(COUNTA(ngay20!R4)&gt;0,ngay20!R4," ")</f>
        <v xml:space="preserve"> </v>
      </c>
      <c r="V6" s="113" t="str">
        <f>IF(COUNTA(ngay21!R4)&gt;0,ngay21!R4," ")</f>
        <v xml:space="preserve"> </v>
      </c>
      <c r="W6" s="113" t="str">
        <f>IF(COUNTA(ngay22!R4)&gt;0,ngay22!R4," ")</f>
        <v xml:space="preserve"> </v>
      </c>
      <c r="X6" s="113" t="str">
        <f>IF(COUNTA(ngay23!R4)&gt;0,ngay23!R4," ")</f>
        <v xml:space="preserve"> </v>
      </c>
      <c r="Y6" s="113" t="str">
        <f>IF(COUNTA(ngay24!R4)&gt;0,ngay24!R4," ")</f>
        <v xml:space="preserve"> </v>
      </c>
      <c r="Z6" s="113" t="str">
        <f>IF(COUNTA(ngay25!R4)&gt;0,ngay25!R4," ")</f>
        <v xml:space="preserve"> </v>
      </c>
      <c r="AA6" s="113" t="str">
        <f>IF(COUNTA(ngay26!R4)&gt;0,ngay26!R4," ")</f>
        <v xml:space="preserve"> </v>
      </c>
      <c r="AB6" s="113" t="str">
        <f>IF(COUNTA(ngay27!R4)&gt;0,ngay27!R4," ")</f>
        <v xml:space="preserve"> </v>
      </c>
      <c r="AC6" s="113" t="str">
        <f>IF(COUNTA(ngay28!R4)&gt;0,ngay28!R4," ")</f>
        <v xml:space="preserve"> </v>
      </c>
      <c r="AD6" s="113" t="str">
        <f>IF(COUNTA(ngay29!R4)&gt;0,ngay29!R4," ")</f>
        <v xml:space="preserve"> </v>
      </c>
      <c r="AE6" s="113" t="str">
        <f>IF(COUNTA(ngay30!R4)&gt;0,ngay30!R4," ")</f>
        <v xml:space="preserve"> </v>
      </c>
      <c r="AF6" s="113" t="str">
        <f>IF(COUNTA(ngay31!R4)&gt;0,ngay31!R4," ")</f>
        <v xml:space="preserve"> </v>
      </c>
      <c r="AG6" s="104">
        <f>SUM(B6:AF6)</f>
        <v>0</v>
      </c>
      <c r="AH6" s="104">
        <f>COUNTIF(B6:AF6,"&gt;0")</f>
        <v>0</v>
      </c>
      <c r="AI6" s="104">
        <f>MAX(B6:AF6)</f>
        <v>0</v>
      </c>
      <c r="AJ6" s="9" t="str">
        <f>IF($AI6&gt;0,INDEX($B$5:$AF$5,1,MATCH($AI6,$B6:$AF6,0)),"")</f>
        <v/>
      </c>
    </row>
    <row r="7" spans="1:58" s="104" customFormat="1" ht="12.75">
      <c r="A7" s="183" t="s">
        <v>129</v>
      </c>
      <c r="B7" s="113" t="str">
        <f>IF(COUNTA(ngay01!R5)&gt;0,ngay01!R5," ")</f>
        <v xml:space="preserve"> </v>
      </c>
      <c r="C7" s="113" t="str">
        <f>IF(COUNTA(ngay02!R5)&gt;0,ngay02!R5," ")</f>
        <v xml:space="preserve"> </v>
      </c>
      <c r="D7" s="113" t="str">
        <f>IF(COUNTA(ngay03!R5)&gt;0,ngay03!R5," ")</f>
        <v xml:space="preserve"> </v>
      </c>
      <c r="E7" s="113" t="str">
        <f>IF(COUNTA(ngay04!R5)&gt;0,ngay04!R5," ")</f>
        <v xml:space="preserve"> </v>
      </c>
      <c r="F7" s="113" t="str">
        <f>IF(COUNTA(ngay05!R5)&gt;0,ngay05!R5," ")</f>
        <v xml:space="preserve"> </v>
      </c>
      <c r="G7" s="113" t="str">
        <f>IF(COUNTA(ngay06!R5)&gt;0,ngay06!R5," ")</f>
        <v xml:space="preserve"> </v>
      </c>
      <c r="H7" s="113" t="str">
        <f>IF(COUNTA(ngay07!R5)&gt;0,ngay07!R5," ")</f>
        <v xml:space="preserve"> </v>
      </c>
      <c r="I7" s="113" t="str">
        <f>IF(COUNTA(ngay08!R5)&gt;0,ngay08!R5," ")</f>
        <v xml:space="preserve"> </v>
      </c>
      <c r="J7" s="113" t="str">
        <f>IF(COUNTA(ngay09!R5)&gt;0,ngay09!R5," ")</f>
        <v xml:space="preserve"> </v>
      </c>
      <c r="K7" s="113" t="str">
        <f>IF(COUNTA(ngay10!R5)&gt;0,ngay10!R5," ")</f>
        <v xml:space="preserve"> </v>
      </c>
      <c r="L7" s="113" t="str">
        <f>IF(COUNTA(ngay11!R5)&gt;0,ngay11!R5," ")</f>
        <v xml:space="preserve"> </v>
      </c>
      <c r="M7" s="113" t="str">
        <f>IF(COUNTA(ngay12!R5)&gt;0,ngay12!R5," ")</f>
        <v xml:space="preserve"> </v>
      </c>
      <c r="N7" s="113" t="str">
        <f>IF(COUNTA(ngay13!R5)&gt;0,ngay13!R5," ")</f>
        <v xml:space="preserve"> </v>
      </c>
      <c r="O7" s="113" t="str">
        <f>IF(COUNTA(ngay14!R5)&gt;0,ngay14!R5," ")</f>
        <v xml:space="preserve"> </v>
      </c>
      <c r="P7" s="113" t="str">
        <f>IF(COUNTA(ngay15!R5)&gt;0,ngay15!R5," ")</f>
        <v xml:space="preserve"> </v>
      </c>
      <c r="Q7" s="113" t="str">
        <f>IF(COUNTA(ngay16!R5)&gt;0,ngay16!R5," ")</f>
        <v xml:space="preserve"> </v>
      </c>
      <c r="R7" s="113" t="str">
        <f>IF(COUNTA(ngay17!R5)&gt;0,ngay17!R5," ")</f>
        <v xml:space="preserve"> </v>
      </c>
      <c r="S7" s="113" t="str">
        <f>IF(COUNTA(ngay18!R5)&gt;0,ngay18!R5," ")</f>
        <v xml:space="preserve"> </v>
      </c>
      <c r="T7" s="113" t="str">
        <f>IF(COUNTA(ngay19!R5)&gt;0,ngay19!R5," ")</f>
        <v xml:space="preserve"> </v>
      </c>
      <c r="U7" s="113" t="str">
        <f>IF(COUNTA(ngay20!R5)&gt;0,ngay20!R5," ")</f>
        <v xml:space="preserve"> </v>
      </c>
      <c r="V7" s="113" t="str">
        <f>IF(COUNTA(ngay21!R5)&gt;0,ngay21!R5," ")</f>
        <v xml:space="preserve"> </v>
      </c>
      <c r="W7" s="113" t="str">
        <f>IF(COUNTA(ngay22!R5)&gt;0,ngay22!R5," ")</f>
        <v xml:space="preserve"> </v>
      </c>
      <c r="X7" s="113" t="str">
        <f>IF(COUNTA(ngay23!R5)&gt;0,ngay23!R5," ")</f>
        <v xml:space="preserve"> </v>
      </c>
      <c r="Y7" s="113" t="str">
        <f>IF(COUNTA(ngay24!R5)&gt;0,ngay24!R5," ")</f>
        <v xml:space="preserve"> </v>
      </c>
      <c r="Z7" s="113" t="str">
        <f>IF(COUNTA(ngay25!R5)&gt;0,ngay25!R5," ")</f>
        <v xml:space="preserve"> </v>
      </c>
      <c r="AA7" s="113" t="str">
        <f>IF(COUNTA(ngay26!R5)&gt;0,ngay26!R5," ")</f>
        <v xml:space="preserve"> </v>
      </c>
      <c r="AB7" s="113" t="str">
        <f>IF(COUNTA(ngay27!R5)&gt;0,ngay27!R5," ")</f>
        <v xml:space="preserve"> </v>
      </c>
      <c r="AC7" s="113" t="str">
        <f>IF(COUNTA(ngay28!R5)&gt;0,ngay28!R5," ")</f>
        <v xml:space="preserve"> </v>
      </c>
      <c r="AD7" s="113" t="str">
        <f>IF(COUNTA(ngay29!R5)&gt;0,ngay29!R5," ")</f>
        <v xml:space="preserve"> </v>
      </c>
      <c r="AE7" s="113" t="str">
        <f>IF(COUNTA(ngay30!R5)&gt;0,ngay30!R5," ")</f>
        <v xml:space="preserve"> </v>
      </c>
      <c r="AF7" s="113" t="str">
        <f>IF(COUNTA(ngay31!R5)&gt;0,ngay31!R5," ")</f>
        <v xml:space="preserve"> </v>
      </c>
      <c r="AG7" s="104">
        <f>SUM(B7:AF7)</f>
        <v>0</v>
      </c>
      <c r="AH7" s="104">
        <f>COUNTIF(B7:AF7,"&gt;0")</f>
        <v>0</v>
      </c>
      <c r="AI7" s="104">
        <f>MAX(B7:AF7)</f>
        <v>0</v>
      </c>
      <c r="AJ7" s="9" t="str">
        <f t="shared" ref="AJ7:AJ28" si="0">IF($AI7&gt;0,INDEX($B$5:$AF$5,1,MATCH($AI7,$B7:$AF7,0)),"")</f>
        <v/>
      </c>
    </row>
    <row r="8" spans="1:58" s="104" customFormat="1" ht="12.75">
      <c r="A8" s="184" t="s">
        <v>130</v>
      </c>
      <c r="B8" s="113" t="str">
        <f>IF(COUNTA(ngay01!R6)&gt;0,ngay01!R6," ")</f>
        <v xml:space="preserve"> </v>
      </c>
      <c r="C8" s="113" t="str">
        <f>IF(COUNTA(ngay02!R6)&gt;0,ngay02!R6," ")</f>
        <v xml:space="preserve"> </v>
      </c>
      <c r="D8" s="113" t="str">
        <f>IF(COUNTA(ngay03!R6)&gt;0,ngay03!R6," ")</f>
        <v xml:space="preserve"> </v>
      </c>
      <c r="E8" s="113" t="str">
        <f>IF(COUNTA(ngay04!R6)&gt;0,ngay04!R6," ")</f>
        <v xml:space="preserve"> </v>
      </c>
      <c r="F8" s="113" t="str">
        <f>IF(COUNTA(ngay05!R6)&gt;0,ngay05!R6," ")</f>
        <v xml:space="preserve"> </v>
      </c>
      <c r="G8" s="113" t="str">
        <f>IF(COUNTA(ngay06!R6)&gt;0,ngay06!R6," ")</f>
        <v xml:space="preserve"> </v>
      </c>
      <c r="H8" s="113" t="str">
        <f>IF(COUNTA(ngay07!R6)&gt;0,ngay07!R6," ")</f>
        <v xml:space="preserve"> </v>
      </c>
      <c r="I8" s="113" t="str">
        <f>IF(COUNTA(ngay08!R6)&gt;0,ngay08!R6," ")</f>
        <v xml:space="preserve"> </v>
      </c>
      <c r="J8" s="113" t="str">
        <f>IF(COUNTA(ngay09!R6)&gt;0,ngay09!R6," ")</f>
        <v xml:space="preserve"> </v>
      </c>
      <c r="K8" s="113" t="str">
        <f>IF(COUNTA(ngay10!R6)&gt;0,ngay10!R6," ")</f>
        <v xml:space="preserve"> </v>
      </c>
      <c r="L8" s="113" t="str">
        <f>IF(COUNTA(ngay11!R6)&gt;0,ngay11!R6," ")</f>
        <v xml:space="preserve"> </v>
      </c>
      <c r="M8" s="113" t="str">
        <f>IF(COUNTA(ngay12!R6)&gt;0,ngay12!R6," ")</f>
        <v xml:space="preserve"> </v>
      </c>
      <c r="N8" s="113" t="str">
        <f>IF(COUNTA(ngay13!R6)&gt;0,ngay13!R6," ")</f>
        <v xml:space="preserve"> </v>
      </c>
      <c r="O8" s="113" t="str">
        <f>IF(COUNTA(ngay14!R6)&gt;0,ngay14!R6," ")</f>
        <v xml:space="preserve"> </v>
      </c>
      <c r="P8" s="113" t="str">
        <f>IF(COUNTA(ngay15!R6)&gt;0,ngay15!R6," ")</f>
        <v xml:space="preserve"> </v>
      </c>
      <c r="Q8" s="113" t="str">
        <f>IF(COUNTA(ngay16!R6)&gt;0,ngay16!R6," ")</f>
        <v xml:space="preserve"> </v>
      </c>
      <c r="R8" s="113" t="str">
        <f>IF(COUNTA(ngay17!R6)&gt;0,ngay17!R6," ")</f>
        <v xml:space="preserve"> </v>
      </c>
      <c r="S8" s="113" t="str">
        <f>IF(COUNTA(ngay18!R6)&gt;0,ngay18!R6," ")</f>
        <v xml:space="preserve"> </v>
      </c>
      <c r="T8" s="113" t="str">
        <f>IF(COUNTA(ngay19!R6)&gt;0,ngay19!R6," ")</f>
        <v xml:space="preserve"> </v>
      </c>
      <c r="U8" s="113" t="str">
        <f>IF(COUNTA(ngay20!R6)&gt;0,ngay20!R6," ")</f>
        <v xml:space="preserve"> </v>
      </c>
      <c r="V8" s="113" t="str">
        <f>IF(COUNTA(ngay21!R6)&gt;0,ngay21!R6," ")</f>
        <v xml:space="preserve"> </v>
      </c>
      <c r="W8" s="113" t="str">
        <f>IF(COUNTA(ngay22!R6)&gt;0,ngay22!R6," ")</f>
        <v xml:space="preserve"> </v>
      </c>
      <c r="X8" s="113" t="str">
        <f>IF(COUNTA(ngay23!R6)&gt;0,ngay23!R6," ")</f>
        <v xml:space="preserve"> </v>
      </c>
      <c r="Y8" s="113" t="str">
        <f>IF(COUNTA(ngay24!R6)&gt;0,ngay24!R6," ")</f>
        <v xml:space="preserve"> </v>
      </c>
      <c r="Z8" s="113" t="str">
        <f>IF(COUNTA(ngay25!R6)&gt;0,ngay25!R6," ")</f>
        <v xml:space="preserve"> </v>
      </c>
      <c r="AA8" s="113" t="str">
        <f>IF(COUNTA(ngay26!R6)&gt;0,ngay26!R6," ")</f>
        <v xml:space="preserve"> </v>
      </c>
      <c r="AB8" s="113" t="str">
        <f>IF(COUNTA(ngay27!R6)&gt;0,ngay27!R6," ")</f>
        <v xml:space="preserve"> </v>
      </c>
      <c r="AC8" s="113" t="str">
        <f>IF(COUNTA(ngay28!R6)&gt;0,ngay28!R6," ")</f>
        <v xml:space="preserve"> </v>
      </c>
      <c r="AD8" s="113" t="str">
        <f>IF(COUNTA(ngay29!R6)&gt;0,ngay29!R6," ")</f>
        <v xml:space="preserve"> </v>
      </c>
      <c r="AE8" s="113" t="str">
        <f>IF(COUNTA(ngay30!R6)&gt;0,ngay30!R6," ")</f>
        <v xml:space="preserve"> </v>
      </c>
      <c r="AF8" s="113" t="str">
        <f>IF(COUNTA(ngay31!R6)&gt;0,ngay31!R6," ")</f>
        <v xml:space="preserve"> </v>
      </c>
      <c r="AG8" s="104">
        <f t="shared" ref="AG8:AG28" si="1">SUM(B8:AF8)</f>
        <v>0</v>
      </c>
      <c r="AH8" s="104">
        <f t="shared" ref="AH8:AH28" si="2">COUNTIF(B8:AF8,"&gt;0")</f>
        <v>0</v>
      </c>
      <c r="AI8" s="104">
        <f t="shared" ref="AI8:AI28" si="3">MAX(B8:AF8)</f>
        <v>0</v>
      </c>
      <c r="AJ8" s="9" t="str">
        <f t="shared" si="0"/>
        <v/>
      </c>
    </row>
    <row r="9" spans="1:58" s="104" customFormat="1" ht="12.75">
      <c r="A9" s="183" t="s">
        <v>131</v>
      </c>
      <c r="B9" s="113" t="str">
        <f>IF(COUNTA(ngay01!R7)&gt;0,ngay01!R7," ")</f>
        <v xml:space="preserve"> </v>
      </c>
      <c r="C9" s="113" t="str">
        <f>IF(COUNTA(ngay02!R7)&gt;0,ngay02!R7," ")</f>
        <v xml:space="preserve"> </v>
      </c>
      <c r="D9" s="113" t="str">
        <f>IF(COUNTA(ngay03!R7)&gt;0,ngay03!R7," ")</f>
        <v xml:space="preserve"> </v>
      </c>
      <c r="E9" s="113" t="str">
        <f>IF(COUNTA(ngay04!R7)&gt;0,ngay04!R7," ")</f>
        <v xml:space="preserve"> </v>
      </c>
      <c r="F9" s="113" t="str">
        <f>IF(COUNTA(ngay05!R7)&gt;0,ngay05!R7," ")</f>
        <v xml:space="preserve"> </v>
      </c>
      <c r="G9" s="113" t="str">
        <f>IF(COUNTA(ngay06!R7)&gt;0,ngay06!R7," ")</f>
        <v xml:space="preserve"> </v>
      </c>
      <c r="H9" s="113" t="str">
        <f>IF(COUNTA(ngay07!R7)&gt;0,ngay07!R7," ")</f>
        <v xml:space="preserve"> </v>
      </c>
      <c r="I9" s="113" t="str">
        <f>IF(COUNTA(ngay08!R7)&gt;0,ngay08!R7," ")</f>
        <v xml:space="preserve"> </v>
      </c>
      <c r="J9" s="113" t="str">
        <f>IF(COUNTA(ngay09!R7)&gt;0,ngay09!R7," ")</f>
        <v xml:space="preserve"> </v>
      </c>
      <c r="K9" s="113" t="str">
        <f>IF(COUNTA(ngay10!R7)&gt;0,ngay10!R7," ")</f>
        <v xml:space="preserve"> </v>
      </c>
      <c r="L9" s="113" t="str">
        <f>IF(COUNTA(ngay11!R7)&gt;0,ngay11!R7," ")</f>
        <v xml:space="preserve"> </v>
      </c>
      <c r="M9" s="113" t="str">
        <f>IF(COUNTA(ngay12!R7)&gt;0,ngay12!R7," ")</f>
        <v xml:space="preserve"> </v>
      </c>
      <c r="N9" s="113" t="str">
        <f>IF(COUNTA(ngay13!R7)&gt;0,ngay13!R7," ")</f>
        <v xml:space="preserve"> </v>
      </c>
      <c r="O9" s="113" t="str">
        <f>IF(COUNTA(ngay14!R7)&gt;0,ngay14!R7," ")</f>
        <v xml:space="preserve"> </v>
      </c>
      <c r="P9" s="113" t="str">
        <f>IF(COUNTA(ngay15!R7)&gt;0,ngay15!R7," ")</f>
        <v xml:space="preserve"> </v>
      </c>
      <c r="Q9" s="113" t="str">
        <f>IF(COUNTA(ngay16!R7)&gt;0,ngay16!R7," ")</f>
        <v xml:space="preserve"> </v>
      </c>
      <c r="R9" s="113" t="str">
        <f>IF(COUNTA(ngay17!R7)&gt;0,ngay17!R7," ")</f>
        <v xml:space="preserve"> </v>
      </c>
      <c r="S9" s="113" t="str">
        <f>IF(COUNTA(ngay18!R7)&gt;0,ngay18!R7," ")</f>
        <v xml:space="preserve"> </v>
      </c>
      <c r="T9" s="113" t="str">
        <f>IF(COUNTA(ngay19!R7)&gt;0,ngay19!R7," ")</f>
        <v xml:space="preserve"> </v>
      </c>
      <c r="U9" s="113" t="str">
        <f>IF(COUNTA(ngay20!R7)&gt;0,ngay20!R7," ")</f>
        <v xml:space="preserve"> </v>
      </c>
      <c r="V9" s="113" t="str">
        <f>IF(COUNTA(ngay21!R7)&gt;0,ngay21!R7," ")</f>
        <v xml:space="preserve"> </v>
      </c>
      <c r="W9" s="113" t="str">
        <f>IF(COUNTA(ngay22!R7)&gt;0,ngay22!R7," ")</f>
        <v xml:space="preserve"> </v>
      </c>
      <c r="X9" s="113" t="str">
        <f>IF(COUNTA(ngay23!R7)&gt;0,ngay23!R7," ")</f>
        <v xml:space="preserve"> </v>
      </c>
      <c r="Y9" s="113" t="str">
        <f>IF(COUNTA(ngay24!R7)&gt;0,ngay24!R7," ")</f>
        <v xml:space="preserve"> </v>
      </c>
      <c r="Z9" s="113" t="str">
        <f>IF(COUNTA(ngay25!R7)&gt;0,ngay25!R7," ")</f>
        <v xml:space="preserve"> </v>
      </c>
      <c r="AA9" s="113" t="str">
        <f>IF(COUNTA(ngay26!R7)&gt;0,ngay26!R7," ")</f>
        <v xml:space="preserve"> </v>
      </c>
      <c r="AB9" s="113" t="str">
        <f>IF(COUNTA(ngay27!R7)&gt;0,ngay27!R7," ")</f>
        <v xml:space="preserve"> </v>
      </c>
      <c r="AC9" s="113" t="str">
        <f>IF(COUNTA(ngay28!R7)&gt;0,ngay28!R7," ")</f>
        <v xml:space="preserve"> </v>
      </c>
      <c r="AD9" s="113" t="str">
        <f>IF(COUNTA(ngay29!R7)&gt;0,ngay29!R7," ")</f>
        <v xml:space="preserve"> </v>
      </c>
      <c r="AE9" s="113" t="str">
        <f>IF(COUNTA(ngay30!R7)&gt;0,ngay30!R7," ")</f>
        <v xml:space="preserve"> </v>
      </c>
      <c r="AF9" s="113" t="str">
        <f>IF(COUNTA(ngay31!R7)&gt;0,ngay31!R7," ")</f>
        <v xml:space="preserve"> </v>
      </c>
      <c r="AG9" s="104">
        <f t="shared" si="1"/>
        <v>0</v>
      </c>
      <c r="AH9" s="104">
        <f t="shared" si="2"/>
        <v>0</v>
      </c>
      <c r="AI9" s="104">
        <f t="shared" si="3"/>
        <v>0</v>
      </c>
      <c r="AJ9" s="9" t="str">
        <f t="shared" si="0"/>
        <v/>
      </c>
    </row>
    <row r="10" spans="1:58" s="104" customFormat="1" ht="12.75">
      <c r="A10" s="183" t="s">
        <v>132</v>
      </c>
      <c r="B10" s="113" t="str">
        <f>IF(COUNTA(ngay01!R8)&gt;0,ngay01!R8," ")</f>
        <v xml:space="preserve"> </v>
      </c>
      <c r="C10" s="113" t="str">
        <f>IF(COUNTA(ngay02!R8)&gt;0,ngay02!R8," ")</f>
        <v xml:space="preserve"> </v>
      </c>
      <c r="D10" s="113" t="str">
        <f>IF(COUNTA(ngay03!R8)&gt;0,ngay03!R8," ")</f>
        <v xml:space="preserve"> </v>
      </c>
      <c r="E10" s="113" t="str">
        <f>IF(COUNTA(ngay04!R8)&gt;0,ngay04!R8," ")</f>
        <v xml:space="preserve"> </v>
      </c>
      <c r="F10" s="113" t="str">
        <f>IF(COUNTA(ngay05!R8)&gt;0,ngay05!R8," ")</f>
        <v xml:space="preserve"> </v>
      </c>
      <c r="G10" s="113" t="str">
        <f>IF(COUNTA(ngay06!R8)&gt;0,ngay06!R8," ")</f>
        <v xml:space="preserve"> </v>
      </c>
      <c r="H10" s="113" t="str">
        <f>IF(COUNTA(ngay07!R8)&gt;0,ngay07!R8," ")</f>
        <v xml:space="preserve"> </v>
      </c>
      <c r="I10" s="113" t="str">
        <f>IF(COUNTA(ngay08!R8)&gt;0,ngay08!R8," ")</f>
        <v xml:space="preserve"> </v>
      </c>
      <c r="J10" s="113" t="str">
        <f>IF(COUNTA(ngay09!R8)&gt;0,ngay09!R8," ")</f>
        <v xml:space="preserve"> </v>
      </c>
      <c r="K10" s="113" t="str">
        <f>IF(COUNTA(ngay10!R8)&gt;0,ngay10!R8," ")</f>
        <v xml:space="preserve"> </v>
      </c>
      <c r="L10" s="113" t="str">
        <f>IF(COUNTA(ngay11!R8)&gt;0,ngay11!R8," ")</f>
        <v xml:space="preserve"> </v>
      </c>
      <c r="M10" s="113" t="str">
        <f>IF(COUNTA(ngay12!R8)&gt;0,ngay12!R8," ")</f>
        <v xml:space="preserve"> </v>
      </c>
      <c r="N10" s="113" t="str">
        <f>IF(COUNTA(ngay13!R8)&gt;0,ngay13!R8," ")</f>
        <v xml:space="preserve"> </v>
      </c>
      <c r="O10" s="113" t="str">
        <f>IF(COUNTA(ngay14!R8)&gt;0,ngay14!R8," ")</f>
        <v xml:space="preserve"> </v>
      </c>
      <c r="P10" s="113" t="str">
        <f>IF(COUNTA(ngay15!R8)&gt;0,ngay15!R8," ")</f>
        <v xml:space="preserve"> </v>
      </c>
      <c r="Q10" s="113" t="str">
        <f>IF(COUNTA(ngay16!R8)&gt;0,ngay16!R8," ")</f>
        <v xml:space="preserve"> </v>
      </c>
      <c r="R10" s="113" t="str">
        <f>IF(COUNTA(ngay17!R8)&gt;0,ngay17!R8," ")</f>
        <v xml:space="preserve"> </v>
      </c>
      <c r="S10" s="113" t="str">
        <f>IF(COUNTA(ngay18!R8)&gt;0,ngay18!R8," ")</f>
        <v xml:space="preserve"> </v>
      </c>
      <c r="T10" s="113" t="str">
        <f>IF(COUNTA(ngay19!R8)&gt;0,ngay19!R8," ")</f>
        <v xml:space="preserve"> </v>
      </c>
      <c r="U10" s="113" t="str">
        <f>IF(COUNTA(ngay20!R8)&gt;0,ngay20!R8," ")</f>
        <v xml:space="preserve"> </v>
      </c>
      <c r="V10" s="113" t="str">
        <f>IF(COUNTA(ngay21!R8)&gt;0,ngay21!R8," ")</f>
        <v xml:space="preserve"> </v>
      </c>
      <c r="W10" s="113" t="str">
        <f>IF(COUNTA(ngay22!R8)&gt;0,ngay22!R8," ")</f>
        <v xml:space="preserve"> </v>
      </c>
      <c r="X10" s="113" t="str">
        <f>IF(COUNTA(ngay23!R8)&gt;0,ngay23!R8," ")</f>
        <v xml:space="preserve"> </v>
      </c>
      <c r="Y10" s="113" t="str">
        <f>IF(COUNTA(ngay24!R8)&gt;0,ngay24!R8," ")</f>
        <v xml:space="preserve"> </v>
      </c>
      <c r="Z10" s="113" t="str">
        <f>IF(COUNTA(ngay25!R8)&gt;0,ngay25!R8," ")</f>
        <v xml:space="preserve"> </v>
      </c>
      <c r="AA10" s="113" t="str">
        <f>IF(COUNTA(ngay26!R8)&gt;0,ngay26!R8," ")</f>
        <v xml:space="preserve"> </v>
      </c>
      <c r="AB10" s="113" t="str">
        <f>IF(COUNTA(ngay27!R8)&gt;0,ngay27!R8," ")</f>
        <v xml:space="preserve"> </v>
      </c>
      <c r="AC10" s="113" t="str">
        <f>IF(COUNTA(ngay28!R8)&gt;0,ngay28!R8," ")</f>
        <v xml:space="preserve"> </v>
      </c>
      <c r="AD10" s="113" t="str">
        <f>IF(COUNTA(ngay29!R8)&gt;0,ngay29!R8," ")</f>
        <v xml:space="preserve"> </v>
      </c>
      <c r="AE10" s="113" t="str">
        <f>IF(COUNTA(ngay30!R8)&gt;0,ngay30!R8," ")</f>
        <v xml:space="preserve"> </v>
      </c>
      <c r="AF10" s="113" t="str">
        <f>IF(COUNTA(ngay31!R8)&gt;0,ngay31!R8," ")</f>
        <v xml:space="preserve"> </v>
      </c>
      <c r="AG10" s="104">
        <f t="shared" si="1"/>
        <v>0</v>
      </c>
      <c r="AH10" s="104">
        <f t="shared" si="2"/>
        <v>0</v>
      </c>
      <c r="AI10" s="104">
        <f t="shared" si="3"/>
        <v>0</v>
      </c>
      <c r="AJ10" s="9" t="str">
        <f t="shared" si="0"/>
        <v/>
      </c>
    </row>
    <row r="11" spans="1:58" s="104" customFormat="1" ht="12.75">
      <c r="A11" s="183" t="s">
        <v>133</v>
      </c>
      <c r="B11" s="113" t="str">
        <f>IF(COUNTA(ngay01!R9)&gt;0,ngay01!R9," ")</f>
        <v xml:space="preserve"> </v>
      </c>
      <c r="C11" s="113" t="str">
        <f>IF(COUNTA(ngay02!R9)&gt;0,ngay02!R9," ")</f>
        <v xml:space="preserve"> </v>
      </c>
      <c r="D11" s="113" t="str">
        <f>IF(COUNTA(ngay03!R9)&gt;0,ngay03!R9," ")</f>
        <v xml:space="preserve"> </v>
      </c>
      <c r="E11" s="113" t="str">
        <f>IF(COUNTA(ngay04!R9)&gt;0,ngay04!R9," ")</f>
        <v xml:space="preserve"> </v>
      </c>
      <c r="F11" s="113" t="str">
        <f>IF(COUNTA(ngay05!R9)&gt;0,ngay05!R9," ")</f>
        <v xml:space="preserve"> </v>
      </c>
      <c r="G11" s="113" t="str">
        <f>IF(COUNTA(ngay06!R9)&gt;0,ngay06!R9," ")</f>
        <v xml:space="preserve"> </v>
      </c>
      <c r="H11" s="113" t="str">
        <f>IF(COUNTA(ngay07!R9)&gt;0,ngay07!R9," ")</f>
        <v xml:space="preserve"> </v>
      </c>
      <c r="I11" s="113" t="str">
        <f>IF(COUNTA(ngay08!R9)&gt;0,ngay08!R9," ")</f>
        <v xml:space="preserve"> </v>
      </c>
      <c r="J11" s="113" t="str">
        <f>IF(COUNTA(ngay09!R9)&gt;0,ngay09!R9," ")</f>
        <v xml:space="preserve"> </v>
      </c>
      <c r="K11" s="113" t="str">
        <f>IF(COUNTA(ngay10!R9)&gt;0,ngay10!R9," ")</f>
        <v xml:space="preserve"> </v>
      </c>
      <c r="L11" s="113" t="str">
        <f>IF(COUNTA(ngay11!R9)&gt;0,ngay11!R9," ")</f>
        <v xml:space="preserve"> </v>
      </c>
      <c r="M11" s="113" t="str">
        <f>IF(COUNTA(ngay12!R9)&gt;0,ngay12!R9," ")</f>
        <v xml:space="preserve"> </v>
      </c>
      <c r="N11" s="113" t="str">
        <f>IF(COUNTA(ngay13!R9)&gt;0,ngay13!R9," ")</f>
        <v xml:space="preserve"> </v>
      </c>
      <c r="O11" s="113" t="str">
        <f>IF(COUNTA(ngay14!R9)&gt;0,ngay14!R9," ")</f>
        <v xml:space="preserve"> </v>
      </c>
      <c r="P11" s="113" t="str">
        <f>IF(COUNTA(ngay15!R9)&gt;0,ngay15!R9," ")</f>
        <v xml:space="preserve"> </v>
      </c>
      <c r="Q11" s="113" t="str">
        <f>IF(COUNTA(ngay16!R9)&gt;0,ngay16!R9," ")</f>
        <v xml:space="preserve"> </v>
      </c>
      <c r="R11" s="113" t="str">
        <f>IF(COUNTA(ngay17!R9)&gt;0,ngay17!R9," ")</f>
        <v xml:space="preserve"> </v>
      </c>
      <c r="S11" s="113" t="str">
        <f>IF(COUNTA(ngay18!R9)&gt;0,ngay18!R9," ")</f>
        <v xml:space="preserve"> </v>
      </c>
      <c r="T11" s="113" t="str">
        <f>IF(COUNTA(ngay19!R9)&gt;0,ngay19!R9," ")</f>
        <v xml:space="preserve"> </v>
      </c>
      <c r="U11" s="113" t="str">
        <f>IF(COUNTA(ngay20!R9)&gt;0,ngay20!R9," ")</f>
        <v xml:space="preserve"> </v>
      </c>
      <c r="V11" s="113" t="str">
        <f>IF(COUNTA(ngay21!R9)&gt;0,ngay21!R9," ")</f>
        <v xml:space="preserve"> </v>
      </c>
      <c r="W11" s="113" t="str">
        <f>IF(COUNTA(ngay22!R9)&gt;0,ngay22!R9," ")</f>
        <v xml:space="preserve"> </v>
      </c>
      <c r="X11" s="113" t="str">
        <f>IF(COUNTA(ngay23!R9)&gt;0,ngay23!R9," ")</f>
        <v xml:space="preserve"> </v>
      </c>
      <c r="Y11" s="113" t="str">
        <f>IF(COUNTA(ngay24!R9)&gt;0,ngay24!R9," ")</f>
        <v xml:space="preserve"> </v>
      </c>
      <c r="Z11" s="113" t="str">
        <f>IF(COUNTA(ngay25!R9)&gt;0,ngay25!R9," ")</f>
        <v xml:space="preserve"> </v>
      </c>
      <c r="AA11" s="113" t="str">
        <f>IF(COUNTA(ngay26!R9)&gt;0,ngay26!R9," ")</f>
        <v xml:space="preserve"> </v>
      </c>
      <c r="AB11" s="113" t="str">
        <f>IF(COUNTA(ngay27!R9)&gt;0,ngay27!R9," ")</f>
        <v xml:space="preserve"> </v>
      </c>
      <c r="AC11" s="113" t="str">
        <f>IF(COUNTA(ngay28!R9)&gt;0,ngay28!R9," ")</f>
        <v xml:space="preserve"> </v>
      </c>
      <c r="AD11" s="113" t="str">
        <f>IF(COUNTA(ngay29!R9)&gt;0,ngay29!R9," ")</f>
        <v xml:space="preserve"> </v>
      </c>
      <c r="AE11" s="113" t="str">
        <f>IF(COUNTA(ngay30!R9)&gt;0,ngay30!R9," ")</f>
        <v xml:space="preserve"> </v>
      </c>
      <c r="AF11" s="113" t="str">
        <f>IF(COUNTA(ngay31!R9)&gt;0,ngay31!R9," ")</f>
        <v xml:space="preserve"> </v>
      </c>
      <c r="AG11" s="104">
        <f t="shared" si="1"/>
        <v>0</v>
      </c>
      <c r="AH11" s="104">
        <f t="shared" si="2"/>
        <v>0</v>
      </c>
      <c r="AI11" s="104">
        <f t="shared" si="3"/>
        <v>0</v>
      </c>
      <c r="AJ11" s="9" t="str">
        <f t="shared" si="0"/>
        <v/>
      </c>
    </row>
    <row r="12" spans="1:58" s="104" customFormat="1" ht="12.75">
      <c r="A12" s="183" t="s">
        <v>134</v>
      </c>
      <c r="B12" s="113" t="str">
        <f>IF(COUNTA(ngay01!R10)&gt;0,ngay01!R10," ")</f>
        <v xml:space="preserve"> </v>
      </c>
      <c r="C12" s="113" t="str">
        <f>IF(COUNTA(ngay02!R10)&gt;0,ngay02!R10," ")</f>
        <v xml:space="preserve"> </v>
      </c>
      <c r="D12" s="113" t="str">
        <f>IF(COUNTA(ngay03!R10)&gt;0,ngay03!R10," ")</f>
        <v xml:space="preserve"> </v>
      </c>
      <c r="E12" s="113" t="str">
        <f>IF(COUNTA(ngay04!R10)&gt;0,ngay04!R10," ")</f>
        <v xml:space="preserve"> </v>
      </c>
      <c r="F12" s="113" t="str">
        <f>IF(COUNTA(ngay05!R10)&gt;0,ngay05!R10," ")</f>
        <v xml:space="preserve"> </v>
      </c>
      <c r="G12" s="113" t="str">
        <f>IF(COUNTA(ngay06!R10)&gt;0,ngay06!R10," ")</f>
        <v xml:space="preserve"> </v>
      </c>
      <c r="H12" s="113" t="str">
        <f>IF(COUNTA(ngay07!R10)&gt;0,ngay07!R10," ")</f>
        <v xml:space="preserve"> </v>
      </c>
      <c r="I12" s="113" t="str">
        <f>IF(COUNTA(ngay08!R10)&gt;0,ngay08!R10," ")</f>
        <v xml:space="preserve"> </v>
      </c>
      <c r="J12" s="113" t="str">
        <f>IF(COUNTA(ngay09!R10)&gt;0,ngay09!R10," ")</f>
        <v xml:space="preserve"> </v>
      </c>
      <c r="K12" s="113" t="str">
        <f>IF(COUNTA(ngay10!R10)&gt;0,ngay10!R10," ")</f>
        <v xml:space="preserve"> </v>
      </c>
      <c r="L12" s="113" t="str">
        <f>IF(COUNTA(ngay11!R10)&gt;0,ngay11!R10," ")</f>
        <v xml:space="preserve"> </v>
      </c>
      <c r="M12" s="113" t="str">
        <f>IF(COUNTA(ngay12!R10)&gt;0,ngay12!R10," ")</f>
        <v xml:space="preserve"> </v>
      </c>
      <c r="N12" s="113" t="str">
        <f>IF(COUNTA(ngay13!R10)&gt;0,ngay13!R10," ")</f>
        <v xml:space="preserve"> </v>
      </c>
      <c r="O12" s="113" t="str">
        <f>IF(COUNTA(ngay14!R10)&gt;0,ngay14!R10," ")</f>
        <v xml:space="preserve"> </v>
      </c>
      <c r="P12" s="113" t="str">
        <f>IF(COUNTA(ngay15!R10)&gt;0,ngay15!R10," ")</f>
        <v xml:space="preserve"> </v>
      </c>
      <c r="Q12" s="113" t="str">
        <f>IF(COUNTA(ngay16!R10)&gt;0,ngay16!R10," ")</f>
        <v xml:space="preserve"> </v>
      </c>
      <c r="R12" s="113" t="str">
        <f>IF(COUNTA(ngay17!R10)&gt;0,ngay17!R10," ")</f>
        <v xml:space="preserve"> </v>
      </c>
      <c r="S12" s="113" t="str">
        <f>IF(COUNTA(ngay18!R10)&gt;0,ngay18!R10," ")</f>
        <v xml:space="preserve"> </v>
      </c>
      <c r="T12" s="113" t="str">
        <f>IF(COUNTA(ngay19!R10)&gt;0,ngay19!R10," ")</f>
        <v xml:space="preserve"> </v>
      </c>
      <c r="U12" s="113" t="str">
        <f>IF(COUNTA(ngay20!R10)&gt;0,ngay20!R10," ")</f>
        <v xml:space="preserve"> </v>
      </c>
      <c r="V12" s="113" t="str">
        <f>IF(COUNTA(ngay21!R10)&gt;0,ngay21!R10," ")</f>
        <v xml:space="preserve"> </v>
      </c>
      <c r="W12" s="113" t="str">
        <f>IF(COUNTA(ngay22!R10)&gt;0,ngay22!R10," ")</f>
        <v xml:space="preserve"> </v>
      </c>
      <c r="X12" s="113" t="str">
        <f>IF(COUNTA(ngay23!R10)&gt;0,ngay23!R10," ")</f>
        <v xml:space="preserve"> </v>
      </c>
      <c r="Y12" s="113" t="str">
        <f>IF(COUNTA(ngay24!R10)&gt;0,ngay24!R10," ")</f>
        <v xml:space="preserve"> </v>
      </c>
      <c r="Z12" s="113" t="str">
        <f>IF(COUNTA(ngay25!R10)&gt;0,ngay25!R10," ")</f>
        <v xml:space="preserve"> </v>
      </c>
      <c r="AA12" s="113" t="str">
        <f>IF(COUNTA(ngay26!R10)&gt;0,ngay26!R10," ")</f>
        <v xml:space="preserve"> </v>
      </c>
      <c r="AB12" s="113" t="str">
        <f>IF(COUNTA(ngay27!R10)&gt;0,ngay27!R10," ")</f>
        <v xml:space="preserve"> </v>
      </c>
      <c r="AC12" s="113" t="str">
        <f>IF(COUNTA(ngay28!R10)&gt;0,ngay28!R10," ")</f>
        <v xml:space="preserve"> </v>
      </c>
      <c r="AD12" s="113" t="str">
        <f>IF(COUNTA(ngay29!R10)&gt;0,ngay29!R10," ")</f>
        <v xml:space="preserve"> </v>
      </c>
      <c r="AE12" s="113" t="str">
        <f>IF(COUNTA(ngay30!R10)&gt;0,ngay30!R10," ")</f>
        <v xml:space="preserve"> </v>
      </c>
      <c r="AF12" s="113" t="str">
        <f>IF(COUNTA(ngay31!R10)&gt;0,ngay31!R10," ")</f>
        <v xml:space="preserve"> </v>
      </c>
      <c r="AG12" s="104">
        <f t="shared" si="1"/>
        <v>0</v>
      </c>
      <c r="AH12" s="104">
        <f t="shared" si="2"/>
        <v>0</v>
      </c>
      <c r="AI12" s="104">
        <f t="shared" si="3"/>
        <v>0</v>
      </c>
      <c r="AJ12" s="9" t="str">
        <f t="shared" si="0"/>
        <v/>
      </c>
    </row>
    <row r="13" spans="1:58" s="104" customFormat="1" ht="12.75">
      <c r="A13" s="183" t="s">
        <v>192</v>
      </c>
      <c r="B13" s="113" t="str">
        <f>IF(COUNTA(ngay01!R11)&gt;0,ngay01!R11," ")</f>
        <v xml:space="preserve"> </v>
      </c>
      <c r="C13" s="113" t="str">
        <f>IF(COUNTA(ngay02!R11)&gt;0,ngay02!R11," ")</f>
        <v xml:space="preserve"> </v>
      </c>
      <c r="D13" s="113" t="str">
        <f>IF(COUNTA(ngay03!R11)&gt;0,ngay03!R11," ")</f>
        <v xml:space="preserve"> </v>
      </c>
      <c r="E13" s="113" t="str">
        <f>IF(COUNTA(ngay04!R11)&gt;0,ngay04!R11," ")</f>
        <v xml:space="preserve"> </v>
      </c>
      <c r="F13" s="113" t="str">
        <f>IF(COUNTA(ngay05!R11)&gt;0,ngay05!R11," ")</f>
        <v xml:space="preserve"> </v>
      </c>
      <c r="G13" s="113" t="str">
        <f>IF(COUNTA(ngay06!R11)&gt;0,ngay06!R11," ")</f>
        <v xml:space="preserve"> </v>
      </c>
      <c r="H13" s="113" t="str">
        <f>IF(COUNTA(ngay07!R11)&gt;0,ngay07!R11," ")</f>
        <v xml:space="preserve"> </v>
      </c>
      <c r="I13" s="113" t="str">
        <f>IF(COUNTA(ngay08!R11)&gt;0,ngay08!R11," ")</f>
        <v xml:space="preserve"> </v>
      </c>
      <c r="J13" s="113" t="str">
        <f>IF(COUNTA(ngay09!R11)&gt;0,ngay09!R11," ")</f>
        <v xml:space="preserve"> </v>
      </c>
      <c r="K13" s="113" t="str">
        <f>IF(COUNTA(ngay10!R11)&gt;0,ngay10!R11," ")</f>
        <v xml:space="preserve"> </v>
      </c>
      <c r="L13" s="113" t="str">
        <f>IF(COUNTA(ngay11!R11)&gt;0,ngay11!R11," ")</f>
        <v xml:space="preserve"> </v>
      </c>
      <c r="M13" s="113" t="str">
        <f>IF(COUNTA(ngay12!R11)&gt;0,ngay12!R11," ")</f>
        <v xml:space="preserve"> </v>
      </c>
      <c r="N13" s="113" t="str">
        <f>IF(COUNTA(ngay13!R11)&gt;0,ngay13!R11," ")</f>
        <v xml:space="preserve"> </v>
      </c>
      <c r="O13" s="113" t="str">
        <f>IF(COUNTA(ngay14!R11)&gt;0,ngay14!R11," ")</f>
        <v xml:space="preserve"> </v>
      </c>
      <c r="P13" s="113" t="str">
        <f>IF(COUNTA(ngay15!R11)&gt;0,ngay15!R11," ")</f>
        <v xml:space="preserve"> </v>
      </c>
      <c r="Q13" s="113" t="str">
        <f>IF(COUNTA(ngay16!R11)&gt;0,ngay16!R11," ")</f>
        <v xml:space="preserve"> </v>
      </c>
      <c r="R13" s="113" t="str">
        <f>IF(COUNTA(ngay17!R11)&gt;0,ngay17!R11," ")</f>
        <v xml:space="preserve"> </v>
      </c>
      <c r="S13" s="113" t="str">
        <f>IF(COUNTA(ngay18!R11)&gt;0,ngay18!R11," ")</f>
        <v xml:space="preserve"> </v>
      </c>
      <c r="T13" s="113" t="str">
        <f>IF(COUNTA(ngay19!R11)&gt;0,ngay19!R11," ")</f>
        <v xml:space="preserve"> </v>
      </c>
      <c r="U13" s="113" t="str">
        <f>IF(COUNTA(ngay20!R11)&gt;0,ngay20!R11," ")</f>
        <v xml:space="preserve"> </v>
      </c>
      <c r="V13" s="113" t="str">
        <f>IF(COUNTA(ngay21!R11)&gt;0,ngay21!R11," ")</f>
        <v xml:space="preserve"> </v>
      </c>
      <c r="W13" s="113" t="str">
        <f>IF(COUNTA(ngay22!R11)&gt;0,ngay22!R11," ")</f>
        <v xml:space="preserve"> </v>
      </c>
      <c r="X13" s="113" t="str">
        <f>IF(COUNTA(ngay23!R11)&gt;0,ngay23!R11," ")</f>
        <v xml:space="preserve"> </v>
      </c>
      <c r="Y13" s="113" t="str">
        <f>IF(COUNTA(ngay24!R11)&gt;0,ngay24!R11," ")</f>
        <v xml:space="preserve"> </v>
      </c>
      <c r="Z13" s="113" t="str">
        <f>IF(COUNTA(ngay25!R11)&gt;0,ngay25!R11," ")</f>
        <v xml:space="preserve"> </v>
      </c>
      <c r="AA13" s="113" t="str">
        <f>IF(COUNTA(ngay26!R11)&gt;0,ngay26!R11," ")</f>
        <v xml:space="preserve"> </v>
      </c>
      <c r="AB13" s="113" t="str">
        <f>IF(COUNTA(ngay27!R11)&gt;0,ngay27!R11," ")</f>
        <v xml:space="preserve"> </v>
      </c>
      <c r="AC13" s="113" t="str">
        <f>IF(COUNTA(ngay28!R11)&gt;0,ngay28!R11," ")</f>
        <v xml:space="preserve"> </v>
      </c>
      <c r="AD13" s="113" t="str">
        <f>IF(COUNTA(ngay29!R11)&gt;0,ngay29!R11," ")</f>
        <v xml:space="preserve"> </v>
      </c>
      <c r="AE13" s="113" t="str">
        <f>IF(COUNTA(ngay30!R11)&gt;0,ngay30!R11," ")</f>
        <v xml:space="preserve"> </v>
      </c>
      <c r="AF13" s="113" t="str">
        <f>IF(COUNTA(ngay31!R11)&gt;0,ngay31!R11," ")</f>
        <v xml:space="preserve"> </v>
      </c>
      <c r="AG13" s="104">
        <f t="shared" si="1"/>
        <v>0</v>
      </c>
      <c r="AH13" s="104">
        <f t="shared" si="2"/>
        <v>0</v>
      </c>
      <c r="AI13" s="104">
        <f t="shared" si="3"/>
        <v>0</v>
      </c>
      <c r="AJ13" s="9" t="str">
        <f t="shared" si="0"/>
        <v/>
      </c>
    </row>
    <row r="14" spans="1:58" s="104" customFormat="1" ht="12.75">
      <c r="A14" s="183" t="s">
        <v>135</v>
      </c>
      <c r="B14" s="113" t="str">
        <f>IF(COUNTA(ngay01!R12)&gt;0,ngay01!R12," ")</f>
        <v xml:space="preserve"> </v>
      </c>
      <c r="C14" s="113" t="str">
        <f>IF(COUNTA(ngay02!R12)&gt;0,ngay02!R12," ")</f>
        <v xml:space="preserve"> </v>
      </c>
      <c r="D14" s="113" t="str">
        <f>IF(COUNTA(ngay03!R12)&gt;0,ngay03!R12," ")</f>
        <v xml:space="preserve"> </v>
      </c>
      <c r="E14" s="113" t="str">
        <f>IF(COUNTA(ngay04!R12)&gt;0,ngay04!R12," ")</f>
        <v xml:space="preserve"> </v>
      </c>
      <c r="F14" s="113" t="str">
        <f>IF(COUNTA(ngay05!R12)&gt;0,ngay05!R12," ")</f>
        <v xml:space="preserve"> </v>
      </c>
      <c r="G14" s="113" t="str">
        <f>IF(COUNTA(ngay06!R12)&gt;0,ngay06!R12," ")</f>
        <v xml:space="preserve"> </v>
      </c>
      <c r="H14" s="113" t="str">
        <f>IF(COUNTA(ngay07!R12)&gt;0,ngay07!R12," ")</f>
        <v xml:space="preserve"> </v>
      </c>
      <c r="I14" s="113" t="str">
        <f>IF(COUNTA(ngay08!R12)&gt;0,ngay08!R12," ")</f>
        <v xml:space="preserve"> </v>
      </c>
      <c r="J14" s="113" t="str">
        <f>IF(COUNTA(ngay09!R12)&gt;0,ngay09!R12," ")</f>
        <v xml:space="preserve"> </v>
      </c>
      <c r="K14" s="113" t="str">
        <f>IF(COUNTA(ngay10!R12)&gt;0,ngay10!R12," ")</f>
        <v xml:space="preserve"> </v>
      </c>
      <c r="L14" s="113" t="str">
        <f>IF(COUNTA(ngay11!R12)&gt;0,ngay11!R12," ")</f>
        <v xml:space="preserve"> </v>
      </c>
      <c r="M14" s="113" t="str">
        <f>IF(COUNTA(ngay12!R12)&gt;0,ngay12!R12," ")</f>
        <v xml:space="preserve"> </v>
      </c>
      <c r="N14" s="113" t="str">
        <f>IF(COUNTA(ngay13!R12)&gt;0,ngay13!R12," ")</f>
        <v xml:space="preserve"> </v>
      </c>
      <c r="O14" s="113" t="str">
        <f>IF(COUNTA(ngay14!R12)&gt;0,ngay14!R12," ")</f>
        <v xml:space="preserve"> </v>
      </c>
      <c r="P14" s="113" t="str">
        <f>IF(COUNTA(ngay15!R12)&gt;0,ngay15!R12," ")</f>
        <v xml:space="preserve"> </v>
      </c>
      <c r="Q14" s="113" t="str">
        <f>IF(COUNTA(ngay16!R12)&gt;0,ngay16!R12," ")</f>
        <v xml:space="preserve"> </v>
      </c>
      <c r="R14" s="113" t="str">
        <f>IF(COUNTA(ngay17!R12)&gt;0,ngay17!R12," ")</f>
        <v xml:space="preserve"> </v>
      </c>
      <c r="S14" s="113" t="str">
        <f>IF(COUNTA(ngay18!R12)&gt;0,ngay18!R12," ")</f>
        <v xml:space="preserve"> </v>
      </c>
      <c r="T14" s="113" t="str">
        <f>IF(COUNTA(ngay19!R12)&gt;0,ngay19!R12," ")</f>
        <v xml:space="preserve"> </v>
      </c>
      <c r="U14" s="113" t="str">
        <f>IF(COUNTA(ngay20!R12)&gt;0,ngay20!R12," ")</f>
        <v xml:space="preserve"> </v>
      </c>
      <c r="V14" s="113" t="str">
        <f>IF(COUNTA(ngay21!R12)&gt;0,ngay21!R12," ")</f>
        <v xml:space="preserve"> </v>
      </c>
      <c r="W14" s="113" t="str">
        <f>IF(COUNTA(ngay22!R12)&gt;0,ngay22!R12," ")</f>
        <v xml:space="preserve"> </v>
      </c>
      <c r="X14" s="113" t="str">
        <f>IF(COUNTA(ngay23!R12)&gt;0,ngay23!R12," ")</f>
        <v xml:space="preserve"> </v>
      </c>
      <c r="Y14" s="113" t="str">
        <f>IF(COUNTA(ngay24!R12)&gt;0,ngay24!R12," ")</f>
        <v xml:space="preserve"> </v>
      </c>
      <c r="Z14" s="113" t="str">
        <f>IF(COUNTA(ngay25!R12)&gt;0,ngay25!R12," ")</f>
        <v xml:space="preserve"> </v>
      </c>
      <c r="AA14" s="113" t="str">
        <f>IF(COUNTA(ngay26!R12)&gt;0,ngay26!R12," ")</f>
        <v xml:space="preserve"> </v>
      </c>
      <c r="AB14" s="113" t="str">
        <f>IF(COUNTA(ngay27!R12)&gt;0,ngay27!R12," ")</f>
        <v xml:space="preserve"> </v>
      </c>
      <c r="AC14" s="113" t="str">
        <f>IF(COUNTA(ngay28!R12)&gt;0,ngay28!R12," ")</f>
        <v xml:space="preserve"> </v>
      </c>
      <c r="AD14" s="113" t="str">
        <f>IF(COUNTA(ngay29!R12)&gt;0,ngay29!R12," ")</f>
        <v xml:space="preserve"> </v>
      </c>
      <c r="AE14" s="113" t="str">
        <f>IF(COUNTA(ngay30!R12)&gt;0,ngay30!R12," ")</f>
        <v xml:space="preserve"> </v>
      </c>
      <c r="AF14" s="113" t="str">
        <f>IF(COUNTA(ngay31!R12)&gt;0,ngay31!R12," ")</f>
        <v xml:space="preserve"> </v>
      </c>
      <c r="AG14" s="104">
        <f t="shared" si="1"/>
        <v>0</v>
      </c>
      <c r="AH14" s="104">
        <f t="shared" si="2"/>
        <v>0</v>
      </c>
      <c r="AI14" s="104">
        <f t="shared" si="3"/>
        <v>0</v>
      </c>
      <c r="AJ14" s="9" t="str">
        <f t="shared" si="0"/>
        <v/>
      </c>
    </row>
    <row r="15" spans="1:58" s="104" customFormat="1" ht="12.75">
      <c r="A15" s="183" t="s">
        <v>136</v>
      </c>
      <c r="B15" s="113" t="str">
        <f>IF(COUNTA(ngay01!R13)&gt;0,ngay01!R13," ")</f>
        <v xml:space="preserve"> </v>
      </c>
      <c r="C15" s="113" t="str">
        <f>IF(COUNTA(ngay02!R13)&gt;0,ngay02!R13," ")</f>
        <v xml:space="preserve"> </v>
      </c>
      <c r="D15" s="113" t="str">
        <f>IF(COUNTA(ngay03!R13)&gt;0,ngay03!R13," ")</f>
        <v xml:space="preserve"> </v>
      </c>
      <c r="E15" s="113" t="str">
        <f>IF(COUNTA(ngay04!R13)&gt;0,ngay04!R13," ")</f>
        <v xml:space="preserve"> </v>
      </c>
      <c r="F15" s="113" t="str">
        <f>IF(COUNTA(ngay05!R13)&gt;0,ngay05!R13," ")</f>
        <v xml:space="preserve"> </v>
      </c>
      <c r="G15" s="113" t="str">
        <f>IF(COUNTA(ngay06!R13)&gt;0,ngay06!R13," ")</f>
        <v xml:space="preserve"> </v>
      </c>
      <c r="H15" s="113" t="str">
        <f>IF(COUNTA(ngay07!R13)&gt;0,ngay07!R13," ")</f>
        <v xml:space="preserve"> </v>
      </c>
      <c r="I15" s="113" t="str">
        <f>IF(COUNTA(ngay08!R13)&gt;0,ngay08!R13," ")</f>
        <v xml:space="preserve"> </v>
      </c>
      <c r="J15" s="113" t="str">
        <f>IF(COUNTA(ngay09!R13)&gt;0,ngay09!R13," ")</f>
        <v xml:space="preserve"> </v>
      </c>
      <c r="K15" s="113" t="str">
        <f>IF(COUNTA(ngay10!R13)&gt;0,ngay10!R13," ")</f>
        <v xml:space="preserve"> </v>
      </c>
      <c r="L15" s="113" t="str">
        <f>IF(COUNTA(ngay11!R13)&gt;0,ngay11!R13," ")</f>
        <v xml:space="preserve"> </v>
      </c>
      <c r="M15" s="113" t="str">
        <f>IF(COUNTA(ngay12!R13)&gt;0,ngay12!R13," ")</f>
        <v xml:space="preserve"> </v>
      </c>
      <c r="N15" s="113" t="str">
        <f>IF(COUNTA(ngay13!R13)&gt;0,ngay13!R13," ")</f>
        <v xml:space="preserve"> </v>
      </c>
      <c r="O15" s="113" t="str">
        <f>IF(COUNTA(ngay14!R13)&gt;0,ngay14!R13," ")</f>
        <v xml:space="preserve"> </v>
      </c>
      <c r="P15" s="113" t="str">
        <f>IF(COUNTA(ngay15!R13)&gt;0,ngay15!R13," ")</f>
        <v xml:space="preserve"> </v>
      </c>
      <c r="Q15" s="113" t="str">
        <f>IF(COUNTA(ngay16!R13)&gt;0,ngay16!R13," ")</f>
        <v xml:space="preserve"> </v>
      </c>
      <c r="R15" s="113" t="str">
        <f>IF(COUNTA(ngay17!R13)&gt;0,ngay17!R13," ")</f>
        <v xml:space="preserve"> </v>
      </c>
      <c r="S15" s="113" t="str">
        <f>IF(COUNTA(ngay18!R13)&gt;0,ngay18!R13," ")</f>
        <v xml:space="preserve"> </v>
      </c>
      <c r="T15" s="113" t="str">
        <f>IF(COUNTA(ngay19!R13)&gt;0,ngay19!R13," ")</f>
        <v xml:space="preserve"> </v>
      </c>
      <c r="U15" s="113" t="str">
        <f>IF(COUNTA(ngay20!R13)&gt;0,ngay20!R13," ")</f>
        <v xml:space="preserve"> </v>
      </c>
      <c r="V15" s="113" t="str">
        <f>IF(COUNTA(ngay21!R13)&gt;0,ngay21!R13," ")</f>
        <v xml:space="preserve"> </v>
      </c>
      <c r="W15" s="113" t="str">
        <f>IF(COUNTA(ngay22!R13)&gt;0,ngay22!R13," ")</f>
        <v xml:space="preserve"> </v>
      </c>
      <c r="X15" s="113" t="str">
        <f>IF(COUNTA(ngay23!R13)&gt;0,ngay23!R13," ")</f>
        <v xml:space="preserve"> </v>
      </c>
      <c r="Y15" s="113" t="str">
        <f>IF(COUNTA(ngay24!R13)&gt;0,ngay24!R13," ")</f>
        <v xml:space="preserve"> </v>
      </c>
      <c r="Z15" s="113" t="str">
        <f>IF(COUNTA(ngay25!R13)&gt;0,ngay25!R13," ")</f>
        <v xml:space="preserve"> </v>
      </c>
      <c r="AA15" s="113" t="str">
        <f>IF(COUNTA(ngay26!R13)&gt;0,ngay26!R13," ")</f>
        <v xml:space="preserve"> </v>
      </c>
      <c r="AB15" s="113" t="str">
        <f>IF(COUNTA(ngay27!R13)&gt;0,ngay27!R13," ")</f>
        <v xml:space="preserve"> </v>
      </c>
      <c r="AC15" s="113" t="str">
        <f>IF(COUNTA(ngay28!R13)&gt;0,ngay28!R13," ")</f>
        <v xml:space="preserve"> </v>
      </c>
      <c r="AD15" s="113" t="str">
        <f>IF(COUNTA(ngay29!R13)&gt;0,ngay29!R13," ")</f>
        <v xml:space="preserve"> </v>
      </c>
      <c r="AE15" s="113" t="str">
        <f>IF(COUNTA(ngay30!R13)&gt;0,ngay30!R13," ")</f>
        <v xml:space="preserve"> </v>
      </c>
      <c r="AF15" s="113" t="str">
        <f>IF(COUNTA(ngay31!R13)&gt;0,ngay31!R13," ")</f>
        <v xml:space="preserve"> </v>
      </c>
      <c r="AG15" s="104">
        <f t="shared" si="1"/>
        <v>0</v>
      </c>
      <c r="AH15" s="104">
        <f t="shared" si="2"/>
        <v>0</v>
      </c>
      <c r="AI15" s="104">
        <f t="shared" si="3"/>
        <v>0</v>
      </c>
      <c r="AJ15" s="9" t="str">
        <f t="shared" si="0"/>
        <v/>
      </c>
    </row>
    <row r="16" spans="1:58" s="104" customFormat="1" ht="12.75">
      <c r="A16" s="184" t="s">
        <v>137</v>
      </c>
      <c r="B16" s="113" t="str">
        <f>IF(COUNTA(ngay01!R14)&gt;0,ngay01!R14," ")</f>
        <v xml:space="preserve"> </v>
      </c>
      <c r="C16" s="113" t="str">
        <f>IF(COUNTA(ngay02!R14)&gt;0,ngay02!R14," ")</f>
        <v xml:space="preserve"> </v>
      </c>
      <c r="D16" s="113" t="str">
        <f>IF(COUNTA(ngay03!R14)&gt;0,ngay03!R14," ")</f>
        <v xml:space="preserve"> </v>
      </c>
      <c r="E16" s="113" t="str">
        <f>IF(COUNTA(ngay04!R14)&gt;0,ngay04!R14," ")</f>
        <v xml:space="preserve"> </v>
      </c>
      <c r="F16" s="113" t="str">
        <f>IF(COUNTA(ngay05!R14)&gt;0,ngay05!R14," ")</f>
        <v xml:space="preserve"> </v>
      </c>
      <c r="G16" s="113" t="str">
        <f>IF(COUNTA(ngay06!R14)&gt;0,ngay06!R14," ")</f>
        <v xml:space="preserve"> </v>
      </c>
      <c r="H16" s="113" t="str">
        <f>IF(COUNTA(ngay07!R14)&gt;0,ngay07!R14," ")</f>
        <v xml:space="preserve"> </v>
      </c>
      <c r="I16" s="113" t="str">
        <f>IF(COUNTA(ngay08!R14)&gt;0,ngay08!R14," ")</f>
        <v xml:space="preserve"> </v>
      </c>
      <c r="J16" s="113" t="str">
        <f>IF(COUNTA(ngay09!R14)&gt;0,ngay09!R14," ")</f>
        <v xml:space="preserve"> </v>
      </c>
      <c r="K16" s="113" t="str">
        <f>IF(COUNTA(ngay10!R14)&gt;0,ngay10!R14," ")</f>
        <v xml:space="preserve"> </v>
      </c>
      <c r="L16" s="113" t="str">
        <f>IF(COUNTA(ngay11!R14)&gt;0,ngay11!R14," ")</f>
        <v xml:space="preserve"> </v>
      </c>
      <c r="M16" s="113" t="str">
        <f>IF(COUNTA(ngay12!R14)&gt;0,ngay12!R14," ")</f>
        <v xml:space="preserve"> </v>
      </c>
      <c r="N16" s="113" t="str">
        <f>IF(COUNTA(ngay13!R14)&gt;0,ngay13!R14," ")</f>
        <v xml:space="preserve"> </v>
      </c>
      <c r="O16" s="113" t="str">
        <f>IF(COUNTA(ngay14!R14)&gt;0,ngay14!R14," ")</f>
        <v xml:space="preserve"> </v>
      </c>
      <c r="P16" s="113" t="str">
        <f>IF(COUNTA(ngay15!R14)&gt;0,ngay15!R14," ")</f>
        <v xml:space="preserve"> </v>
      </c>
      <c r="Q16" s="113" t="str">
        <f>IF(COUNTA(ngay16!R14)&gt;0,ngay16!R14," ")</f>
        <v xml:space="preserve"> </v>
      </c>
      <c r="R16" s="113" t="str">
        <f>IF(COUNTA(ngay17!R14)&gt;0,ngay17!R14," ")</f>
        <v xml:space="preserve"> </v>
      </c>
      <c r="S16" s="113" t="str">
        <f>IF(COUNTA(ngay18!R14)&gt;0,ngay18!R14," ")</f>
        <v xml:space="preserve"> </v>
      </c>
      <c r="T16" s="113" t="str">
        <f>IF(COUNTA(ngay19!R14)&gt;0,ngay19!R14," ")</f>
        <v xml:space="preserve"> </v>
      </c>
      <c r="U16" s="113" t="str">
        <f>IF(COUNTA(ngay20!R14)&gt;0,ngay20!R14," ")</f>
        <v xml:space="preserve"> </v>
      </c>
      <c r="V16" s="113" t="str">
        <f>IF(COUNTA(ngay21!R14)&gt;0,ngay21!R14," ")</f>
        <v xml:space="preserve"> </v>
      </c>
      <c r="W16" s="113" t="str">
        <f>IF(COUNTA(ngay22!R14)&gt;0,ngay22!R14," ")</f>
        <v xml:space="preserve"> </v>
      </c>
      <c r="X16" s="113" t="str">
        <f>IF(COUNTA(ngay23!R14)&gt;0,ngay23!R14," ")</f>
        <v xml:space="preserve"> </v>
      </c>
      <c r="Y16" s="113" t="str">
        <f>IF(COUNTA(ngay24!R14)&gt;0,ngay24!R14," ")</f>
        <v xml:space="preserve"> </v>
      </c>
      <c r="Z16" s="113" t="str">
        <f>IF(COUNTA(ngay25!R14)&gt;0,ngay25!R14," ")</f>
        <v xml:space="preserve"> </v>
      </c>
      <c r="AA16" s="113" t="str">
        <f>IF(COUNTA(ngay26!R14)&gt;0,ngay26!R14," ")</f>
        <v xml:space="preserve"> </v>
      </c>
      <c r="AB16" s="113" t="str">
        <f>IF(COUNTA(ngay27!R14)&gt;0,ngay27!R14," ")</f>
        <v xml:space="preserve"> </v>
      </c>
      <c r="AC16" s="113" t="str">
        <f>IF(COUNTA(ngay28!R14)&gt;0,ngay28!R14," ")</f>
        <v xml:space="preserve"> </v>
      </c>
      <c r="AD16" s="113" t="str">
        <f>IF(COUNTA(ngay29!R14)&gt;0,ngay29!R14," ")</f>
        <v xml:space="preserve"> </v>
      </c>
      <c r="AE16" s="113" t="str">
        <f>IF(COUNTA(ngay30!R14)&gt;0,ngay30!R14," ")</f>
        <v xml:space="preserve"> </v>
      </c>
      <c r="AF16" s="113" t="str">
        <f>IF(COUNTA(ngay31!R14)&gt;0,ngay31!R14," ")</f>
        <v xml:space="preserve"> </v>
      </c>
      <c r="AG16" s="104">
        <f t="shared" si="1"/>
        <v>0</v>
      </c>
      <c r="AH16" s="104">
        <f t="shared" si="2"/>
        <v>0</v>
      </c>
      <c r="AI16" s="104">
        <f t="shared" si="3"/>
        <v>0</v>
      </c>
      <c r="AJ16" s="9" t="str">
        <f t="shared" si="0"/>
        <v/>
      </c>
    </row>
    <row r="17" spans="1:37" s="104" customFormat="1" ht="12.75">
      <c r="A17" s="183" t="s">
        <v>138</v>
      </c>
      <c r="B17" s="113" t="str">
        <f>IF(COUNTA(ngay01!R15)&gt;0,ngay01!R15," ")</f>
        <v xml:space="preserve"> </v>
      </c>
      <c r="C17" s="113" t="str">
        <f>IF(COUNTA(ngay02!R15)&gt;0,ngay02!R15," ")</f>
        <v xml:space="preserve"> </v>
      </c>
      <c r="D17" s="113" t="str">
        <f>IF(COUNTA(ngay03!R15)&gt;0,ngay03!R15," ")</f>
        <v xml:space="preserve"> </v>
      </c>
      <c r="E17" s="113" t="str">
        <f>IF(COUNTA(ngay04!R15)&gt;0,ngay04!R15," ")</f>
        <v xml:space="preserve"> </v>
      </c>
      <c r="F17" s="113" t="str">
        <f>IF(COUNTA(ngay05!R15)&gt;0,ngay05!R15," ")</f>
        <v xml:space="preserve"> </v>
      </c>
      <c r="G17" s="113" t="str">
        <f>IF(COUNTA(ngay06!R15)&gt;0,ngay06!R15," ")</f>
        <v xml:space="preserve"> </v>
      </c>
      <c r="H17" s="113" t="str">
        <f>IF(COUNTA(ngay07!R15)&gt;0,ngay07!R15," ")</f>
        <v xml:space="preserve"> </v>
      </c>
      <c r="I17" s="113" t="str">
        <f>IF(COUNTA(ngay08!R15)&gt;0,ngay08!R15," ")</f>
        <v xml:space="preserve"> </v>
      </c>
      <c r="J17" s="113" t="str">
        <f>IF(COUNTA(ngay09!R15)&gt;0,ngay09!R15," ")</f>
        <v xml:space="preserve"> </v>
      </c>
      <c r="K17" s="113" t="str">
        <f>IF(COUNTA(ngay10!R15)&gt;0,ngay10!R15," ")</f>
        <v xml:space="preserve"> </v>
      </c>
      <c r="L17" s="113" t="str">
        <f>IF(COUNTA(ngay11!R15)&gt;0,ngay11!R15," ")</f>
        <v xml:space="preserve"> </v>
      </c>
      <c r="M17" s="113" t="str">
        <f>IF(COUNTA(ngay12!R15)&gt;0,ngay12!R15," ")</f>
        <v xml:space="preserve"> </v>
      </c>
      <c r="N17" s="113" t="str">
        <f>IF(COUNTA(ngay13!R15)&gt;0,ngay13!R15," ")</f>
        <v xml:space="preserve"> </v>
      </c>
      <c r="O17" s="113" t="str">
        <f>IF(COUNTA(ngay14!R15)&gt;0,ngay14!R15," ")</f>
        <v xml:space="preserve"> </v>
      </c>
      <c r="P17" s="113" t="str">
        <f>IF(COUNTA(ngay15!R15)&gt;0,ngay15!R15," ")</f>
        <v xml:space="preserve"> </v>
      </c>
      <c r="Q17" s="113" t="str">
        <f>IF(COUNTA(ngay16!R15)&gt;0,ngay16!R15," ")</f>
        <v xml:space="preserve"> </v>
      </c>
      <c r="R17" s="113" t="str">
        <f>IF(COUNTA(ngay17!R15)&gt;0,ngay17!R15," ")</f>
        <v xml:space="preserve"> </v>
      </c>
      <c r="S17" s="113" t="str">
        <f>IF(COUNTA(ngay18!R15)&gt;0,ngay18!R15," ")</f>
        <v xml:space="preserve"> </v>
      </c>
      <c r="T17" s="113" t="str">
        <f>IF(COUNTA(ngay19!R15)&gt;0,ngay19!R15," ")</f>
        <v xml:space="preserve"> </v>
      </c>
      <c r="U17" s="113" t="str">
        <f>IF(COUNTA(ngay20!R15)&gt;0,ngay20!R15," ")</f>
        <v xml:space="preserve"> </v>
      </c>
      <c r="V17" s="113" t="str">
        <f>IF(COUNTA(ngay21!R15)&gt;0,ngay21!R15," ")</f>
        <v xml:space="preserve"> </v>
      </c>
      <c r="W17" s="113" t="str">
        <f>IF(COUNTA(ngay22!R15)&gt;0,ngay22!R15," ")</f>
        <v xml:space="preserve"> </v>
      </c>
      <c r="X17" s="113" t="str">
        <f>IF(COUNTA(ngay23!R15)&gt;0,ngay23!R15," ")</f>
        <v xml:space="preserve"> </v>
      </c>
      <c r="Y17" s="113" t="str">
        <f>IF(COUNTA(ngay24!R15)&gt;0,ngay24!R15," ")</f>
        <v xml:space="preserve"> </v>
      </c>
      <c r="Z17" s="113" t="str">
        <f>IF(COUNTA(ngay25!R15)&gt;0,ngay25!R15," ")</f>
        <v xml:space="preserve"> </v>
      </c>
      <c r="AA17" s="113" t="str">
        <f>IF(COUNTA(ngay26!R15)&gt;0,ngay26!R15," ")</f>
        <v xml:space="preserve"> </v>
      </c>
      <c r="AB17" s="113" t="str">
        <f>IF(COUNTA(ngay27!R15)&gt;0,ngay27!R15," ")</f>
        <v xml:space="preserve"> </v>
      </c>
      <c r="AC17" s="113" t="str">
        <f>IF(COUNTA(ngay28!R15)&gt;0,ngay28!R15," ")</f>
        <v xml:space="preserve"> </v>
      </c>
      <c r="AD17" s="113" t="str">
        <f>IF(COUNTA(ngay29!R15)&gt;0,ngay29!R15," ")</f>
        <v xml:space="preserve"> </v>
      </c>
      <c r="AE17" s="113" t="str">
        <f>IF(COUNTA(ngay30!R15)&gt;0,ngay30!R15," ")</f>
        <v xml:space="preserve"> </v>
      </c>
      <c r="AF17" s="113" t="str">
        <f>IF(COUNTA(ngay31!R15)&gt;0,ngay31!R15," ")</f>
        <v xml:space="preserve"> </v>
      </c>
      <c r="AG17" s="104">
        <f t="shared" si="1"/>
        <v>0</v>
      </c>
      <c r="AH17" s="104">
        <f t="shared" si="2"/>
        <v>0</v>
      </c>
      <c r="AI17" s="104">
        <f t="shared" si="3"/>
        <v>0</v>
      </c>
      <c r="AJ17" s="9" t="str">
        <f t="shared" si="0"/>
        <v/>
      </c>
    </row>
    <row r="18" spans="1:37" s="104" customFormat="1" ht="12.75">
      <c r="A18" s="184" t="s">
        <v>139</v>
      </c>
      <c r="B18" s="113" t="str">
        <f>IF(COUNTA(ngay01!R16)&gt;0,ngay01!R16," ")</f>
        <v xml:space="preserve"> </v>
      </c>
      <c r="C18" s="113" t="str">
        <f>IF(COUNTA(ngay02!R16)&gt;0,ngay02!R16," ")</f>
        <v xml:space="preserve"> </v>
      </c>
      <c r="D18" s="113" t="str">
        <f>IF(COUNTA(ngay03!R16)&gt;0,ngay03!R16," ")</f>
        <v xml:space="preserve"> </v>
      </c>
      <c r="E18" s="113" t="str">
        <f>IF(COUNTA(ngay04!R16)&gt;0,ngay04!R16," ")</f>
        <v xml:space="preserve"> </v>
      </c>
      <c r="F18" s="113" t="str">
        <f>IF(COUNTA(ngay05!R16)&gt;0,ngay05!R16," ")</f>
        <v xml:space="preserve"> </v>
      </c>
      <c r="G18" s="113" t="str">
        <f>IF(COUNTA(ngay06!R16)&gt;0,ngay06!R16," ")</f>
        <v xml:space="preserve"> </v>
      </c>
      <c r="H18" s="113" t="str">
        <f>IF(COUNTA(ngay07!R16)&gt;0,ngay07!R16," ")</f>
        <v xml:space="preserve"> </v>
      </c>
      <c r="I18" s="113" t="str">
        <f>IF(COUNTA(ngay08!R16)&gt;0,ngay08!R16," ")</f>
        <v xml:space="preserve"> </v>
      </c>
      <c r="J18" s="113" t="str">
        <f>IF(COUNTA(ngay09!R16)&gt;0,ngay09!R16," ")</f>
        <v xml:space="preserve"> </v>
      </c>
      <c r="K18" s="113" t="str">
        <f>IF(COUNTA(ngay10!R16)&gt;0,ngay10!R16," ")</f>
        <v xml:space="preserve"> </v>
      </c>
      <c r="L18" s="113" t="str">
        <f>IF(COUNTA(ngay11!R16)&gt;0,ngay11!R16," ")</f>
        <v xml:space="preserve"> </v>
      </c>
      <c r="M18" s="113" t="str">
        <f>IF(COUNTA(ngay12!R16)&gt;0,ngay12!R16," ")</f>
        <v xml:space="preserve"> </v>
      </c>
      <c r="N18" s="113" t="str">
        <f>IF(COUNTA(ngay13!R16)&gt;0,ngay13!R16," ")</f>
        <v xml:space="preserve"> </v>
      </c>
      <c r="O18" s="113" t="str">
        <f>IF(COUNTA(ngay14!R16)&gt;0,ngay14!R16," ")</f>
        <v xml:space="preserve"> </v>
      </c>
      <c r="P18" s="113" t="str">
        <f>IF(COUNTA(ngay15!R16)&gt;0,ngay15!R16," ")</f>
        <v xml:space="preserve"> </v>
      </c>
      <c r="Q18" s="113" t="str">
        <f>IF(COUNTA(ngay16!R16)&gt;0,ngay16!R16," ")</f>
        <v xml:space="preserve"> </v>
      </c>
      <c r="R18" s="113" t="str">
        <f>IF(COUNTA(ngay17!R16)&gt;0,ngay17!R16," ")</f>
        <v xml:space="preserve"> </v>
      </c>
      <c r="S18" s="113" t="str">
        <f>IF(COUNTA(ngay18!R16)&gt;0,ngay18!R16," ")</f>
        <v xml:space="preserve"> </v>
      </c>
      <c r="T18" s="113" t="str">
        <f>IF(COUNTA(ngay19!R16)&gt;0,ngay19!R16," ")</f>
        <v xml:space="preserve"> </v>
      </c>
      <c r="U18" s="113" t="str">
        <f>IF(COUNTA(ngay20!R16)&gt;0,ngay20!R16," ")</f>
        <v xml:space="preserve"> </v>
      </c>
      <c r="V18" s="113" t="str">
        <f>IF(COUNTA(ngay21!R16)&gt;0,ngay21!R16," ")</f>
        <v xml:space="preserve"> </v>
      </c>
      <c r="W18" s="113" t="str">
        <f>IF(COUNTA(ngay22!R16)&gt;0,ngay22!R16," ")</f>
        <v xml:space="preserve"> </v>
      </c>
      <c r="X18" s="113" t="str">
        <f>IF(COUNTA(ngay23!R16)&gt;0,ngay23!R16," ")</f>
        <v xml:space="preserve"> </v>
      </c>
      <c r="Y18" s="113" t="str">
        <f>IF(COUNTA(ngay24!R16)&gt;0,ngay24!R16," ")</f>
        <v xml:space="preserve"> </v>
      </c>
      <c r="Z18" s="113" t="str">
        <f>IF(COUNTA(ngay25!R16)&gt;0,ngay25!R16," ")</f>
        <v xml:space="preserve"> </v>
      </c>
      <c r="AA18" s="113" t="str">
        <f>IF(COUNTA(ngay26!R16)&gt;0,ngay26!R16," ")</f>
        <v xml:space="preserve"> </v>
      </c>
      <c r="AB18" s="113" t="str">
        <f>IF(COUNTA(ngay27!R16)&gt;0,ngay27!R16," ")</f>
        <v xml:space="preserve"> </v>
      </c>
      <c r="AC18" s="113" t="str">
        <f>IF(COUNTA(ngay28!R16)&gt;0,ngay28!R16," ")</f>
        <v xml:space="preserve"> </v>
      </c>
      <c r="AD18" s="113" t="str">
        <f>IF(COUNTA(ngay29!R16)&gt;0,ngay29!R16," ")</f>
        <v xml:space="preserve"> </v>
      </c>
      <c r="AE18" s="113" t="str">
        <f>IF(COUNTA(ngay30!R16)&gt;0,ngay30!R16," ")</f>
        <v xml:space="preserve"> </v>
      </c>
      <c r="AF18" s="113" t="str">
        <f>IF(COUNTA(ngay31!R16)&gt;0,ngay31!R16," ")</f>
        <v xml:space="preserve"> </v>
      </c>
      <c r="AG18" s="104">
        <f t="shared" si="1"/>
        <v>0</v>
      </c>
      <c r="AH18" s="104">
        <f t="shared" si="2"/>
        <v>0</v>
      </c>
      <c r="AI18" s="104">
        <f t="shared" si="3"/>
        <v>0</v>
      </c>
      <c r="AJ18" s="9" t="str">
        <f t="shared" si="0"/>
        <v/>
      </c>
    </row>
    <row r="19" spans="1:37" ht="12.75">
      <c r="A19" s="183" t="s">
        <v>140</v>
      </c>
      <c r="B19" s="113" t="str">
        <f>IF(COUNTA(ngay01!R17)&gt;0,ngay01!R17," ")</f>
        <v xml:space="preserve"> </v>
      </c>
      <c r="C19" s="113" t="str">
        <f>IF(COUNTA(ngay02!R17)&gt;0,ngay02!R17," ")</f>
        <v xml:space="preserve"> </v>
      </c>
      <c r="D19" s="113" t="str">
        <f>IF(COUNTA(ngay03!R17)&gt;0,ngay03!R17," ")</f>
        <v xml:space="preserve"> </v>
      </c>
      <c r="E19" s="113" t="str">
        <f>IF(COUNTA(ngay04!R17)&gt;0,ngay04!R17," ")</f>
        <v xml:space="preserve"> </v>
      </c>
      <c r="F19" s="113" t="str">
        <f>IF(COUNTA(ngay05!R17)&gt;0,ngay05!R17," ")</f>
        <v xml:space="preserve"> </v>
      </c>
      <c r="G19" s="113" t="str">
        <f>IF(COUNTA(ngay06!R17)&gt;0,ngay06!R17," ")</f>
        <v xml:space="preserve"> </v>
      </c>
      <c r="H19" s="113" t="str">
        <f>IF(COUNTA(ngay07!R17)&gt;0,ngay07!R17," ")</f>
        <v xml:space="preserve"> </v>
      </c>
      <c r="I19" s="113" t="str">
        <f>IF(COUNTA(ngay08!R17)&gt;0,ngay08!R17," ")</f>
        <v xml:space="preserve"> </v>
      </c>
      <c r="J19" s="113" t="str">
        <f>IF(COUNTA(ngay09!R17)&gt;0,ngay09!R17," ")</f>
        <v xml:space="preserve"> </v>
      </c>
      <c r="K19" s="113" t="str">
        <f>IF(COUNTA(ngay10!R17)&gt;0,ngay10!R17," ")</f>
        <v xml:space="preserve"> </v>
      </c>
      <c r="L19" s="113" t="str">
        <f>IF(COUNTA(ngay11!R17)&gt;0,ngay11!R17," ")</f>
        <v xml:space="preserve"> </v>
      </c>
      <c r="M19" s="113" t="str">
        <f>IF(COUNTA(ngay12!R17)&gt;0,ngay12!R17," ")</f>
        <v xml:space="preserve"> </v>
      </c>
      <c r="N19" s="113" t="str">
        <f>IF(COUNTA(ngay13!R17)&gt;0,ngay13!R17," ")</f>
        <v xml:space="preserve"> </v>
      </c>
      <c r="O19" s="113" t="str">
        <f>IF(COUNTA(ngay14!R17)&gt;0,ngay14!R17," ")</f>
        <v xml:space="preserve"> </v>
      </c>
      <c r="P19" s="113" t="str">
        <f>IF(COUNTA(ngay15!R17)&gt;0,ngay15!R17," ")</f>
        <v xml:space="preserve"> </v>
      </c>
      <c r="Q19" s="113" t="str">
        <f>IF(COUNTA(ngay16!R17)&gt;0,ngay16!R17," ")</f>
        <v xml:space="preserve"> </v>
      </c>
      <c r="R19" s="113" t="str">
        <f>IF(COUNTA(ngay17!R17)&gt;0,ngay17!R17," ")</f>
        <v xml:space="preserve"> </v>
      </c>
      <c r="S19" s="113" t="str">
        <f>IF(COUNTA(ngay18!R17)&gt;0,ngay18!R17," ")</f>
        <v xml:space="preserve"> </v>
      </c>
      <c r="T19" s="113" t="str">
        <f>IF(COUNTA(ngay19!R17)&gt;0,ngay19!R17," ")</f>
        <v xml:space="preserve"> </v>
      </c>
      <c r="U19" s="113" t="str">
        <f>IF(COUNTA(ngay20!R17)&gt;0,ngay20!R17," ")</f>
        <v xml:space="preserve"> </v>
      </c>
      <c r="V19" s="113" t="str">
        <f>IF(COUNTA(ngay21!R17)&gt;0,ngay21!R17," ")</f>
        <v xml:space="preserve"> </v>
      </c>
      <c r="W19" s="113" t="str">
        <f>IF(COUNTA(ngay22!R17)&gt;0,ngay22!R17," ")</f>
        <v xml:space="preserve"> </v>
      </c>
      <c r="X19" s="113" t="str">
        <f>IF(COUNTA(ngay23!R17)&gt;0,ngay23!R17," ")</f>
        <v xml:space="preserve"> </v>
      </c>
      <c r="Y19" s="113" t="str">
        <f>IF(COUNTA(ngay24!R17)&gt;0,ngay24!R17," ")</f>
        <v xml:space="preserve"> </v>
      </c>
      <c r="Z19" s="113" t="str">
        <f>IF(COUNTA(ngay25!R17)&gt;0,ngay25!R17," ")</f>
        <v xml:space="preserve"> </v>
      </c>
      <c r="AA19" s="113" t="str">
        <f>IF(COUNTA(ngay26!R17)&gt;0,ngay26!R17," ")</f>
        <v xml:space="preserve"> </v>
      </c>
      <c r="AB19" s="113" t="str">
        <f>IF(COUNTA(ngay27!R17)&gt;0,ngay27!R17," ")</f>
        <v xml:space="preserve"> </v>
      </c>
      <c r="AC19" s="113" t="str">
        <f>IF(COUNTA(ngay28!R17)&gt;0,ngay28!R17," ")</f>
        <v xml:space="preserve"> </v>
      </c>
      <c r="AD19" s="113" t="str">
        <f>IF(COUNTA(ngay29!R17)&gt;0,ngay29!R17," ")</f>
        <v xml:space="preserve"> </v>
      </c>
      <c r="AE19" s="113" t="str">
        <f>IF(COUNTA(ngay30!R17)&gt;0,ngay30!R17," ")</f>
        <v xml:space="preserve"> </v>
      </c>
      <c r="AF19" s="113" t="str">
        <f>IF(COUNTA(ngay31!R17)&gt;0,ngay31!R17," ")</f>
        <v xml:space="preserve"> </v>
      </c>
      <c r="AG19" s="104">
        <f t="shared" si="1"/>
        <v>0</v>
      </c>
      <c r="AH19" s="104">
        <f t="shared" si="2"/>
        <v>0</v>
      </c>
      <c r="AI19" s="104">
        <f t="shared" si="3"/>
        <v>0</v>
      </c>
      <c r="AJ19" s="9" t="str">
        <f t="shared" si="0"/>
        <v/>
      </c>
      <c r="AK19" s="104"/>
    </row>
    <row r="20" spans="1:37" ht="12.75">
      <c r="A20" s="184" t="s">
        <v>141</v>
      </c>
      <c r="B20" s="113" t="str">
        <f>IF(COUNTA(ngay01!R18)&gt;0,ngay01!R18," ")</f>
        <v xml:space="preserve"> </v>
      </c>
      <c r="C20" s="113" t="str">
        <f>IF(COUNTA(ngay02!R18)&gt;0,ngay02!R18," ")</f>
        <v xml:space="preserve"> </v>
      </c>
      <c r="D20" s="113" t="str">
        <f>IF(COUNTA(ngay03!R18)&gt;0,ngay03!R18," ")</f>
        <v xml:space="preserve"> </v>
      </c>
      <c r="E20" s="113" t="str">
        <f>IF(COUNTA(ngay04!R18)&gt;0,ngay04!R18," ")</f>
        <v xml:space="preserve"> </v>
      </c>
      <c r="F20" s="113" t="str">
        <f>IF(COUNTA(ngay05!R18)&gt;0,ngay05!R18," ")</f>
        <v xml:space="preserve"> </v>
      </c>
      <c r="G20" s="113" t="str">
        <f>IF(COUNTA(ngay06!R18)&gt;0,ngay06!R18," ")</f>
        <v xml:space="preserve"> </v>
      </c>
      <c r="H20" s="113" t="str">
        <f>IF(COUNTA(ngay07!R18)&gt;0,ngay07!R18," ")</f>
        <v xml:space="preserve"> </v>
      </c>
      <c r="I20" s="113" t="str">
        <f>IF(COUNTA(ngay08!R18)&gt;0,ngay08!R18," ")</f>
        <v xml:space="preserve"> </v>
      </c>
      <c r="J20" s="113" t="str">
        <f>IF(COUNTA(ngay09!R18)&gt;0,ngay09!R18," ")</f>
        <v xml:space="preserve"> </v>
      </c>
      <c r="K20" s="113" t="str">
        <f>IF(COUNTA(ngay10!R18)&gt;0,ngay10!R18," ")</f>
        <v xml:space="preserve"> </v>
      </c>
      <c r="L20" s="113" t="str">
        <f>IF(COUNTA(ngay11!R18)&gt;0,ngay11!R18," ")</f>
        <v xml:space="preserve"> </v>
      </c>
      <c r="M20" s="113" t="str">
        <f>IF(COUNTA(ngay12!R18)&gt;0,ngay12!R18," ")</f>
        <v xml:space="preserve"> </v>
      </c>
      <c r="N20" s="113" t="str">
        <f>IF(COUNTA(ngay13!R18)&gt;0,ngay13!R18," ")</f>
        <v xml:space="preserve"> </v>
      </c>
      <c r="O20" s="113" t="str">
        <f>IF(COUNTA(ngay14!R18)&gt;0,ngay14!R18," ")</f>
        <v xml:space="preserve"> </v>
      </c>
      <c r="P20" s="113" t="str">
        <f>IF(COUNTA(ngay15!R18)&gt;0,ngay15!R18," ")</f>
        <v xml:space="preserve"> </v>
      </c>
      <c r="Q20" s="113" t="str">
        <f>IF(COUNTA(ngay16!R18)&gt;0,ngay16!R18," ")</f>
        <v xml:space="preserve"> </v>
      </c>
      <c r="R20" s="113" t="str">
        <f>IF(COUNTA(ngay17!R18)&gt;0,ngay17!R18," ")</f>
        <v xml:space="preserve"> </v>
      </c>
      <c r="S20" s="113" t="str">
        <f>IF(COUNTA(ngay18!R18)&gt;0,ngay18!R18," ")</f>
        <v xml:space="preserve"> </v>
      </c>
      <c r="T20" s="113" t="str">
        <f>IF(COUNTA(ngay19!R18)&gt;0,ngay19!R18," ")</f>
        <v xml:space="preserve"> </v>
      </c>
      <c r="U20" s="113" t="str">
        <f>IF(COUNTA(ngay20!R18)&gt;0,ngay20!R18," ")</f>
        <v xml:space="preserve"> </v>
      </c>
      <c r="V20" s="113" t="str">
        <f>IF(COUNTA(ngay21!R18)&gt;0,ngay21!R18," ")</f>
        <v xml:space="preserve"> </v>
      </c>
      <c r="W20" s="113" t="str">
        <f>IF(COUNTA(ngay22!R18)&gt;0,ngay22!R18," ")</f>
        <v xml:space="preserve"> </v>
      </c>
      <c r="X20" s="113" t="str">
        <f>IF(COUNTA(ngay23!R18)&gt;0,ngay23!R18," ")</f>
        <v xml:space="preserve"> </v>
      </c>
      <c r="Y20" s="113" t="str">
        <f>IF(COUNTA(ngay24!R18)&gt;0,ngay24!R18," ")</f>
        <v xml:space="preserve"> </v>
      </c>
      <c r="Z20" s="113" t="str">
        <f>IF(COUNTA(ngay25!R18)&gt;0,ngay25!R18," ")</f>
        <v xml:space="preserve"> </v>
      </c>
      <c r="AA20" s="113" t="str">
        <f>IF(COUNTA(ngay26!R18)&gt;0,ngay26!R18," ")</f>
        <v xml:space="preserve"> </v>
      </c>
      <c r="AB20" s="113" t="str">
        <f>IF(COUNTA(ngay27!R18)&gt;0,ngay27!R18," ")</f>
        <v xml:space="preserve"> </v>
      </c>
      <c r="AC20" s="113" t="str">
        <f>IF(COUNTA(ngay28!R18)&gt;0,ngay28!R18," ")</f>
        <v xml:space="preserve"> </v>
      </c>
      <c r="AD20" s="113" t="str">
        <f>IF(COUNTA(ngay29!R18)&gt;0,ngay29!R18," ")</f>
        <v xml:space="preserve"> </v>
      </c>
      <c r="AE20" s="113" t="str">
        <f>IF(COUNTA(ngay30!R18)&gt;0,ngay30!R18," ")</f>
        <v xml:space="preserve"> </v>
      </c>
      <c r="AF20" s="113" t="str">
        <f>IF(COUNTA(ngay31!R18)&gt;0,ngay31!R18," ")</f>
        <v xml:space="preserve"> </v>
      </c>
      <c r="AG20" s="104">
        <f t="shared" si="1"/>
        <v>0</v>
      </c>
      <c r="AH20" s="104">
        <f t="shared" si="2"/>
        <v>0</v>
      </c>
      <c r="AI20" s="104">
        <f t="shared" si="3"/>
        <v>0</v>
      </c>
      <c r="AJ20" s="9" t="str">
        <f t="shared" si="0"/>
        <v/>
      </c>
      <c r="AK20" s="104"/>
    </row>
    <row r="21" spans="1:37" ht="12.75">
      <c r="A21" s="183" t="s">
        <v>142</v>
      </c>
      <c r="B21" s="113" t="str">
        <f>IF(COUNTA(ngay01!R19)&gt;0,ngay01!R19," ")</f>
        <v xml:space="preserve"> </v>
      </c>
      <c r="C21" s="113" t="str">
        <f>IF(COUNTA(ngay02!R19)&gt;0,ngay02!R19," ")</f>
        <v xml:space="preserve"> </v>
      </c>
      <c r="D21" s="113" t="str">
        <f>IF(COUNTA(ngay03!R19)&gt;0,ngay03!R19," ")</f>
        <v xml:space="preserve"> </v>
      </c>
      <c r="E21" s="113" t="str">
        <f>IF(COUNTA(ngay04!R19)&gt;0,ngay04!R19," ")</f>
        <v xml:space="preserve"> </v>
      </c>
      <c r="F21" s="113" t="str">
        <f>IF(COUNTA(ngay05!R19)&gt;0,ngay05!R19," ")</f>
        <v xml:space="preserve"> </v>
      </c>
      <c r="G21" s="113" t="str">
        <f>IF(COUNTA(ngay06!R19)&gt;0,ngay06!R19," ")</f>
        <v xml:space="preserve"> </v>
      </c>
      <c r="H21" s="113" t="str">
        <f>IF(COUNTA(ngay07!R19)&gt;0,ngay07!R19," ")</f>
        <v xml:space="preserve"> </v>
      </c>
      <c r="I21" s="113" t="str">
        <f>IF(COUNTA(ngay08!R19)&gt;0,ngay08!R19," ")</f>
        <v xml:space="preserve"> </v>
      </c>
      <c r="J21" s="113" t="str">
        <f>IF(COUNTA(ngay09!R19)&gt;0,ngay09!R19," ")</f>
        <v xml:space="preserve"> </v>
      </c>
      <c r="K21" s="113" t="str">
        <f>IF(COUNTA(ngay10!R19)&gt;0,ngay10!R19," ")</f>
        <v xml:space="preserve"> </v>
      </c>
      <c r="L21" s="113" t="str">
        <f>IF(COUNTA(ngay11!R19)&gt;0,ngay11!R19," ")</f>
        <v xml:space="preserve"> </v>
      </c>
      <c r="M21" s="113" t="str">
        <f>IF(COUNTA(ngay12!R19)&gt;0,ngay12!R19," ")</f>
        <v xml:space="preserve"> </v>
      </c>
      <c r="N21" s="113" t="str">
        <f>IF(COUNTA(ngay13!R19)&gt;0,ngay13!R19," ")</f>
        <v xml:space="preserve"> </v>
      </c>
      <c r="O21" s="113" t="str">
        <f>IF(COUNTA(ngay14!R19)&gt;0,ngay14!R19," ")</f>
        <v xml:space="preserve"> </v>
      </c>
      <c r="P21" s="113" t="str">
        <f>IF(COUNTA(ngay15!R19)&gt;0,ngay15!R19," ")</f>
        <v xml:space="preserve"> </v>
      </c>
      <c r="Q21" s="113" t="str">
        <f>IF(COUNTA(ngay16!R19)&gt;0,ngay16!R19," ")</f>
        <v xml:space="preserve"> </v>
      </c>
      <c r="R21" s="113" t="str">
        <f>IF(COUNTA(ngay17!R19)&gt;0,ngay17!R19," ")</f>
        <v xml:space="preserve"> </v>
      </c>
      <c r="S21" s="113" t="str">
        <f>IF(COUNTA(ngay18!R19)&gt;0,ngay18!R19," ")</f>
        <v xml:space="preserve"> </v>
      </c>
      <c r="T21" s="113" t="str">
        <f>IF(COUNTA(ngay19!R19)&gt;0,ngay19!R19," ")</f>
        <v xml:space="preserve"> </v>
      </c>
      <c r="U21" s="113" t="str">
        <f>IF(COUNTA(ngay20!R19)&gt;0,ngay20!R19," ")</f>
        <v xml:space="preserve"> </v>
      </c>
      <c r="V21" s="113" t="str">
        <f>IF(COUNTA(ngay21!R19)&gt;0,ngay21!R19," ")</f>
        <v xml:space="preserve"> </v>
      </c>
      <c r="W21" s="113" t="str">
        <f>IF(COUNTA(ngay22!R19)&gt;0,ngay22!R19," ")</f>
        <v xml:space="preserve"> </v>
      </c>
      <c r="X21" s="113" t="str">
        <f>IF(COUNTA(ngay23!R19)&gt;0,ngay23!R19," ")</f>
        <v xml:space="preserve"> </v>
      </c>
      <c r="Y21" s="113" t="str">
        <f>IF(COUNTA(ngay24!R19)&gt;0,ngay24!R19," ")</f>
        <v xml:space="preserve"> </v>
      </c>
      <c r="Z21" s="113" t="str">
        <f>IF(COUNTA(ngay25!R19)&gt;0,ngay25!R19," ")</f>
        <v xml:space="preserve"> </v>
      </c>
      <c r="AA21" s="113" t="str">
        <f>IF(COUNTA(ngay26!R19)&gt;0,ngay26!R19," ")</f>
        <v xml:space="preserve"> </v>
      </c>
      <c r="AB21" s="113" t="str">
        <f>IF(COUNTA(ngay27!R19)&gt;0,ngay27!R19," ")</f>
        <v xml:space="preserve"> </v>
      </c>
      <c r="AC21" s="113" t="str">
        <f>IF(COUNTA(ngay28!R19)&gt;0,ngay28!R19," ")</f>
        <v xml:space="preserve"> </v>
      </c>
      <c r="AD21" s="113" t="str">
        <f>IF(COUNTA(ngay29!R19)&gt;0,ngay29!R19," ")</f>
        <v xml:space="preserve"> </v>
      </c>
      <c r="AE21" s="113" t="str">
        <f>IF(COUNTA(ngay30!R19)&gt;0,ngay30!R19," ")</f>
        <v xml:space="preserve"> </v>
      </c>
      <c r="AF21" s="113" t="str">
        <f>IF(COUNTA(ngay31!R19)&gt;0,ngay31!R19," ")</f>
        <v xml:space="preserve"> </v>
      </c>
      <c r="AG21" s="104">
        <f t="shared" si="1"/>
        <v>0</v>
      </c>
      <c r="AH21" s="104">
        <f t="shared" si="2"/>
        <v>0</v>
      </c>
      <c r="AI21" s="104">
        <f t="shared" si="3"/>
        <v>0</v>
      </c>
      <c r="AJ21" s="9" t="str">
        <f t="shared" si="0"/>
        <v/>
      </c>
      <c r="AK21" s="104"/>
    </row>
    <row r="22" spans="1:37" ht="12.75">
      <c r="A22" s="183" t="s">
        <v>143</v>
      </c>
      <c r="B22" s="113" t="str">
        <f>IF(COUNTA(ngay01!R20)&gt;0,ngay01!R20," ")</f>
        <v xml:space="preserve"> </v>
      </c>
      <c r="C22" s="113" t="str">
        <f>IF(COUNTA(ngay02!R20)&gt;0,ngay02!R20," ")</f>
        <v xml:space="preserve"> </v>
      </c>
      <c r="D22" s="113" t="str">
        <f>IF(COUNTA(ngay03!R20)&gt;0,ngay03!R20," ")</f>
        <v xml:space="preserve"> </v>
      </c>
      <c r="E22" s="113" t="str">
        <f>IF(COUNTA(ngay04!R20)&gt;0,ngay04!R20," ")</f>
        <v xml:space="preserve"> </v>
      </c>
      <c r="F22" s="113" t="str">
        <f>IF(COUNTA(ngay05!R20)&gt;0,ngay05!R20," ")</f>
        <v xml:space="preserve"> </v>
      </c>
      <c r="G22" s="113" t="str">
        <f>IF(COUNTA(ngay06!R20)&gt;0,ngay06!R20," ")</f>
        <v xml:space="preserve"> </v>
      </c>
      <c r="H22" s="113" t="str">
        <f>IF(COUNTA(ngay07!R20)&gt;0,ngay07!R20," ")</f>
        <v xml:space="preserve"> </v>
      </c>
      <c r="I22" s="113" t="str">
        <f>IF(COUNTA(ngay08!R20)&gt;0,ngay08!R20," ")</f>
        <v xml:space="preserve"> </v>
      </c>
      <c r="J22" s="113" t="str">
        <f>IF(COUNTA(ngay09!R20)&gt;0,ngay09!R20," ")</f>
        <v xml:space="preserve"> </v>
      </c>
      <c r="K22" s="113" t="str">
        <f>IF(COUNTA(ngay10!R20)&gt;0,ngay10!R20," ")</f>
        <v xml:space="preserve"> </v>
      </c>
      <c r="L22" s="113" t="str">
        <f>IF(COUNTA(ngay11!R20)&gt;0,ngay11!R20," ")</f>
        <v xml:space="preserve"> </v>
      </c>
      <c r="M22" s="113" t="str">
        <f>IF(COUNTA(ngay12!R20)&gt;0,ngay12!R20," ")</f>
        <v xml:space="preserve"> </v>
      </c>
      <c r="N22" s="113" t="str">
        <f>IF(COUNTA(ngay13!R20)&gt;0,ngay13!R20," ")</f>
        <v xml:space="preserve"> </v>
      </c>
      <c r="O22" s="113" t="str">
        <f>IF(COUNTA(ngay14!R20)&gt;0,ngay14!R20," ")</f>
        <v xml:space="preserve"> </v>
      </c>
      <c r="P22" s="113" t="str">
        <f>IF(COUNTA(ngay15!R20)&gt;0,ngay15!R20," ")</f>
        <v xml:space="preserve"> </v>
      </c>
      <c r="Q22" s="113" t="str">
        <f>IF(COUNTA(ngay16!R20)&gt;0,ngay16!R20," ")</f>
        <v xml:space="preserve"> </v>
      </c>
      <c r="R22" s="113" t="str">
        <f>IF(COUNTA(ngay17!R20)&gt;0,ngay17!R20," ")</f>
        <v xml:space="preserve"> </v>
      </c>
      <c r="S22" s="113" t="str">
        <f>IF(COUNTA(ngay18!R20)&gt;0,ngay18!R20," ")</f>
        <v xml:space="preserve"> </v>
      </c>
      <c r="T22" s="113" t="str">
        <f>IF(COUNTA(ngay19!R20)&gt;0,ngay19!R20," ")</f>
        <v xml:space="preserve"> </v>
      </c>
      <c r="U22" s="113" t="str">
        <f>IF(COUNTA(ngay20!R20)&gt;0,ngay20!R20," ")</f>
        <v xml:space="preserve"> </v>
      </c>
      <c r="V22" s="113" t="str">
        <f>IF(COUNTA(ngay21!R20)&gt;0,ngay21!R20," ")</f>
        <v xml:space="preserve"> </v>
      </c>
      <c r="W22" s="113" t="str">
        <f>IF(COUNTA(ngay22!R20)&gt;0,ngay22!R20," ")</f>
        <v xml:space="preserve"> </v>
      </c>
      <c r="X22" s="113" t="str">
        <f>IF(COUNTA(ngay23!R20)&gt;0,ngay23!R20," ")</f>
        <v xml:space="preserve"> </v>
      </c>
      <c r="Y22" s="113" t="str">
        <f>IF(COUNTA(ngay24!R20)&gt;0,ngay24!R20," ")</f>
        <v xml:space="preserve"> </v>
      </c>
      <c r="Z22" s="113" t="str">
        <f>IF(COUNTA(ngay25!R20)&gt;0,ngay25!R20," ")</f>
        <v xml:space="preserve"> </v>
      </c>
      <c r="AA22" s="113" t="str">
        <f>IF(COUNTA(ngay26!R20)&gt;0,ngay26!R20," ")</f>
        <v xml:space="preserve"> </v>
      </c>
      <c r="AB22" s="113" t="str">
        <f>IF(COUNTA(ngay27!R20)&gt;0,ngay27!R20," ")</f>
        <v xml:space="preserve"> </v>
      </c>
      <c r="AC22" s="113" t="str">
        <f>IF(COUNTA(ngay28!R20)&gt;0,ngay28!R20," ")</f>
        <v xml:space="preserve"> </v>
      </c>
      <c r="AD22" s="113" t="str">
        <f>IF(COUNTA(ngay29!R20)&gt;0,ngay29!R20," ")</f>
        <v xml:space="preserve"> </v>
      </c>
      <c r="AE22" s="113" t="str">
        <f>IF(COUNTA(ngay30!R20)&gt;0,ngay30!R20," ")</f>
        <v xml:space="preserve"> </v>
      </c>
      <c r="AF22" s="113" t="str">
        <f>IF(COUNTA(ngay31!R20)&gt;0,ngay31!R20," ")</f>
        <v xml:space="preserve"> </v>
      </c>
      <c r="AG22" s="104">
        <f t="shared" si="1"/>
        <v>0</v>
      </c>
      <c r="AH22" s="104">
        <f t="shared" si="2"/>
        <v>0</v>
      </c>
      <c r="AI22" s="104">
        <f t="shared" si="3"/>
        <v>0</v>
      </c>
      <c r="AJ22" s="9" t="str">
        <f t="shared" si="0"/>
        <v/>
      </c>
      <c r="AK22" s="104"/>
    </row>
    <row r="23" spans="1:37" ht="12.75">
      <c r="A23" s="183" t="s">
        <v>144</v>
      </c>
      <c r="B23" s="113" t="str">
        <f>IF(COUNTA(ngay01!R21)&gt;0,ngay01!R21," ")</f>
        <v xml:space="preserve"> </v>
      </c>
      <c r="C23" s="113" t="str">
        <f>IF(COUNTA(ngay02!R21)&gt;0,ngay02!R21," ")</f>
        <v xml:space="preserve"> </v>
      </c>
      <c r="D23" s="113" t="str">
        <f>IF(COUNTA(ngay03!R21)&gt;0,ngay03!R21," ")</f>
        <v xml:space="preserve"> </v>
      </c>
      <c r="E23" s="113" t="str">
        <f>IF(COUNTA(ngay04!R21)&gt;0,ngay04!R21," ")</f>
        <v xml:space="preserve"> </v>
      </c>
      <c r="F23" s="113" t="str">
        <f>IF(COUNTA(ngay05!R21)&gt;0,ngay05!R21," ")</f>
        <v xml:space="preserve"> </v>
      </c>
      <c r="G23" s="113" t="str">
        <f>IF(COUNTA(ngay06!R21)&gt;0,ngay06!R21," ")</f>
        <v xml:space="preserve"> </v>
      </c>
      <c r="H23" s="113" t="str">
        <f>IF(COUNTA(ngay07!R21)&gt;0,ngay07!R21," ")</f>
        <v xml:space="preserve"> </v>
      </c>
      <c r="I23" s="113" t="str">
        <f>IF(COUNTA(ngay08!R21)&gt;0,ngay08!R21," ")</f>
        <v xml:space="preserve"> </v>
      </c>
      <c r="J23" s="113" t="str">
        <f>IF(COUNTA(ngay09!R21)&gt;0,ngay09!R21," ")</f>
        <v xml:space="preserve"> </v>
      </c>
      <c r="K23" s="113" t="str">
        <f>IF(COUNTA(ngay10!R21)&gt;0,ngay10!R21," ")</f>
        <v xml:space="preserve"> </v>
      </c>
      <c r="L23" s="113" t="str">
        <f>IF(COUNTA(ngay11!R21)&gt;0,ngay11!R21," ")</f>
        <v xml:space="preserve"> </v>
      </c>
      <c r="M23" s="113" t="str">
        <f>IF(COUNTA(ngay12!R21)&gt;0,ngay12!R21," ")</f>
        <v xml:space="preserve"> </v>
      </c>
      <c r="N23" s="113" t="str">
        <f>IF(COUNTA(ngay13!R21)&gt;0,ngay13!R21," ")</f>
        <v xml:space="preserve"> </v>
      </c>
      <c r="O23" s="113" t="str">
        <f>IF(COUNTA(ngay14!R21)&gt;0,ngay14!R21," ")</f>
        <v xml:space="preserve"> </v>
      </c>
      <c r="P23" s="113" t="str">
        <f>IF(COUNTA(ngay15!R21)&gt;0,ngay15!R21," ")</f>
        <v xml:space="preserve"> </v>
      </c>
      <c r="Q23" s="113" t="str">
        <f>IF(COUNTA(ngay16!R21)&gt;0,ngay16!R21," ")</f>
        <v xml:space="preserve"> </v>
      </c>
      <c r="R23" s="113" t="str">
        <f>IF(COUNTA(ngay17!R21)&gt;0,ngay17!R21," ")</f>
        <v xml:space="preserve"> </v>
      </c>
      <c r="S23" s="113" t="str">
        <f>IF(COUNTA(ngay18!R21)&gt;0,ngay18!R21," ")</f>
        <v xml:space="preserve"> </v>
      </c>
      <c r="T23" s="113" t="str">
        <f>IF(COUNTA(ngay19!R21)&gt;0,ngay19!R21," ")</f>
        <v xml:space="preserve"> </v>
      </c>
      <c r="U23" s="113" t="str">
        <f>IF(COUNTA(ngay20!R21)&gt;0,ngay20!R21," ")</f>
        <v xml:space="preserve"> </v>
      </c>
      <c r="V23" s="113" t="str">
        <f>IF(COUNTA(ngay21!R21)&gt;0,ngay21!R21," ")</f>
        <v xml:space="preserve"> </v>
      </c>
      <c r="W23" s="113" t="str">
        <f>IF(COUNTA(ngay22!R21)&gt;0,ngay22!R21," ")</f>
        <v xml:space="preserve"> </v>
      </c>
      <c r="X23" s="113" t="str">
        <f>IF(COUNTA(ngay23!R21)&gt;0,ngay23!R21," ")</f>
        <v xml:space="preserve"> </v>
      </c>
      <c r="Y23" s="113" t="str">
        <f>IF(COUNTA(ngay24!R21)&gt;0,ngay24!R21," ")</f>
        <v xml:space="preserve"> </v>
      </c>
      <c r="Z23" s="113" t="str">
        <f>IF(COUNTA(ngay25!R21)&gt;0,ngay25!R21," ")</f>
        <v xml:space="preserve"> </v>
      </c>
      <c r="AA23" s="113" t="str">
        <f>IF(COUNTA(ngay26!R21)&gt;0,ngay26!R21," ")</f>
        <v xml:space="preserve"> </v>
      </c>
      <c r="AB23" s="113" t="str">
        <f>IF(COUNTA(ngay27!R21)&gt;0,ngay27!R21," ")</f>
        <v xml:space="preserve"> </v>
      </c>
      <c r="AC23" s="113" t="str">
        <f>IF(COUNTA(ngay28!R21)&gt;0,ngay28!R21," ")</f>
        <v xml:space="preserve"> </v>
      </c>
      <c r="AD23" s="113" t="str">
        <f>IF(COUNTA(ngay29!R21)&gt;0,ngay29!R21," ")</f>
        <v xml:space="preserve"> </v>
      </c>
      <c r="AE23" s="113" t="str">
        <f>IF(COUNTA(ngay30!R21)&gt;0,ngay30!R21," ")</f>
        <v xml:space="preserve"> </v>
      </c>
      <c r="AF23" s="113" t="str">
        <f>IF(COUNTA(ngay31!R21)&gt;0,ngay31!R21," ")</f>
        <v xml:space="preserve"> </v>
      </c>
      <c r="AG23" s="104">
        <f t="shared" si="1"/>
        <v>0</v>
      </c>
      <c r="AH23" s="104">
        <f t="shared" si="2"/>
        <v>0</v>
      </c>
      <c r="AI23" s="104">
        <f t="shared" si="3"/>
        <v>0</v>
      </c>
      <c r="AJ23" s="9" t="str">
        <f t="shared" si="0"/>
        <v/>
      </c>
      <c r="AK23" s="104"/>
    </row>
    <row r="24" spans="1:37" ht="12.75">
      <c r="A24" s="183" t="s">
        <v>145</v>
      </c>
      <c r="B24" s="113" t="str">
        <f>IF(COUNTA(ngay01!R22)&gt;0,ngay01!R22," ")</f>
        <v xml:space="preserve"> </v>
      </c>
      <c r="C24" s="113" t="str">
        <f>IF(COUNTA(ngay02!R22)&gt;0,ngay02!R22," ")</f>
        <v xml:space="preserve"> </v>
      </c>
      <c r="D24" s="113" t="str">
        <f>IF(COUNTA(ngay03!R22)&gt;0,ngay03!R22," ")</f>
        <v xml:space="preserve"> </v>
      </c>
      <c r="E24" s="113" t="str">
        <f>IF(COUNTA(ngay04!R22)&gt;0,ngay04!R22," ")</f>
        <v xml:space="preserve"> </v>
      </c>
      <c r="F24" s="113" t="str">
        <f>IF(COUNTA(ngay05!R22)&gt;0,ngay05!R22," ")</f>
        <v xml:space="preserve"> </v>
      </c>
      <c r="G24" s="113" t="str">
        <f>IF(COUNTA(ngay06!R22)&gt;0,ngay06!R22," ")</f>
        <v xml:space="preserve"> </v>
      </c>
      <c r="H24" s="113" t="str">
        <f>IF(COUNTA(ngay07!R22)&gt;0,ngay07!R22," ")</f>
        <v xml:space="preserve"> </v>
      </c>
      <c r="I24" s="113" t="str">
        <f>IF(COUNTA(ngay08!R22)&gt;0,ngay08!R22," ")</f>
        <v xml:space="preserve"> </v>
      </c>
      <c r="J24" s="113" t="str">
        <f>IF(COUNTA(ngay09!R22)&gt;0,ngay09!R22," ")</f>
        <v xml:space="preserve"> </v>
      </c>
      <c r="K24" s="113" t="str">
        <f>IF(COUNTA(ngay10!R22)&gt;0,ngay10!R22," ")</f>
        <v xml:space="preserve"> </v>
      </c>
      <c r="L24" s="113" t="str">
        <f>IF(COUNTA(ngay11!R22)&gt;0,ngay11!R22," ")</f>
        <v xml:space="preserve"> </v>
      </c>
      <c r="M24" s="113" t="str">
        <f>IF(COUNTA(ngay12!R22)&gt;0,ngay12!R22," ")</f>
        <v xml:space="preserve"> </v>
      </c>
      <c r="N24" s="113" t="str">
        <f>IF(COUNTA(ngay13!R22)&gt;0,ngay13!R22," ")</f>
        <v xml:space="preserve"> </v>
      </c>
      <c r="O24" s="113" t="str">
        <f>IF(COUNTA(ngay14!R22)&gt;0,ngay14!R22," ")</f>
        <v xml:space="preserve"> </v>
      </c>
      <c r="P24" s="113" t="str">
        <f>IF(COUNTA(ngay15!R22)&gt;0,ngay15!R22," ")</f>
        <v xml:space="preserve"> </v>
      </c>
      <c r="Q24" s="113" t="str">
        <f>IF(COUNTA(ngay16!R22)&gt;0,ngay16!R22," ")</f>
        <v xml:space="preserve"> </v>
      </c>
      <c r="R24" s="113" t="str">
        <f>IF(COUNTA(ngay17!R22)&gt;0,ngay17!R22," ")</f>
        <v xml:space="preserve"> </v>
      </c>
      <c r="S24" s="113" t="str">
        <f>IF(COUNTA(ngay18!R22)&gt;0,ngay18!R22," ")</f>
        <v xml:space="preserve"> </v>
      </c>
      <c r="T24" s="113" t="str">
        <f>IF(COUNTA(ngay19!R22)&gt;0,ngay19!R22," ")</f>
        <v xml:space="preserve"> </v>
      </c>
      <c r="U24" s="113" t="str">
        <f>IF(COUNTA(ngay20!R22)&gt;0,ngay20!R22," ")</f>
        <v xml:space="preserve"> </v>
      </c>
      <c r="V24" s="113" t="str">
        <f>IF(COUNTA(ngay21!R22)&gt;0,ngay21!R22," ")</f>
        <v xml:space="preserve"> </v>
      </c>
      <c r="W24" s="113" t="str">
        <f>IF(COUNTA(ngay22!R22)&gt;0,ngay22!R22," ")</f>
        <v xml:space="preserve"> </v>
      </c>
      <c r="X24" s="113" t="str">
        <f>IF(COUNTA(ngay23!R22)&gt;0,ngay23!R22," ")</f>
        <v xml:space="preserve"> </v>
      </c>
      <c r="Y24" s="113" t="str">
        <f>IF(COUNTA(ngay24!R22)&gt;0,ngay24!R22," ")</f>
        <v xml:space="preserve"> </v>
      </c>
      <c r="Z24" s="113" t="str">
        <f>IF(COUNTA(ngay25!R22)&gt;0,ngay25!R22," ")</f>
        <v xml:space="preserve"> </v>
      </c>
      <c r="AA24" s="113" t="str">
        <f>IF(COUNTA(ngay26!R22)&gt;0,ngay26!R22," ")</f>
        <v xml:space="preserve"> </v>
      </c>
      <c r="AB24" s="113" t="str">
        <f>IF(COUNTA(ngay27!R22)&gt;0,ngay27!R22," ")</f>
        <v xml:space="preserve"> </v>
      </c>
      <c r="AC24" s="113" t="str">
        <f>IF(COUNTA(ngay28!R22)&gt;0,ngay28!R22," ")</f>
        <v xml:space="preserve"> </v>
      </c>
      <c r="AD24" s="113" t="str">
        <f>IF(COUNTA(ngay29!R22)&gt;0,ngay29!R22," ")</f>
        <v xml:space="preserve"> </v>
      </c>
      <c r="AE24" s="113" t="str">
        <f>IF(COUNTA(ngay30!R22)&gt;0,ngay30!R22," ")</f>
        <v xml:space="preserve"> </v>
      </c>
      <c r="AF24" s="113" t="str">
        <f>IF(COUNTA(ngay31!R22)&gt;0,ngay31!R22," ")</f>
        <v xml:space="preserve"> </v>
      </c>
      <c r="AG24" s="104">
        <f t="shared" si="1"/>
        <v>0</v>
      </c>
      <c r="AH24" s="104">
        <f t="shared" si="2"/>
        <v>0</v>
      </c>
      <c r="AI24" s="104">
        <f t="shared" si="3"/>
        <v>0</v>
      </c>
      <c r="AJ24" s="9" t="str">
        <f t="shared" si="0"/>
        <v/>
      </c>
      <c r="AK24" s="104"/>
    </row>
    <row r="25" spans="1:37" ht="12.75">
      <c r="A25" s="183" t="s">
        <v>146</v>
      </c>
      <c r="B25" s="113" t="str">
        <f>IF(COUNTA(ngay01!R23)&gt;0,ngay01!R23," ")</f>
        <v xml:space="preserve"> </v>
      </c>
      <c r="C25" s="113" t="str">
        <f>IF(COUNTA(ngay02!R23)&gt;0,ngay02!R23," ")</f>
        <v xml:space="preserve"> </v>
      </c>
      <c r="D25" s="113" t="str">
        <f>IF(COUNTA(ngay03!R23)&gt;0,ngay03!R23," ")</f>
        <v xml:space="preserve"> </v>
      </c>
      <c r="E25" s="113" t="str">
        <f>IF(COUNTA(ngay04!R23)&gt;0,ngay04!R23," ")</f>
        <v xml:space="preserve"> </v>
      </c>
      <c r="F25" s="113" t="str">
        <f>IF(COUNTA(ngay05!R23)&gt;0,ngay05!R23," ")</f>
        <v xml:space="preserve"> </v>
      </c>
      <c r="G25" s="113" t="str">
        <f>IF(COUNTA(ngay06!R23)&gt;0,ngay06!R23," ")</f>
        <v xml:space="preserve"> </v>
      </c>
      <c r="H25" s="113" t="str">
        <f>IF(COUNTA(ngay07!R23)&gt;0,ngay07!R23," ")</f>
        <v xml:space="preserve"> </v>
      </c>
      <c r="I25" s="113" t="str">
        <f>IF(COUNTA(ngay08!R23)&gt;0,ngay08!R23," ")</f>
        <v xml:space="preserve"> </v>
      </c>
      <c r="J25" s="113" t="str">
        <f>IF(COUNTA(ngay09!R23)&gt;0,ngay09!R23," ")</f>
        <v xml:space="preserve"> </v>
      </c>
      <c r="K25" s="113" t="str">
        <f>IF(COUNTA(ngay10!R23)&gt;0,ngay10!R23," ")</f>
        <v xml:space="preserve"> </v>
      </c>
      <c r="L25" s="113" t="str">
        <f>IF(COUNTA(ngay11!R23)&gt;0,ngay11!R23," ")</f>
        <v xml:space="preserve"> </v>
      </c>
      <c r="M25" s="113" t="str">
        <f>IF(COUNTA(ngay12!R23)&gt;0,ngay12!R23," ")</f>
        <v xml:space="preserve"> </v>
      </c>
      <c r="N25" s="113" t="str">
        <f>IF(COUNTA(ngay13!R23)&gt;0,ngay13!R23," ")</f>
        <v xml:space="preserve"> </v>
      </c>
      <c r="O25" s="113" t="str">
        <f>IF(COUNTA(ngay14!R23)&gt;0,ngay14!R23," ")</f>
        <v xml:space="preserve"> </v>
      </c>
      <c r="P25" s="113" t="str">
        <f>IF(COUNTA(ngay15!R23)&gt;0,ngay15!R23," ")</f>
        <v xml:space="preserve"> </v>
      </c>
      <c r="Q25" s="113" t="str">
        <f>IF(COUNTA(ngay16!R23)&gt;0,ngay16!R23," ")</f>
        <v xml:space="preserve"> </v>
      </c>
      <c r="R25" s="113" t="str">
        <f>IF(COUNTA(ngay17!R23)&gt;0,ngay17!R23," ")</f>
        <v xml:space="preserve"> </v>
      </c>
      <c r="S25" s="113" t="str">
        <f>IF(COUNTA(ngay18!R23)&gt;0,ngay18!R23," ")</f>
        <v xml:space="preserve"> </v>
      </c>
      <c r="T25" s="113" t="str">
        <f>IF(COUNTA(ngay19!R23)&gt;0,ngay19!R23," ")</f>
        <v xml:space="preserve"> </v>
      </c>
      <c r="U25" s="113" t="str">
        <f>IF(COUNTA(ngay20!R23)&gt;0,ngay20!R23," ")</f>
        <v xml:space="preserve"> </v>
      </c>
      <c r="V25" s="113" t="str">
        <f>IF(COUNTA(ngay21!R23)&gt;0,ngay21!R23," ")</f>
        <v xml:space="preserve"> </v>
      </c>
      <c r="W25" s="113" t="str">
        <f>IF(COUNTA(ngay22!R23)&gt;0,ngay22!R23," ")</f>
        <v xml:space="preserve"> </v>
      </c>
      <c r="X25" s="113" t="str">
        <f>IF(COUNTA(ngay23!R23)&gt;0,ngay23!R23," ")</f>
        <v xml:space="preserve"> </v>
      </c>
      <c r="Y25" s="113" t="str">
        <f>IF(COUNTA(ngay24!R23)&gt;0,ngay24!R23," ")</f>
        <v xml:space="preserve"> </v>
      </c>
      <c r="Z25" s="113" t="str">
        <f>IF(COUNTA(ngay25!R23)&gt;0,ngay25!R23," ")</f>
        <v xml:space="preserve"> </v>
      </c>
      <c r="AA25" s="113" t="str">
        <f>IF(COUNTA(ngay26!R23)&gt;0,ngay26!R23," ")</f>
        <v xml:space="preserve"> </v>
      </c>
      <c r="AB25" s="113" t="str">
        <f>IF(COUNTA(ngay27!R23)&gt;0,ngay27!R23," ")</f>
        <v xml:space="preserve"> </v>
      </c>
      <c r="AC25" s="113" t="str">
        <f>IF(COUNTA(ngay28!R23)&gt;0,ngay28!R23," ")</f>
        <v xml:space="preserve"> </v>
      </c>
      <c r="AD25" s="113" t="str">
        <f>IF(COUNTA(ngay29!R23)&gt;0,ngay29!R23," ")</f>
        <v xml:space="preserve"> </v>
      </c>
      <c r="AE25" s="113" t="str">
        <f>IF(COUNTA(ngay30!R23)&gt;0,ngay30!R23," ")</f>
        <v xml:space="preserve"> </v>
      </c>
      <c r="AF25" s="113" t="str">
        <f>IF(COUNTA(ngay31!R23)&gt;0,ngay31!R23," ")</f>
        <v xml:space="preserve"> </v>
      </c>
      <c r="AG25" s="104">
        <f t="shared" si="1"/>
        <v>0</v>
      </c>
      <c r="AH25" s="104">
        <f t="shared" si="2"/>
        <v>0</v>
      </c>
      <c r="AI25" s="104">
        <f t="shared" si="3"/>
        <v>0</v>
      </c>
      <c r="AJ25" s="9" t="str">
        <f t="shared" si="0"/>
        <v/>
      </c>
      <c r="AK25" s="104"/>
    </row>
    <row r="26" spans="1:37" ht="12.75">
      <c r="A26" s="183" t="s">
        <v>147</v>
      </c>
      <c r="B26" s="113" t="str">
        <f>IF(COUNTA(ngay01!R24)&gt;0,ngay01!R24," ")</f>
        <v xml:space="preserve"> </v>
      </c>
      <c r="C26" s="113" t="str">
        <f>IF(COUNTA(ngay02!R24)&gt;0,ngay02!R24," ")</f>
        <v xml:space="preserve"> </v>
      </c>
      <c r="D26" s="113" t="str">
        <f>IF(COUNTA(ngay03!R24)&gt;0,ngay03!R24," ")</f>
        <v xml:space="preserve"> </v>
      </c>
      <c r="E26" s="113" t="str">
        <f>IF(COUNTA(ngay04!R24)&gt;0,ngay04!R24," ")</f>
        <v xml:space="preserve"> </v>
      </c>
      <c r="F26" s="113" t="str">
        <f>IF(COUNTA(ngay05!R24)&gt;0,ngay05!R24," ")</f>
        <v xml:space="preserve"> </v>
      </c>
      <c r="G26" s="113" t="str">
        <f>IF(COUNTA(ngay06!R24)&gt;0,ngay06!R24," ")</f>
        <v xml:space="preserve"> </v>
      </c>
      <c r="H26" s="113" t="str">
        <f>IF(COUNTA(ngay07!R24)&gt;0,ngay07!R24," ")</f>
        <v xml:space="preserve"> </v>
      </c>
      <c r="I26" s="113" t="str">
        <f>IF(COUNTA(ngay08!R24)&gt;0,ngay08!R24," ")</f>
        <v xml:space="preserve"> </v>
      </c>
      <c r="J26" s="113" t="str">
        <f>IF(COUNTA(ngay09!R24)&gt;0,ngay09!R24," ")</f>
        <v xml:space="preserve"> </v>
      </c>
      <c r="K26" s="113" t="str">
        <f>IF(COUNTA(ngay10!R24)&gt;0,ngay10!R24," ")</f>
        <v xml:space="preserve"> </v>
      </c>
      <c r="L26" s="113" t="str">
        <f>IF(COUNTA(ngay11!R24)&gt;0,ngay11!R24," ")</f>
        <v xml:space="preserve"> </v>
      </c>
      <c r="M26" s="113" t="str">
        <f>IF(COUNTA(ngay12!R24)&gt;0,ngay12!R24," ")</f>
        <v xml:space="preserve"> </v>
      </c>
      <c r="N26" s="113" t="str">
        <f>IF(COUNTA(ngay13!R24)&gt;0,ngay13!R24," ")</f>
        <v xml:space="preserve"> </v>
      </c>
      <c r="O26" s="113" t="str">
        <f>IF(COUNTA(ngay14!R24)&gt;0,ngay14!R24," ")</f>
        <v xml:space="preserve"> </v>
      </c>
      <c r="P26" s="113" t="str">
        <f>IF(COUNTA(ngay15!R24)&gt;0,ngay15!R24," ")</f>
        <v xml:space="preserve"> </v>
      </c>
      <c r="Q26" s="113" t="str">
        <f>IF(COUNTA(ngay16!R24)&gt;0,ngay16!R24," ")</f>
        <v xml:space="preserve"> </v>
      </c>
      <c r="R26" s="113" t="str">
        <f>IF(COUNTA(ngay17!R24)&gt;0,ngay17!R24," ")</f>
        <v xml:space="preserve"> </v>
      </c>
      <c r="S26" s="113" t="str">
        <f>IF(COUNTA(ngay18!R24)&gt;0,ngay18!R24," ")</f>
        <v xml:space="preserve"> </v>
      </c>
      <c r="T26" s="113" t="str">
        <f>IF(COUNTA(ngay19!R24)&gt;0,ngay19!R24," ")</f>
        <v xml:space="preserve"> </v>
      </c>
      <c r="U26" s="113" t="str">
        <f>IF(COUNTA(ngay20!R24)&gt;0,ngay20!R24," ")</f>
        <v xml:space="preserve"> </v>
      </c>
      <c r="V26" s="113" t="str">
        <f>IF(COUNTA(ngay21!R24)&gt;0,ngay21!R24," ")</f>
        <v xml:space="preserve"> </v>
      </c>
      <c r="W26" s="113" t="str">
        <f>IF(COUNTA(ngay22!R24)&gt;0,ngay22!R24," ")</f>
        <v xml:space="preserve"> </v>
      </c>
      <c r="X26" s="113" t="str">
        <f>IF(COUNTA(ngay23!R24)&gt;0,ngay23!R24," ")</f>
        <v xml:space="preserve"> </v>
      </c>
      <c r="Y26" s="113" t="str">
        <f>IF(COUNTA(ngay24!R24)&gt;0,ngay24!R24," ")</f>
        <v xml:space="preserve"> </v>
      </c>
      <c r="Z26" s="113" t="str">
        <f>IF(COUNTA(ngay25!R24)&gt;0,ngay25!R24," ")</f>
        <v xml:space="preserve"> </v>
      </c>
      <c r="AA26" s="113" t="str">
        <f>IF(COUNTA(ngay26!R24)&gt;0,ngay26!R24," ")</f>
        <v xml:space="preserve"> </v>
      </c>
      <c r="AB26" s="113" t="str">
        <f>IF(COUNTA(ngay27!R24)&gt;0,ngay27!R24," ")</f>
        <v xml:space="preserve"> </v>
      </c>
      <c r="AC26" s="113" t="str">
        <f>IF(COUNTA(ngay28!R24)&gt;0,ngay28!R24," ")</f>
        <v xml:space="preserve"> </v>
      </c>
      <c r="AD26" s="113" t="str">
        <f>IF(COUNTA(ngay29!R24)&gt;0,ngay29!R24," ")</f>
        <v xml:space="preserve"> </v>
      </c>
      <c r="AE26" s="113" t="str">
        <f>IF(COUNTA(ngay30!R24)&gt;0,ngay30!R24," ")</f>
        <v xml:space="preserve"> </v>
      </c>
      <c r="AF26" s="113" t="str">
        <f>IF(COUNTA(ngay31!R24)&gt;0,ngay31!R24," ")</f>
        <v xml:space="preserve"> </v>
      </c>
      <c r="AG26" s="104">
        <f t="shared" si="1"/>
        <v>0</v>
      </c>
      <c r="AH26" s="104">
        <f t="shared" si="2"/>
        <v>0</v>
      </c>
      <c r="AI26" s="104">
        <f t="shared" si="3"/>
        <v>0</v>
      </c>
      <c r="AJ26" s="9" t="str">
        <f t="shared" si="0"/>
        <v/>
      </c>
      <c r="AK26" s="104"/>
    </row>
    <row r="27" spans="1:37" ht="12.75">
      <c r="A27" s="299" t="s">
        <v>191</v>
      </c>
      <c r="B27" s="113" t="str">
        <f>IF(COUNTA(ngay01!R25)&gt;0,ngay01!R25," ")</f>
        <v xml:space="preserve"> </v>
      </c>
      <c r="C27" s="113" t="str">
        <f>IF(COUNTA(ngay02!R25)&gt;0,ngay02!R25," ")</f>
        <v xml:space="preserve"> </v>
      </c>
      <c r="D27" s="113" t="str">
        <f>IF(COUNTA(ngay03!R25)&gt;0,ngay03!R25," ")</f>
        <v xml:space="preserve"> </v>
      </c>
      <c r="E27" s="113" t="str">
        <f>IF(COUNTA(ngay04!R25)&gt;0,ngay04!R25," ")</f>
        <v xml:space="preserve"> </v>
      </c>
      <c r="F27" s="113" t="str">
        <f>IF(COUNTA(ngay05!R25)&gt;0,ngay05!R25," ")</f>
        <v xml:space="preserve"> </v>
      </c>
      <c r="G27" s="113" t="str">
        <f>IF(COUNTA(ngay06!R25)&gt;0,ngay06!R25," ")</f>
        <v xml:space="preserve"> </v>
      </c>
      <c r="H27" s="113" t="str">
        <f>IF(COUNTA(ngay07!R25)&gt;0,ngay07!R25," ")</f>
        <v xml:space="preserve"> </v>
      </c>
      <c r="I27" s="113" t="str">
        <f>IF(COUNTA(ngay08!R25)&gt;0,ngay08!R25," ")</f>
        <v xml:space="preserve"> </v>
      </c>
      <c r="J27" s="113" t="str">
        <f>IF(COUNTA(ngay09!R25)&gt;0,ngay09!R25," ")</f>
        <v xml:space="preserve"> </v>
      </c>
      <c r="K27" s="113" t="str">
        <f>IF(COUNTA(ngay10!R25)&gt;0,ngay10!R25," ")</f>
        <v xml:space="preserve"> </v>
      </c>
      <c r="L27" s="113" t="str">
        <f>IF(COUNTA(ngay11!R25)&gt;0,ngay11!R25," ")</f>
        <v xml:space="preserve"> </v>
      </c>
      <c r="M27" s="113" t="str">
        <f>IF(COUNTA(ngay12!R25)&gt;0,ngay12!R25," ")</f>
        <v xml:space="preserve"> </v>
      </c>
      <c r="N27" s="113" t="str">
        <f>IF(COUNTA(ngay13!R25)&gt;0,ngay13!R25," ")</f>
        <v xml:space="preserve"> </v>
      </c>
      <c r="O27" s="113" t="str">
        <f>IF(COUNTA(ngay14!R25)&gt;0,ngay14!R25," ")</f>
        <v xml:space="preserve"> </v>
      </c>
      <c r="P27" s="113" t="str">
        <f>IF(COUNTA(ngay15!R25)&gt;0,ngay15!R25," ")</f>
        <v xml:space="preserve"> </v>
      </c>
      <c r="Q27" s="113" t="str">
        <f>IF(COUNTA(ngay16!R25)&gt;0,ngay16!R25," ")</f>
        <v xml:space="preserve"> </v>
      </c>
      <c r="R27" s="113" t="str">
        <f>IF(COUNTA(ngay17!R25)&gt;0,ngay17!R25," ")</f>
        <v xml:space="preserve"> </v>
      </c>
      <c r="S27" s="113" t="str">
        <f>IF(COUNTA(ngay18!R25)&gt;0,ngay18!R25," ")</f>
        <v xml:space="preserve"> </v>
      </c>
      <c r="T27" s="113" t="str">
        <f>IF(COUNTA(ngay19!R25)&gt;0,ngay19!R25," ")</f>
        <v xml:space="preserve"> </v>
      </c>
      <c r="U27" s="113" t="str">
        <f>IF(COUNTA(ngay20!R25)&gt;0,ngay20!R25," ")</f>
        <v xml:space="preserve"> </v>
      </c>
      <c r="V27" s="113" t="str">
        <f>IF(COUNTA(ngay21!R25)&gt;0,ngay21!R25," ")</f>
        <v xml:space="preserve"> </v>
      </c>
      <c r="W27" s="113" t="str">
        <f>IF(COUNTA(ngay22!R25)&gt;0,ngay22!R25," ")</f>
        <v xml:space="preserve"> </v>
      </c>
      <c r="X27" s="113" t="str">
        <f>IF(COUNTA(ngay23!R25)&gt;0,ngay23!R25," ")</f>
        <v xml:space="preserve"> </v>
      </c>
      <c r="Y27" s="113" t="str">
        <f>IF(COUNTA(ngay24!R25)&gt;0,ngay24!R25," ")</f>
        <v xml:space="preserve"> </v>
      </c>
      <c r="Z27" s="113" t="str">
        <f>IF(COUNTA(ngay25!R25)&gt;0,ngay25!R25," ")</f>
        <v xml:space="preserve"> </v>
      </c>
      <c r="AA27" s="113" t="str">
        <f>IF(COUNTA(ngay26!R25)&gt;0,ngay26!R25," ")</f>
        <v xml:space="preserve"> </v>
      </c>
      <c r="AB27" s="113" t="str">
        <f>IF(COUNTA(ngay27!R25)&gt;0,ngay27!R25," ")</f>
        <v xml:space="preserve"> </v>
      </c>
      <c r="AC27" s="113" t="str">
        <f>IF(COUNTA(ngay28!R25)&gt;0,ngay28!R25," ")</f>
        <v xml:space="preserve"> </v>
      </c>
      <c r="AD27" s="113" t="str">
        <f>IF(COUNTA(ngay29!R25)&gt;0,ngay29!R25," ")</f>
        <v xml:space="preserve"> </v>
      </c>
      <c r="AE27" s="113" t="str">
        <f>IF(COUNTA(ngay30!R25)&gt;0,ngay30!R25," ")</f>
        <v xml:space="preserve"> </v>
      </c>
      <c r="AF27" s="113" t="str">
        <f>IF(COUNTA(ngay31!R25)&gt;0,ngay31!R25," ")</f>
        <v xml:space="preserve"> </v>
      </c>
      <c r="AG27" s="104">
        <f t="shared" si="1"/>
        <v>0</v>
      </c>
      <c r="AH27" s="104">
        <f t="shared" si="2"/>
        <v>0</v>
      </c>
      <c r="AI27" s="104">
        <f t="shared" si="3"/>
        <v>0</v>
      </c>
      <c r="AJ27" s="9" t="str">
        <f t="shared" si="0"/>
        <v/>
      </c>
      <c r="AK27" s="104"/>
    </row>
    <row r="28" spans="1:37" ht="12.75">
      <c r="A28" s="55"/>
      <c r="B28" s="113" t="str">
        <f>IF(COUNTA(ngay01!R26)&gt;0,ngay01!R26," ")</f>
        <v xml:space="preserve"> </v>
      </c>
      <c r="C28" s="113" t="str">
        <f>IF(COUNTA(ngay02!R26)&gt;0,ngay02!R26," ")</f>
        <v xml:space="preserve"> </v>
      </c>
      <c r="D28" s="113" t="str">
        <f>IF(COUNTA(ngay03!R26)&gt;0,ngay03!R26," ")</f>
        <v xml:space="preserve"> </v>
      </c>
      <c r="E28" s="113" t="str">
        <f>IF(COUNTA(ngay04!R26)&gt;0,ngay04!R26," ")</f>
        <v xml:space="preserve"> </v>
      </c>
      <c r="F28" s="113" t="str">
        <f>IF(COUNTA(ngay05!R26)&gt;0,ngay05!R26," ")</f>
        <v xml:space="preserve"> </v>
      </c>
      <c r="G28" s="113" t="str">
        <f>IF(COUNTA(ngay06!R26)&gt;0,ngay06!R26," ")</f>
        <v xml:space="preserve"> </v>
      </c>
      <c r="H28" s="113" t="str">
        <f>IF(COUNTA(ngay07!R26)&gt;0,ngay07!R26," ")</f>
        <v xml:space="preserve"> </v>
      </c>
      <c r="I28" s="113" t="str">
        <f>IF(COUNTA(ngay08!R26)&gt;0,ngay08!R26," ")</f>
        <v xml:space="preserve"> </v>
      </c>
      <c r="J28" s="113" t="str">
        <f>IF(COUNTA(ngay09!R26)&gt;0,ngay09!R26," ")</f>
        <v xml:space="preserve"> </v>
      </c>
      <c r="K28" s="113" t="str">
        <f>IF(COUNTA(ngay10!R26)&gt;0,ngay10!R26," ")</f>
        <v xml:space="preserve"> </v>
      </c>
      <c r="L28" s="113" t="str">
        <f>IF(COUNTA(ngay11!R26)&gt;0,ngay11!R26," ")</f>
        <v xml:space="preserve"> </v>
      </c>
      <c r="M28" s="113" t="str">
        <f>IF(COUNTA(ngay12!R26)&gt;0,ngay12!R26," ")</f>
        <v xml:space="preserve"> </v>
      </c>
      <c r="N28" s="113" t="str">
        <f>IF(COUNTA(ngay13!R26)&gt;0,ngay13!R26," ")</f>
        <v xml:space="preserve"> </v>
      </c>
      <c r="O28" s="113" t="str">
        <f>IF(COUNTA(ngay14!R26)&gt;0,ngay14!R26," ")</f>
        <v xml:space="preserve"> </v>
      </c>
      <c r="P28" s="113" t="str">
        <f>IF(COUNTA(ngay15!R26)&gt;0,ngay15!R26," ")</f>
        <v xml:space="preserve"> </v>
      </c>
      <c r="Q28" s="113" t="str">
        <f>IF(COUNTA(ngay16!R26)&gt;0,ngay16!R26," ")</f>
        <v xml:space="preserve"> </v>
      </c>
      <c r="R28" s="113" t="str">
        <f>IF(COUNTA(ngay17!R26)&gt;0,ngay17!R26," ")</f>
        <v xml:space="preserve"> </v>
      </c>
      <c r="S28" s="113" t="str">
        <f>IF(COUNTA(ngay18!R26)&gt;0,ngay18!R26," ")</f>
        <v xml:space="preserve"> </v>
      </c>
      <c r="T28" s="113" t="str">
        <f>IF(COUNTA(ngay19!R26)&gt;0,ngay19!R26," ")</f>
        <v xml:space="preserve"> </v>
      </c>
      <c r="U28" s="113" t="str">
        <f>IF(COUNTA(ngay20!R26)&gt;0,ngay20!R26," ")</f>
        <v xml:space="preserve"> </v>
      </c>
      <c r="V28" s="113" t="str">
        <f>IF(COUNTA(ngay21!R26)&gt;0,ngay21!R26," ")</f>
        <v xml:space="preserve"> </v>
      </c>
      <c r="W28" s="113" t="str">
        <f>IF(COUNTA(ngay22!R26)&gt;0,ngay22!R26," ")</f>
        <v xml:space="preserve"> </v>
      </c>
      <c r="X28" s="113" t="str">
        <f>IF(COUNTA(ngay23!R26)&gt;0,ngay23!R26," ")</f>
        <v xml:space="preserve"> </v>
      </c>
      <c r="Y28" s="113" t="str">
        <f>IF(COUNTA(ngay24!R26)&gt;0,ngay24!R26," ")</f>
        <v xml:space="preserve"> </v>
      </c>
      <c r="Z28" s="113" t="str">
        <f>IF(COUNTA(ngay25!R26)&gt;0,ngay25!R26," ")</f>
        <v xml:space="preserve"> </v>
      </c>
      <c r="AA28" s="113" t="str">
        <f>IF(COUNTA(ngay26!R26)&gt;0,ngay26!R26," ")</f>
        <v xml:space="preserve"> </v>
      </c>
      <c r="AB28" s="113" t="str">
        <f>IF(COUNTA(ngay27!R26)&gt;0,ngay27!R26," ")</f>
        <v xml:space="preserve"> </v>
      </c>
      <c r="AC28" s="113" t="str">
        <f>IF(COUNTA(ngay28!R26)&gt;0,ngay28!R26," ")</f>
        <v xml:space="preserve"> </v>
      </c>
      <c r="AD28" s="113" t="str">
        <f>IF(COUNTA(ngay29!R26)&gt;0,ngay29!R26," ")</f>
        <v xml:space="preserve"> </v>
      </c>
      <c r="AE28" s="113" t="str">
        <f>IF(COUNTA(ngay30!R26)&gt;0,ngay30!R26," ")</f>
        <v xml:space="preserve"> </v>
      </c>
      <c r="AF28" s="113" t="str">
        <f>IF(COUNTA(ngay31!R26)&gt;0,ngay31!R26," ")</f>
        <v xml:space="preserve"> </v>
      </c>
      <c r="AG28" s="104">
        <f t="shared" si="1"/>
        <v>0</v>
      </c>
      <c r="AH28" s="104">
        <f t="shared" si="2"/>
        <v>0</v>
      </c>
      <c r="AI28" s="104">
        <f t="shared" si="3"/>
        <v>0</v>
      </c>
      <c r="AJ28" s="9" t="str">
        <f t="shared" si="0"/>
        <v/>
      </c>
      <c r="AK28" s="104"/>
    </row>
    <row r="29" spans="1:37" ht="12.75">
      <c r="A29" s="55"/>
    </row>
    <row r="30" spans="1:37" ht="12.75">
      <c r="A30" s="56"/>
    </row>
    <row r="31" spans="1:37" ht="12.75">
      <c r="A31" s="55"/>
    </row>
    <row r="32" spans="1:37" ht="12.75">
      <c r="A32" s="56"/>
    </row>
  </sheetData>
  <phoneticPr fontId="0" type="noConversion"/>
  <pageMargins left="0.39370078740157483" right="0.39370078740157483" top="0.39370078740157483" bottom="0.39370078740157483" header="0.11811023622047245" footer="0.11811023622047245"/>
  <pageSetup paperSize="9" orientation="portrait" blackAndWhite="1" horizontalDpi="4294967292" r:id="rId1"/>
  <headerFooter alignWithMargins="0">
    <oddHeader>&amp;A</oddHeader>
    <oddFooter>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53"/>
  <sheetViews>
    <sheetView zoomScale="85" zoomScaleNormal="85" workbookViewId="0">
      <selection activeCell="B7" sqref="B7:AJ27"/>
    </sheetView>
  </sheetViews>
  <sheetFormatPr defaultColWidth="6" defaultRowHeight="11.25"/>
  <cols>
    <col min="1" max="1" width="17.83203125" style="9" customWidth="1"/>
    <col min="2" max="31" width="6" style="9"/>
    <col min="32" max="32" width="7.5" style="9" customWidth="1"/>
    <col min="33" max="33" width="10.6640625" style="9" customWidth="1"/>
    <col min="34" max="34" width="12.1640625" style="9" customWidth="1"/>
    <col min="35" max="35" width="6.6640625" style="9" customWidth="1"/>
    <col min="36" max="16384" width="6" style="9"/>
  </cols>
  <sheetData>
    <row r="1" spans="1:57" ht="9" customHeight="1">
      <c r="A1" s="8"/>
      <c r="B1" s="8"/>
      <c r="C1" s="8"/>
    </row>
    <row r="2" spans="1:57" ht="6.75" customHeight="1">
      <c r="A2" s="10"/>
      <c r="B2" s="10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</row>
    <row r="3" spans="1:57" ht="12" thickBot="1"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</row>
    <row r="4" spans="1:57" s="21" customFormat="1" ht="15.75" customHeight="1">
      <c r="A4" s="11"/>
      <c r="B4" s="158" t="s">
        <v>91</v>
      </c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9"/>
      <c r="AG4" s="30" t="s">
        <v>92</v>
      </c>
      <c r="AH4" s="24"/>
      <c r="AI4" s="9"/>
      <c r="AJ4" s="9"/>
      <c r="AK4" s="9"/>
      <c r="AL4" s="9"/>
      <c r="AM4" s="9"/>
      <c r="AN4" s="9"/>
      <c r="AO4" s="9"/>
      <c r="AP4" s="9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</row>
    <row r="5" spans="1:57" ht="20.25" customHeight="1" thickBot="1">
      <c r="A5" s="17" t="s">
        <v>19</v>
      </c>
      <c r="B5" s="12">
        <v>1</v>
      </c>
      <c r="C5" s="13">
        <v>2</v>
      </c>
      <c r="D5" s="13">
        <v>3</v>
      </c>
      <c r="E5" s="13">
        <v>4</v>
      </c>
      <c r="F5" s="13">
        <v>5</v>
      </c>
      <c r="G5" s="13">
        <v>6</v>
      </c>
      <c r="H5" s="13">
        <v>7</v>
      </c>
      <c r="I5" s="13">
        <v>8</v>
      </c>
      <c r="J5" s="13">
        <v>9</v>
      </c>
      <c r="K5" s="13">
        <v>10</v>
      </c>
      <c r="L5" s="13">
        <v>11</v>
      </c>
      <c r="M5" s="13">
        <v>12</v>
      </c>
      <c r="N5" s="13">
        <v>13</v>
      </c>
      <c r="O5" s="13">
        <v>14</v>
      </c>
      <c r="P5" s="13">
        <v>15</v>
      </c>
      <c r="Q5" s="13">
        <v>16</v>
      </c>
      <c r="R5" s="13">
        <v>17</v>
      </c>
      <c r="S5" s="13">
        <v>18</v>
      </c>
      <c r="T5" s="13">
        <v>19</v>
      </c>
      <c r="U5" s="13">
        <v>20</v>
      </c>
      <c r="V5" s="13">
        <v>21</v>
      </c>
      <c r="W5" s="13">
        <v>22</v>
      </c>
      <c r="X5" s="13">
        <v>23</v>
      </c>
      <c r="Y5" s="13">
        <v>24</v>
      </c>
      <c r="Z5" s="13">
        <v>25</v>
      </c>
      <c r="AA5" s="13">
        <v>26</v>
      </c>
      <c r="AB5" s="13">
        <v>27</v>
      </c>
      <c r="AC5" s="13">
        <v>28</v>
      </c>
      <c r="AD5" s="13">
        <v>29</v>
      </c>
      <c r="AE5" s="13">
        <v>30</v>
      </c>
      <c r="AF5" s="14">
        <v>31</v>
      </c>
      <c r="AG5" s="32" t="s">
        <v>93</v>
      </c>
      <c r="AH5" s="33" t="s">
        <v>96</v>
      </c>
      <c r="AI5" s="157" t="s">
        <v>97</v>
      </c>
    </row>
    <row r="6" spans="1:57" ht="17.25" thickTop="1">
      <c r="A6" s="201" t="s">
        <v>128</v>
      </c>
      <c r="B6" s="25" t="e">
        <f>IF(ngay01!#REF!&gt;0,ngay01!#REF!," ")</f>
        <v>#REF!</v>
      </c>
      <c r="C6" s="10" t="str">
        <f>IF(ngay02!J31&gt;0,ngay02!J31," ")</f>
        <v/>
      </c>
      <c r="D6" s="10" t="str">
        <f>IF(ngay03!J31&gt;0,ngay03!J31," ")</f>
        <v/>
      </c>
      <c r="E6" s="10" t="str">
        <f>IF(ngay04!J31&gt;0,ngay04!J31," ")</f>
        <v/>
      </c>
      <c r="F6" s="10" t="str">
        <f>IF(ngay05!J31&gt;0,ngay05!J31," ")</f>
        <v/>
      </c>
      <c r="G6" s="10" t="str">
        <f>IF(ngay06!J31&gt;0,ngay06!J31," ")</f>
        <v/>
      </c>
      <c r="H6" s="10" t="str">
        <f>IF(ngay07!J31&gt;0,ngay07!J31," ")</f>
        <v/>
      </c>
      <c r="I6" s="10" t="str">
        <f>IF(ngay08!J31&gt;0,ngay08!J31," ")</f>
        <v/>
      </c>
      <c r="J6" s="10" t="str">
        <f>IF(ngay09!J31&gt;0,ngay09!J31," ")</f>
        <v/>
      </c>
      <c r="K6" s="10" t="str">
        <f>IF(ngay10!J31&gt;0,ngay10!J31," ")</f>
        <v/>
      </c>
      <c r="L6" s="10" t="str">
        <f>IF(ngay11!J31&gt;0,ngay11!J31," ")</f>
        <v/>
      </c>
      <c r="M6" s="10" t="str">
        <f>IF(ngay12!J31&gt;0,ngay12!J31," ")</f>
        <v/>
      </c>
      <c r="N6" s="10" t="str">
        <f>IF(ngay13!J31&gt;0,ngay13!J31," ")</f>
        <v/>
      </c>
      <c r="O6" s="10" t="str">
        <f>IF(ngay14!J31&gt;0,ngay14!J31," ")</f>
        <v/>
      </c>
      <c r="P6" s="10" t="str">
        <f>IF(ngay15!J31&gt;0,ngay15!J31," ")</f>
        <v/>
      </c>
      <c r="Q6" s="10" t="str">
        <f>IF(ngay16!J31&gt;0,ngay16!J31," ")</f>
        <v/>
      </c>
      <c r="R6" s="10" t="str">
        <f>IF(ngay17!J31&gt;0,ngay17!J31," ")</f>
        <v/>
      </c>
      <c r="S6" s="10" t="str">
        <f>IF(ngay18!J31&gt;0,ngay18!J31," ")</f>
        <v/>
      </c>
      <c r="T6" s="10" t="str">
        <f>IF(ngay19!J31&gt;0,ngay19!J31," ")</f>
        <v/>
      </c>
      <c r="U6" s="10" t="str">
        <f>IF(ngay20!J31&gt;0,ngay20!J31," ")</f>
        <v/>
      </c>
      <c r="V6" s="10" t="str">
        <f>IF(ngay21!J31&gt;0,ngay21!J31," ")</f>
        <v/>
      </c>
      <c r="W6" s="10" t="str">
        <f>IF(ngay22!J31&gt;0,ngay22!J31," ")</f>
        <v/>
      </c>
      <c r="X6" s="10" t="str">
        <f>IF(ngay23!J31&gt;0,ngay23!J31," ")</f>
        <v/>
      </c>
      <c r="Y6" s="10" t="str">
        <f>IF(ngay24!J31&gt;0,ngay24!J31," ")</f>
        <v/>
      </c>
      <c r="Z6" s="10" t="str">
        <f>IF(ngay25!J31&gt;0,ngay25!J31," ")</f>
        <v/>
      </c>
      <c r="AA6" s="10" t="str">
        <f>IF(ngay26!J31&gt;0,ngay26!J31," ")</f>
        <v/>
      </c>
      <c r="AB6" s="10" t="str">
        <f>IF(ngay27!J31&gt;0,ngay27!J31," ")</f>
        <v/>
      </c>
      <c r="AC6" s="10" t="str">
        <f>IF(ngay28!J31&gt;0,ngay28!J31," ")</f>
        <v/>
      </c>
      <c r="AD6" s="10" t="str">
        <f>IF(ngay29!J31&gt;0,ngay29!J31," ")</f>
        <v/>
      </c>
      <c r="AE6" s="10" t="str">
        <f>IF(ngay30!J31&gt;0,ngay30!J31," ")</f>
        <v/>
      </c>
      <c r="AF6" s="10" t="str">
        <f>IF(ngay31!J31&gt;0,ngay31!J31," ")</f>
        <v/>
      </c>
      <c r="AG6" s="9" t="e">
        <f>IF(MIN(B6:AF6)&gt;0,MIN(B6:AF6),"x")</f>
        <v>#REF!</v>
      </c>
      <c r="AH6" s="9" t="str">
        <f>IF(COUNT(B6:AF6)&gt;0,AVERAGE(B6:AF6),"x ")</f>
        <v xml:space="preserve">x </v>
      </c>
      <c r="AI6" s="9" t="e">
        <f>IF($AG6&lt;&gt;"x",INDEX($B$5:$AF$5,1,MATCH($AG6,$B6:$AF6,0)),"")</f>
        <v>#REF!</v>
      </c>
    </row>
    <row r="7" spans="1:57" ht="16.5">
      <c r="A7" s="201" t="s">
        <v>129</v>
      </c>
      <c r="B7" s="25" t="e">
        <f>IF(ngay01!#REF!&gt;0,ngay01!#REF!," ")</f>
        <v>#REF!</v>
      </c>
      <c r="C7" s="10" t="str">
        <f>IF(ngay02!J32&gt;0,ngay02!J32," ")</f>
        <v/>
      </c>
      <c r="D7" s="10" t="str">
        <f>IF(ngay03!J32&gt;0,ngay03!J32," ")</f>
        <v/>
      </c>
      <c r="E7" s="10" t="str">
        <f>IF(ngay04!J32&gt;0,ngay04!J32," ")</f>
        <v/>
      </c>
      <c r="F7" s="10" t="str">
        <f>IF(ngay05!J32&gt;0,ngay05!J32," ")</f>
        <v/>
      </c>
      <c r="G7" s="10" t="str">
        <f>IF(ngay06!J32&gt;0,ngay06!J32," ")</f>
        <v/>
      </c>
      <c r="H7" s="10" t="str">
        <f>IF(ngay07!J32&gt;0,ngay07!J32," ")</f>
        <v/>
      </c>
      <c r="I7" s="10" t="str">
        <f>IF(ngay08!J32&gt;0,ngay08!J32," ")</f>
        <v/>
      </c>
      <c r="J7" s="10" t="str">
        <f>IF(ngay09!J32&gt;0,ngay09!J32," ")</f>
        <v/>
      </c>
      <c r="K7" s="10" t="str">
        <f>IF(ngay10!J32&gt;0,ngay10!J32," ")</f>
        <v/>
      </c>
      <c r="L7" s="10" t="str">
        <f>IF(ngay11!J32&gt;0,ngay11!J32," ")</f>
        <v/>
      </c>
      <c r="M7" s="10" t="str">
        <f>IF(ngay12!J32&gt;0,ngay12!J32," ")</f>
        <v/>
      </c>
      <c r="N7" s="10" t="str">
        <f>IF(ngay13!J32&gt;0,ngay13!J32," ")</f>
        <v/>
      </c>
      <c r="O7" s="10" t="str">
        <f>IF(ngay14!J32&gt;0,ngay14!J32," ")</f>
        <v/>
      </c>
      <c r="P7" s="10" t="str">
        <f>IF(ngay15!J32&gt;0,ngay15!J32," ")</f>
        <v/>
      </c>
      <c r="Q7" s="10" t="str">
        <f>IF(ngay16!J32&gt;0,ngay16!J32," ")</f>
        <v/>
      </c>
      <c r="R7" s="10" t="str">
        <f>IF(ngay17!J32&gt;0,ngay17!J32," ")</f>
        <v/>
      </c>
      <c r="S7" s="10" t="str">
        <f>IF(ngay18!J32&gt;0,ngay18!J32," ")</f>
        <v/>
      </c>
      <c r="T7" s="10" t="str">
        <f>IF(ngay19!J32&gt;0,ngay19!J32," ")</f>
        <v/>
      </c>
      <c r="U7" s="10" t="str">
        <f>IF(ngay20!J32&gt;0,ngay20!J32," ")</f>
        <v/>
      </c>
      <c r="V7" s="10" t="str">
        <f>IF(ngay21!J32&gt;0,ngay21!J32," ")</f>
        <v/>
      </c>
      <c r="W7" s="10" t="str">
        <f>IF(ngay22!J32&gt;0,ngay22!J32," ")</f>
        <v/>
      </c>
      <c r="X7" s="10" t="str">
        <f>IF(ngay23!J32&gt;0,ngay23!J32," ")</f>
        <v/>
      </c>
      <c r="Y7" s="10" t="str">
        <f>IF(ngay24!J32&gt;0,ngay24!J32," ")</f>
        <v/>
      </c>
      <c r="Z7" s="10" t="str">
        <f>IF(ngay25!J32&gt;0,ngay25!J32," ")</f>
        <v/>
      </c>
      <c r="AA7" s="10" t="str">
        <f>IF(ngay26!J32&gt;0,ngay26!J32," ")</f>
        <v/>
      </c>
      <c r="AB7" s="10" t="str">
        <f>IF(ngay27!J32&gt;0,ngay27!J32," ")</f>
        <v/>
      </c>
      <c r="AC7" s="10" t="str">
        <f>IF(ngay28!J32&gt;0,ngay28!J32," ")</f>
        <v/>
      </c>
      <c r="AD7" s="10" t="str">
        <f>IF(ngay29!J32&gt;0,ngay29!J32," ")</f>
        <v/>
      </c>
      <c r="AE7" s="10" t="str">
        <f>IF(ngay30!J32&gt;0,ngay30!J32," ")</f>
        <v/>
      </c>
      <c r="AF7" s="10" t="str">
        <f>IF(ngay31!J32&gt;0,ngay31!J32," ")</f>
        <v/>
      </c>
      <c r="AG7" s="9" t="e">
        <f>IF(MIN(B7:AF7)&gt;0,MIN(B7:AF7),"x")</f>
        <v>#REF!</v>
      </c>
      <c r="AH7" s="9" t="str">
        <f>IF(COUNT(B7:AF7)&gt;0,AVERAGE(B7:AF7),"x ")</f>
        <v xml:space="preserve">x </v>
      </c>
      <c r="AI7" s="9" t="e">
        <f t="shared" ref="AI7:AI27" si="0">IF($AG7&lt;&gt;"x",INDEX($B$5:$AF$5,1,MATCH($AG7,$B7:$AF7,0)),"")</f>
        <v>#REF!</v>
      </c>
    </row>
    <row r="8" spans="1:57" ht="16.5">
      <c r="A8" s="201" t="s">
        <v>130</v>
      </c>
      <c r="B8" s="25" t="e">
        <f>IF(ngay01!#REF!&gt;0,ngay01!#REF!," ")</f>
        <v>#REF!</v>
      </c>
      <c r="C8" s="10" t="str">
        <f>IF(ngay02!J33&gt;0,ngay02!J33," ")</f>
        <v/>
      </c>
      <c r="D8" s="10" t="str">
        <f>IF(ngay03!J33&gt;0,ngay03!J33," ")</f>
        <v/>
      </c>
      <c r="E8" s="10" t="str">
        <f>IF(ngay04!J33&gt;0,ngay04!J33," ")</f>
        <v/>
      </c>
      <c r="F8" s="10" t="str">
        <f>IF(ngay05!J33&gt;0,ngay05!J33," ")</f>
        <v/>
      </c>
      <c r="G8" s="10" t="str">
        <f>IF(ngay06!J33&gt;0,ngay06!J33," ")</f>
        <v/>
      </c>
      <c r="H8" s="10" t="str">
        <f>IF(ngay07!J33&gt;0,ngay07!J33," ")</f>
        <v/>
      </c>
      <c r="I8" s="10" t="str">
        <f>IF(ngay08!J33&gt;0,ngay08!J33," ")</f>
        <v/>
      </c>
      <c r="J8" s="10" t="str">
        <f>IF(ngay09!J33&gt;0,ngay09!J33," ")</f>
        <v/>
      </c>
      <c r="K8" s="10" t="str">
        <f>IF(ngay10!J33&gt;0,ngay10!J33," ")</f>
        <v/>
      </c>
      <c r="L8" s="10" t="str">
        <f>IF(ngay11!J33&gt;0,ngay11!J33," ")</f>
        <v/>
      </c>
      <c r="M8" s="10" t="str">
        <f>IF(ngay12!J33&gt;0,ngay12!J33," ")</f>
        <v/>
      </c>
      <c r="N8" s="10" t="str">
        <f>IF(ngay13!J33&gt;0,ngay13!J33," ")</f>
        <v/>
      </c>
      <c r="O8" s="10" t="str">
        <f>IF(ngay14!J33&gt;0,ngay14!J33," ")</f>
        <v/>
      </c>
      <c r="P8" s="10" t="str">
        <f>IF(ngay15!J33&gt;0,ngay15!J33," ")</f>
        <v/>
      </c>
      <c r="Q8" s="10" t="str">
        <f>IF(ngay16!J33&gt;0,ngay16!J33," ")</f>
        <v/>
      </c>
      <c r="R8" s="10" t="str">
        <f>IF(ngay17!J33&gt;0,ngay17!J33," ")</f>
        <v/>
      </c>
      <c r="S8" s="10" t="str">
        <f>IF(ngay18!J33&gt;0,ngay18!J33," ")</f>
        <v/>
      </c>
      <c r="T8" s="10" t="str">
        <f>IF(ngay19!J33&gt;0,ngay19!J33," ")</f>
        <v/>
      </c>
      <c r="U8" s="10" t="str">
        <f>IF(ngay20!J33&gt;0,ngay20!J33," ")</f>
        <v/>
      </c>
      <c r="V8" s="10" t="str">
        <f>IF(ngay21!J33&gt;0,ngay21!J33," ")</f>
        <v/>
      </c>
      <c r="W8" s="10" t="str">
        <f>IF(ngay22!J33&gt;0,ngay22!J33," ")</f>
        <v/>
      </c>
      <c r="X8" s="10" t="str">
        <f>IF(ngay23!J33&gt;0,ngay23!J33," ")</f>
        <v/>
      </c>
      <c r="Y8" s="10" t="str">
        <f>IF(ngay24!J33&gt;0,ngay24!J33," ")</f>
        <v/>
      </c>
      <c r="Z8" s="10" t="str">
        <f>IF(ngay25!J33&gt;0,ngay25!J33," ")</f>
        <v/>
      </c>
      <c r="AA8" s="10" t="str">
        <f>IF(ngay26!J33&gt;0,ngay26!J33," ")</f>
        <v/>
      </c>
      <c r="AB8" s="10" t="str">
        <f>IF(ngay27!J33&gt;0,ngay27!J33," ")</f>
        <v/>
      </c>
      <c r="AC8" s="10" t="str">
        <f>IF(ngay28!J33&gt;0,ngay28!J33," ")</f>
        <v/>
      </c>
      <c r="AD8" s="10" t="str">
        <f>IF(ngay29!J33&gt;0,ngay29!J33," ")</f>
        <v/>
      </c>
      <c r="AE8" s="10" t="str">
        <f>IF(ngay30!J33&gt;0,ngay30!J33," ")</f>
        <v/>
      </c>
      <c r="AF8" s="10" t="str">
        <f>IF(ngay31!J33&gt;0,ngay31!J33," ")</f>
        <v/>
      </c>
      <c r="AG8" s="9" t="e">
        <f t="shared" ref="AG8:AG27" si="1">IF(MIN(B8:AF8)&gt;0,MIN(B8:AF8),"x")</f>
        <v>#REF!</v>
      </c>
      <c r="AH8" s="9" t="str">
        <f t="shared" ref="AH8:AH27" si="2">IF(COUNT(B8:AF8)&gt;0,AVERAGE(B8:AF8),"x ")</f>
        <v xml:space="preserve">x </v>
      </c>
      <c r="AI8" s="9" t="e">
        <f t="shared" si="0"/>
        <v>#REF!</v>
      </c>
    </row>
    <row r="9" spans="1:57" ht="16.5">
      <c r="A9" s="201" t="s">
        <v>131</v>
      </c>
      <c r="B9" s="25" t="e">
        <f>IF(ngay01!#REF!&gt;0,ngay01!#REF!," ")</f>
        <v>#REF!</v>
      </c>
      <c r="C9" s="10" t="str">
        <f>IF(ngay02!J34&gt;0,ngay02!J34," ")</f>
        <v/>
      </c>
      <c r="D9" s="10" t="str">
        <f>IF(ngay03!J34&gt;0,ngay03!J34," ")</f>
        <v/>
      </c>
      <c r="E9" s="10" t="str">
        <f>IF(ngay04!J34&gt;0,ngay04!J34," ")</f>
        <v/>
      </c>
      <c r="F9" s="10" t="str">
        <f>IF(ngay05!J34&gt;0,ngay05!J34," ")</f>
        <v/>
      </c>
      <c r="G9" s="10" t="str">
        <f>IF(ngay06!J34&gt;0,ngay06!J34," ")</f>
        <v/>
      </c>
      <c r="H9" s="10" t="str">
        <f>IF(ngay07!J34&gt;0,ngay07!J34," ")</f>
        <v/>
      </c>
      <c r="I9" s="10" t="str">
        <f>IF(ngay08!J34&gt;0,ngay08!J34," ")</f>
        <v/>
      </c>
      <c r="J9" s="10" t="str">
        <f>IF(ngay09!J34&gt;0,ngay09!J34," ")</f>
        <v/>
      </c>
      <c r="K9" s="10" t="str">
        <f>IF(ngay10!J34&gt;0,ngay10!J34," ")</f>
        <v/>
      </c>
      <c r="L9" s="10" t="str">
        <f>IF(ngay11!J34&gt;0,ngay11!J34," ")</f>
        <v/>
      </c>
      <c r="M9" s="10" t="str">
        <f>IF(ngay12!J34&gt;0,ngay12!J34," ")</f>
        <v/>
      </c>
      <c r="N9" s="10" t="str">
        <f>IF(ngay13!J34&gt;0,ngay13!J34," ")</f>
        <v/>
      </c>
      <c r="O9" s="10" t="str">
        <f>IF(ngay14!J34&gt;0,ngay14!J34," ")</f>
        <v/>
      </c>
      <c r="P9" s="10" t="str">
        <f>IF(ngay15!J34&gt;0,ngay15!J34," ")</f>
        <v/>
      </c>
      <c r="Q9" s="10" t="str">
        <f>IF(ngay16!J34&gt;0,ngay16!J34," ")</f>
        <v/>
      </c>
      <c r="R9" s="10" t="str">
        <f>IF(ngay17!J34&gt;0,ngay17!J34," ")</f>
        <v/>
      </c>
      <c r="S9" s="10" t="str">
        <f>IF(ngay18!J34&gt;0,ngay18!J34," ")</f>
        <v/>
      </c>
      <c r="T9" s="10" t="str">
        <f>IF(ngay19!J34&gt;0,ngay19!J34," ")</f>
        <v/>
      </c>
      <c r="U9" s="10" t="str">
        <f>IF(ngay20!J34&gt;0,ngay20!J34," ")</f>
        <v/>
      </c>
      <c r="V9" s="10" t="str">
        <f>IF(ngay21!J34&gt;0,ngay21!J34," ")</f>
        <v/>
      </c>
      <c r="W9" s="10" t="str">
        <f>IF(ngay22!J34&gt;0,ngay22!J34," ")</f>
        <v/>
      </c>
      <c r="X9" s="10" t="str">
        <f>IF(ngay23!J34&gt;0,ngay23!J34," ")</f>
        <v/>
      </c>
      <c r="Y9" s="10" t="str">
        <f>IF(ngay24!J34&gt;0,ngay24!J34," ")</f>
        <v/>
      </c>
      <c r="Z9" s="10" t="str">
        <f>IF(ngay25!J34&gt;0,ngay25!J34," ")</f>
        <v/>
      </c>
      <c r="AA9" s="10" t="str">
        <f>IF(ngay26!J34&gt;0,ngay26!J34," ")</f>
        <v/>
      </c>
      <c r="AB9" s="10" t="str">
        <f>IF(ngay27!J34&gt;0,ngay27!J34," ")</f>
        <v/>
      </c>
      <c r="AC9" s="10" t="str">
        <f>IF(ngay28!J34&gt;0,ngay28!J34," ")</f>
        <v/>
      </c>
      <c r="AD9" s="10" t="str">
        <f>IF(ngay29!J34&gt;0,ngay29!J34," ")</f>
        <v/>
      </c>
      <c r="AE9" s="10" t="str">
        <f>IF(ngay30!J34&gt;0,ngay30!J34," ")</f>
        <v/>
      </c>
      <c r="AF9" s="10" t="str">
        <f>IF(ngay31!J34&gt;0,ngay31!J34," ")</f>
        <v/>
      </c>
      <c r="AG9" s="9" t="e">
        <f t="shared" si="1"/>
        <v>#REF!</v>
      </c>
      <c r="AH9" s="9" t="str">
        <f t="shared" si="2"/>
        <v xml:space="preserve">x </v>
      </c>
      <c r="AI9" s="9" t="e">
        <f t="shared" si="0"/>
        <v>#REF!</v>
      </c>
    </row>
    <row r="10" spans="1:57" ht="16.5">
      <c r="A10" s="201" t="s">
        <v>132</v>
      </c>
      <c r="B10" s="25" t="e">
        <f>IF(ngay01!#REF!&gt;0,ngay01!#REF!," ")</f>
        <v>#REF!</v>
      </c>
      <c r="C10" s="10" t="str">
        <f>IF(ngay02!J35&gt;0,ngay02!J35," ")</f>
        <v/>
      </c>
      <c r="D10" s="10" t="str">
        <f>IF(ngay03!J35&gt;0,ngay03!J35," ")</f>
        <v/>
      </c>
      <c r="E10" s="10" t="str">
        <f>IF(ngay04!J35&gt;0,ngay04!J35," ")</f>
        <v/>
      </c>
      <c r="F10" s="10" t="str">
        <f>IF(ngay05!J35&gt;0,ngay05!J35," ")</f>
        <v/>
      </c>
      <c r="G10" s="10" t="str">
        <f>IF(ngay06!J35&gt;0,ngay06!J35," ")</f>
        <v/>
      </c>
      <c r="H10" s="10" t="str">
        <f>IF(ngay07!J35&gt;0,ngay07!J35," ")</f>
        <v/>
      </c>
      <c r="I10" s="10" t="str">
        <f>IF(ngay08!J35&gt;0,ngay08!J35," ")</f>
        <v/>
      </c>
      <c r="J10" s="10" t="str">
        <f>IF(ngay09!J35&gt;0,ngay09!J35," ")</f>
        <v/>
      </c>
      <c r="K10" s="10" t="str">
        <f>IF(ngay10!J35&gt;0,ngay10!J35," ")</f>
        <v/>
      </c>
      <c r="L10" s="10" t="str">
        <f>IF(ngay11!J35&gt;0,ngay11!J35," ")</f>
        <v/>
      </c>
      <c r="M10" s="10" t="str">
        <f>IF(ngay12!J35&gt;0,ngay12!J35," ")</f>
        <v/>
      </c>
      <c r="N10" s="10" t="str">
        <f>IF(ngay13!J35&gt;0,ngay13!J35," ")</f>
        <v/>
      </c>
      <c r="O10" s="10" t="str">
        <f>IF(ngay14!J35&gt;0,ngay14!J35," ")</f>
        <v/>
      </c>
      <c r="P10" s="10" t="str">
        <f>IF(ngay15!J35&gt;0,ngay15!J35," ")</f>
        <v/>
      </c>
      <c r="Q10" s="10" t="str">
        <f>IF(ngay16!J35&gt;0,ngay16!J35," ")</f>
        <v/>
      </c>
      <c r="R10" s="10" t="str">
        <f>IF(ngay17!J35&gt;0,ngay17!J35," ")</f>
        <v/>
      </c>
      <c r="S10" s="10" t="str">
        <f>IF(ngay18!J35&gt;0,ngay18!J35," ")</f>
        <v/>
      </c>
      <c r="T10" s="10" t="str">
        <f>IF(ngay19!J35&gt;0,ngay19!J35," ")</f>
        <v/>
      </c>
      <c r="U10" s="10" t="str">
        <f>IF(ngay20!J35&gt;0,ngay20!J35," ")</f>
        <v/>
      </c>
      <c r="V10" s="10" t="str">
        <f>IF(ngay21!J35&gt;0,ngay21!J35," ")</f>
        <v/>
      </c>
      <c r="W10" s="10" t="str">
        <f>IF(ngay22!J35&gt;0,ngay22!J35," ")</f>
        <v/>
      </c>
      <c r="X10" s="10" t="str">
        <f>IF(ngay23!J35&gt;0,ngay23!J35," ")</f>
        <v/>
      </c>
      <c r="Y10" s="10" t="str">
        <f>IF(ngay24!J35&gt;0,ngay24!J35," ")</f>
        <v/>
      </c>
      <c r="Z10" s="10" t="str">
        <f>IF(ngay25!J35&gt;0,ngay25!J35," ")</f>
        <v/>
      </c>
      <c r="AA10" s="10" t="str">
        <f>IF(ngay26!J35&gt;0,ngay26!J35," ")</f>
        <v/>
      </c>
      <c r="AB10" s="10" t="str">
        <f>IF(ngay27!J35&gt;0,ngay27!J35," ")</f>
        <v/>
      </c>
      <c r="AC10" s="10" t="str">
        <f>IF(ngay28!J35&gt;0,ngay28!J35," ")</f>
        <v/>
      </c>
      <c r="AD10" s="10" t="str">
        <f>IF(ngay29!J35&gt;0,ngay29!J35," ")</f>
        <v/>
      </c>
      <c r="AE10" s="10" t="str">
        <f>IF(ngay30!J35&gt;0,ngay30!J35," ")</f>
        <v/>
      </c>
      <c r="AF10" s="10" t="str">
        <f>IF(ngay31!J35&gt;0,ngay31!J35," ")</f>
        <v/>
      </c>
      <c r="AG10" s="9" t="e">
        <f t="shared" si="1"/>
        <v>#REF!</v>
      </c>
      <c r="AH10" s="9" t="str">
        <f t="shared" si="2"/>
        <v xml:space="preserve">x </v>
      </c>
      <c r="AI10" s="9" t="e">
        <f t="shared" si="0"/>
        <v>#REF!</v>
      </c>
    </row>
    <row r="11" spans="1:57" ht="16.5">
      <c r="A11" s="201" t="s">
        <v>133</v>
      </c>
      <c r="B11" s="25" t="e">
        <f>IF(ngay01!#REF!&gt;0,ngay01!#REF!," ")</f>
        <v>#REF!</v>
      </c>
      <c r="C11" s="10" t="str">
        <f>IF(ngay02!J36&gt;0,ngay02!J36," ")</f>
        <v/>
      </c>
      <c r="D11" s="10" t="str">
        <f>IF(ngay03!J36&gt;0,ngay03!J36," ")</f>
        <v/>
      </c>
      <c r="E11" s="10" t="str">
        <f>IF(ngay04!J36&gt;0,ngay04!J36," ")</f>
        <v/>
      </c>
      <c r="F11" s="10" t="str">
        <f>IF(ngay05!J36&gt;0,ngay05!J36," ")</f>
        <v/>
      </c>
      <c r="G11" s="10" t="str">
        <f>IF(ngay06!J36&gt;0,ngay06!J36," ")</f>
        <v/>
      </c>
      <c r="H11" s="10" t="str">
        <f>IF(ngay07!J36&gt;0,ngay07!J36," ")</f>
        <v/>
      </c>
      <c r="I11" s="10" t="str">
        <f>IF(ngay08!J36&gt;0,ngay08!J36," ")</f>
        <v/>
      </c>
      <c r="J11" s="10" t="str">
        <f>IF(ngay09!J36&gt;0,ngay09!J36," ")</f>
        <v/>
      </c>
      <c r="K11" s="10" t="str">
        <f>IF(ngay10!J36&gt;0,ngay10!J36," ")</f>
        <v/>
      </c>
      <c r="L11" s="10" t="str">
        <f>IF(ngay11!J36&gt;0,ngay11!J36," ")</f>
        <v/>
      </c>
      <c r="M11" s="10" t="str">
        <f>IF(ngay12!J36&gt;0,ngay12!J36," ")</f>
        <v/>
      </c>
      <c r="N11" s="10" t="str">
        <f>IF(ngay13!J36&gt;0,ngay13!J36," ")</f>
        <v/>
      </c>
      <c r="O11" s="10" t="str">
        <f>IF(ngay14!J36&gt;0,ngay14!J36," ")</f>
        <v/>
      </c>
      <c r="P11" s="10" t="str">
        <f>IF(ngay15!J36&gt;0,ngay15!J36," ")</f>
        <v/>
      </c>
      <c r="Q11" s="10" t="str">
        <f>IF(ngay16!J36&gt;0,ngay16!J36," ")</f>
        <v/>
      </c>
      <c r="R11" s="10" t="str">
        <f>IF(ngay17!J36&gt;0,ngay17!J36," ")</f>
        <v/>
      </c>
      <c r="S11" s="10" t="str">
        <f>IF(ngay18!J36&gt;0,ngay18!J36," ")</f>
        <v/>
      </c>
      <c r="T11" s="10" t="str">
        <f>IF(ngay19!J36&gt;0,ngay19!J36," ")</f>
        <v/>
      </c>
      <c r="U11" s="10" t="str">
        <f>IF(ngay20!J36&gt;0,ngay20!J36," ")</f>
        <v/>
      </c>
      <c r="V11" s="10" t="str">
        <f>IF(ngay21!J36&gt;0,ngay21!J36," ")</f>
        <v/>
      </c>
      <c r="W11" s="10" t="str">
        <f>IF(ngay22!J36&gt;0,ngay22!J36," ")</f>
        <v/>
      </c>
      <c r="X11" s="10" t="str">
        <f>IF(ngay23!J36&gt;0,ngay23!J36," ")</f>
        <v/>
      </c>
      <c r="Y11" s="10" t="str">
        <f>IF(ngay24!J36&gt;0,ngay24!J36," ")</f>
        <v/>
      </c>
      <c r="Z11" s="10" t="str">
        <f>IF(ngay25!J36&gt;0,ngay25!J36," ")</f>
        <v/>
      </c>
      <c r="AA11" s="10" t="str">
        <f>IF(ngay26!J36&gt;0,ngay26!J36," ")</f>
        <v/>
      </c>
      <c r="AB11" s="10" t="str">
        <f>IF(ngay27!J36&gt;0,ngay27!J36," ")</f>
        <v/>
      </c>
      <c r="AC11" s="10" t="str">
        <f>IF(ngay28!J36&gt;0,ngay28!J36," ")</f>
        <v/>
      </c>
      <c r="AD11" s="10" t="str">
        <f>IF(ngay29!J36&gt;0,ngay29!J36," ")</f>
        <v/>
      </c>
      <c r="AE11" s="10" t="str">
        <f>IF(ngay30!J36&gt;0,ngay30!J36," ")</f>
        <v/>
      </c>
      <c r="AF11" s="10" t="str">
        <f>IF(ngay31!J36&gt;0,ngay31!J36," ")</f>
        <v/>
      </c>
      <c r="AG11" s="9" t="e">
        <f t="shared" si="1"/>
        <v>#REF!</v>
      </c>
      <c r="AH11" s="9" t="str">
        <f t="shared" si="2"/>
        <v xml:space="preserve">x </v>
      </c>
      <c r="AI11" s="9" t="e">
        <f t="shared" si="0"/>
        <v>#REF!</v>
      </c>
    </row>
    <row r="12" spans="1:57" ht="16.5">
      <c r="A12" s="201" t="s">
        <v>134</v>
      </c>
      <c r="B12" s="25" t="e">
        <f>IF(ngay01!#REF!&gt;0,ngay01!#REF!," ")</f>
        <v>#REF!</v>
      </c>
      <c r="C12" s="10" t="str">
        <f>IF(ngay02!J37&gt;0,ngay02!J37," ")</f>
        <v/>
      </c>
      <c r="D12" s="10" t="str">
        <f>IF(ngay03!J37&gt;0,ngay03!J37," ")</f>
        <v/>
      </c>
      <c r="E12" s="10" t="str">
        <f>IF(ngay04!J37&gt;0,ngay04!J37," ")</f>
        <v/>
      </c>
      <c r="F12" s="10" t="str">
        <f>IF(ngay05!J37&gt;0,ngay05!J37," ")</f>
        <v/>
      </c>
      <c r="G12" s="10" t="str">
        <f>IF(ngay06!J37&gt;0,ngay06!J37," ")</f>
        <v/>
      </c>
      <c r="H12" s="10" t="str">
        <f>IF(ngay07!J37&gt;0,ngay07!J37," ")</f>
        <v/>
      </c>
      <c r="I12" s="10" t="str">
        <f>IF(ngay08!J37&gt;0,ngay08!J37," ")</f>
        <v/>
      </c>
      <c r="J12" s="10" t="str">
        <f>IF(ngay09!J37&gt;0,ngay09!J37," ")</f>
        <v/>
      </c>
      <c r="K12" s="10" t="str">
        <f>IF(ngay10!J37&gt;0,ngay10!J37," ")</f>
        <v/>
      </c>
      <c r="L12" s="10" t="str">
        <f>IF(ngay11!J37&gt;0,ngay11!J37," ")</f>
        <v/>
      </c>
      <c r="M12" s="10" t="str">
        <f>IF(ngay12!J37&gt;0,ngay12!J37," ")</f>
        <v/>
      </c>
      <c r="N12" s="10" t="str">
        <f>IF(ngay13!J37&gt;0,ngay13!J37," ")</f>
        <v/>
      </c>
      <c r="O12" s="10" t="str">
        <f>IF(ngay14!J37&gt;0,ngay14!J37," ")</f>
        <v/>
      </c>
      <c r="P12" s="10" t="str">
        <f>IF(ngay15!J37&gt;0,ngay15!J37," ")</f>
        <v/>
      </c>
      <c r="Q12" s="10" t="str">
        <f>IF(ngay16!J37&gt;0,ngay16!J37," ")</f>
        <v/>
      </c>
      <c r="R12" s="10" t="str">
        <f>IF(ngay17!J37&gt;0,ngay17!J37," ")</f>
        <v/>
      </c>
      <c r="S12" s="10" t="str">
        <f>IF(ngay18!J37&gt;0,ngay18!J37," ")</f>
        <v/>
      </c>
      <c r="T12" s="10" t="str">
        <f>IF(ngay19!J37&gt;0,ngay19!J37," ")</f>
        <v/>
      </c>
      <c r="U12" s="10" t="str">
        <f>IF(ngay20!J37&gt;0,ngay20!J37," ")</f>
        <v/>
      </c>
      <c r="V12" s="10" t="str">
        <f>IF(ngay21!J37&gt;0,ngay21!J37," ")</f>
        <v/>
      </c>
      <c r="W12" s="10" t="str">
        <f>IF(ngay22!J37&gt;0,ngay22!J37," ")</f>
        <v/>
      </c>
      <c r="X12" s="10" t="str">
        <f>IF(ngay23!J37&gt;0,ngay23!J37," ")</f>
        <v/>
      </c>
      <c r="Y12" s="10" t="str">
        <f>IF(ngay24!J37&gt;0,ngay24!J37," ")</f>
        <v/>
      </c>
      <c r="Z12" s="10" t="str">
        <f>IF(ngay25!J37&gt;0,ngay25!J37," ")</f>
        <v/>
      </c>
      <c r="AA12" s="10" t="str">
        <f>IF(ngay26!J37&gt;0,ngay26!J37," ")</f>
        <v/>
      </c>
      <c r="AB12" s="10" t="str">
        <f>IF(ngay27!J37&gt;0,ngay27!J37," ")</f>
        <v/>
      </c>
      <c r="AC12" s="10" t="str">
        <f>IF(ngay28!J37&gt;0,ngay28!J37," ")</f>
        <v/>
      </c>
      <c r="AD12" s="10" t="str">
        <f>IF(ngay29!J37&gt;0,ngay29!J37," ")</f>
        <v/>
      </c>
      <c r="AE12" s="10" t="str">
        <f>IF(ngay30!J37&gt;0,ngay30!J37," ")</f>
        <v/>
      </c>
      <c r="AF12" s="10" t="str">
        <f>IF(ngay31!J37&gt;0,ngay31!J37," ")</f>
        <v/>
      </c>
      <c r="AG12" s="9" t="e">
        <f t="shared" si="1"/>
        <v>#REF!</v>
      </c>
      <c r="AH12" s="9" t="str">
        <f t="shared" si="2"/>
        <v xml:space="preserve">x </v>
      </c>
      <c r="AI12" s="9" t="e">
        <f t="shared" si="0"/>
        <v>#REF!</v>
      </c>
    </row>
    <row r="13" spans="1:57" ht="16.5">
      <c r="A13" s="201" t="s">
        <v>192</v>
      </c>
      <c r="B13" s="25" t="e">
        <f>IF(ngay01!#REF!&gt;0,ngay01!#REF!," ")</f>
        <v>#REF!</v>
      </c>
      <c r="C13" s="10" t="str">
        <f>IF(ngay02!J38&gt;0,ngay02!J38," ")</f>
        <v/>
      </c>
      <c r="D13" s="10" t="str">
        <f>IF(ngay03!J38&gt;0,ngay03!J38," ")</f>
        <v/>
      </c>
      <c r="E13" s="10" t="str">
        <f>IF(ngay04!J38&gt;0,ngay04!J38," ")</f>
        <v/>
      </c>
      <c r="F13" s="10" t="str">
        <f>IF(ngay05!J38&gt;0,ngay05!J38," ")</f>
        <v/>
      </c>
      <c r="G13" s="10" t="str">
        <f>IF(ngay06!J38&gt;0,ngay06!J38," ")</f>
        <v/>
      </c>
      <c r="H13" s="10" t="str">
        <f>IF(ngay07!J38&gt;0,ngay07!J38," ")</f>
        <v/>
      </c>
      <c r="I13" s="10" t="str">
        <f>IF(ngay08!J38&gt;0,ngay08!J38," ")</f>
        <v/>
      </c>
      <c r="J13" s="10" t="str">
        <f>IF(ngay09!J38&gt;0,ngay09!J38," ")</f>
        <v/>
      </c>
      <c r="K13" s="10" t="str">
        <f>IF(ngay10!J38&gt;0,ngay10!J38," ")</f>
        <v/>
      </c>
      <c r="L13" s="10" t="str">
        <f>IF(ngay11!J38&gt;0,ngay11!J38," ")</f>
        <v/>
      </c>
      <c r="M13" s="10" t="str">
        <f>IF(ngay12!J38&gt;0,ngay12!J38," ")</f>
        <v/>
      </c>
      <c r="N13" s="10" t="str">
        <f>IF(ngay13!J38&gt;0,ngay13!J38," ")</f>
        <v/>
      </c>
      <c r="O13" s="10" t="str">
        <f>IF(ngay14!J38&gt;0,ngay14!J38," ")</f>
        <v/>
      </c>
      <c r="P13" s="10" t="str">
        <f>IF(ngay15!J38&gt;0,ngay15!J38," ")</f>
        <v/>
      </c>
      <c r="Q13" s="10" t="str">
        <f>IF(ngay16!J38&gt;0,ngay16!J38," ")</f>
        <v/>
      </c>
      <c r="R13" s="10" t="str">
        <f>IF(ngay17!J38&gt;0,ngay17!J38," ")</f>
        <v/>
      </c>
      <c r="S13" s="10" t="str">
        <f>IF(ngay18!J38&gt;0,ngay18!J38," ")</f>
        <v/>
      </c>
      <c r="T13" s="10" t="str">
        <f>IF(ngay19!J38&gt;0,ngay19!J38," ")</f>
        <v/>
      </c>
      <c r="U13" s="10" t="str">
        <f>IF(ngay20!J38&gt;0,ngay20!J38," ")</f>
        <v/>
      </c>
      <c r="V13" s="10" t="str">
        <f>IF(ngay21!J38&gt;0,ngay21!J38," ")</f>
        <v/>
      </c>
      <c r="W13" s="10" t="str">
        <f>IF(ngay22!J38&gt;0,ngay22!J38," ")</f>
        <v/>
      </c>
      <c r="X13" s="10" t="str">
        <f>IF(ngay23!J38&gt;0,ngay23!J38," ")</f>
        <v/>
      </c>
      <c r="Y13" s="10" t="str">
        <f>IF(ngay24!J38&gt;0,ngay24!J38," ")</f>
        <v/>
      </c>
      <c r="Z13" s="10" t="str">
        <f>IF(ngay25!J38&gt;0,ngay25!J38," ")</f>
        <v/>
      </c>
      <c r="AA13" s="10" t="str">
        <f>IF(ngay26!J38&gt;0,ngay26!J38," ")</f>
        <v/>
      </c>
      <c r="AB13" s="10" t="str">
        <f>IF(ngay27!J38&gt;0,ngay27!J38," ")</f>
        <v/>
      </c>
      <c r="AC13" s="10" t="str">
        <f>IF(ngay28!J38&gt;0,ngay28!J38," ")</f>
        <v/>
      </c>
      <c r="AD13" s="10" t="str">
        <f>IF(ngay29!J38&gt;0,ngay29!J38," ")</f>
        <v/>
      </c>
      <c r="AE13" s="10" t="str">
        <f>IF(ngay30!J38&gt;0,ngay30!J38," ")</f>
        <v/>
      </c>
      <c r="AF13" s="10" t="str">
        <f>IF(ngay31!J38&gt;0,ngay31!J38," ")</f>
        <v/>
      </c>
      <c r="AG13" s="9" t="e">
        <f t="shared" si="1"/>
        <v>#REF!</v>
      </c>
      <c r="AH13" s="9" t="str">
        <f t="shared" si="2"/>
        <v xml:space="preserve">x </v>
      </c>
      <c r="AI13" s="9" t="e">
        <f t="shared" si="0"/>
        <v>#REF!</v>
      </c>
    </row>
    <row r="14" spans="1:57" ht="16.5">
      <c r="A14" s="201" t="s">
        <v>135</v>
      </c>
      <c r="B14" s="25" t="e">
        <f>IF(ngay01!#REF!&gt;0,ngay01!#REF!," ")</f>
        <v>#REF!</v>
      </c>
      <c r="C14" s="10" t="str">
        <f>IF(ngay02!J39&gt;0,ngay02!J39," ")</f>
        <v/>
      </c>
      <c r="D14" s="10" t="str">
        <f>IF(ngay03!J39&gt;0,ngay03!J39," ")</f>
        <v/>
      </c>
      <c r="E14" s="10" t="str">
        <f>IF(ngay04!J39&gt;0,ngay04!J39," ")</f>
        <v/>
      </c>
      <c r="F14" s="10" t="str">
        <f>IF(ngay05!J39&gt;0,ngay05!J39," ")</f>
        <v/>
      </c>
      <c r="G14" s="10" t="str">
        <f>IF(ngay06!J39&gt;0,ngay06!J39," ")</f>
        <v/>
      </c>
      <c r="H14" s="10" t="str">
        <f>IF(ngay07!J39&gt;0,ngay07!J39," ")</f>
        <v/>
      </c>
      <c r="I14" s="10" t="str">
        <f>IF(ngay08!J39&gt;0,ngay08!J39," ")</f>
        <v/>
      </c>
      <c r="J14" s="10" t="str">
        <f>IF(ngay09!J39&gt;0,ngay09!J39," ")</f>
        <v/>
      </c>
      <c r="K14" s="10" t="str">
        <f>IF(ngay10!J39&gt;0,ngay10!J39," ")</f>
        <v/>
      </c>
      <c r="L14" s="10" t="str">
        <f>IF(ngay11!J39&gt;0,ngay11!J39," ")</f>
        <v/>
      </c>
      <c r="M14" s="10" t="str">
        <f>IF(ngay12!J39&gt;0,ngay12!J39," ")</f>
        <v/>
      </c>
      <c r="N14" s="10" t="str">
        <f>IF(ngay13!J39&gt;0,ngay13!J39," ")</f>
        <v/>
      </c>
      <c r="O14" s="10" t="str">
        <f>IF(ngay14!J39&gt;0,ngay14!J39," ")</f>
        <v/>
      </c>
      <c r="P14" s="10" t="str">
        <f>IF(ngay15!J39&gt;0,ngay15!J39," ")</f>
        <v/>
      </c>
      <c r="Q14" s="10" t="str">
        <f>IF(ngay16!J39&gt;0,ngay16!J39," ")</f>
        <v/>
      </c>
      <c r="R14" s="10" t="str">
        <f>IF(ngay17!J39&gt;0,ngay17!J39," ")</f>
        <v/>
      </c>
      <c r="S14" s="10" t="str">
        <f>IF(ngay18!J39&gt;0,ngay18!J39," ")</f>
        <v/>
      </c>
      <c r="T14" s="10" t="str">
        <f>IF(ngay19!J39&gt;0,ngay19!J39," ")</f>
        <v/>
      </c>
      <c r="U14" s="10" t="str">
        <f>IF(ngay20!J39&gt;0,ngay20!J39," ")</f>
        <v/>
      </c>
      <c r="V14" s="10" t="str">
        <f>IF(ngay21!J39&gt;0,ngay21!J39," ")</f>
        <v/>
      </c>
      <c r="W14" s="10" t="str">
        <f>IF(ngay22!J39&gt;0,ngay22!J39," ")</f>
        <v/>
      </c>
      <c r="X14" s="10" t="str">
        <f>IF(ngay23!J39&gt;0,ngay23!J39," ")</f>
        <v/>
      </c>
      <c r="Y14" s="10" t="str">
        <f>IF(ngay24!J39&gt;0,ngay24!J39," ")</f>
        <v/>
      </c>
      <c r="Z14" s="10" t="str">
        <f>IF(ngay25!J39&gt;0,ngay25!J39," ")</f>
        <v/>
      </c>
      <c r="AA14" s="10" t="str">
        <f>IF(ngay26!J39&gt;0,ngay26!J39," ")</f>
        <v/>
      </c>
      <c r="AB14" s="10" t="str">
        <f>IF(ngay27!J39&gt;0,ngay27!J39," ")</f>
        <v/>
      </c>
      <c r="AC14" s="10" t="str">
        <f>IF(ngay28!J39&gt;0,ngay28!J39," ")</f>
        <v/>
      </c>
      <c r="AD14" s="10" t="str">
        <f>IF(ngay29!J39&gt;0,ngay29!J39," ")</f>
        <v/>
      </c>
      <c r="AE14" s="10" t="str">
        <f>IF(ngay30!J39&gt;0,ngay30!J39," ")</f>
        <v/>
      </c>
      <c r="AF14" s="10" t="str">
        <f>IF(ngay31!J39&gt;0,ngay31!J39," ")</f>
        <v/>
      </c>
      <c r="AG14" s="9" t="e">
        <f t="shared" si="1"/>
        <v>#REF!</v>
      </c>
      <c r="AH14" s="9" t="str">
        <f t="shared" si="2"/>
        <v xml:space="preserve">x </v>
      </c>
      <c r="AI14" s="9" t="e">
        <f t="shared" si="0"/>
        <v>#REF!</v>
      </c>
    </row>
    <row r="15" spans="1:57" ht="16.5">
      <c r="A15" s="201" t="s">
        <v>136</v>
      </c>
      <c r="B15" s="25" t="e">
        <f>IF(ngay01!#REF!&gt;0,ngay01!#REF!," ")</f>
        <v>#REF!</v>
      </c>
      <c r="C15" s="10" t="str">
        <f>IF(ngay02!J40&gt;0,ngay02!J40," ")</f>
        <v/>
      </c>
      <c r="D15" s="10" t="str">
        <f>IF(ngay03!J40&gt;0,ngay03!J40," ")</f>
        <v/>
      </c>
      <c r="E15" s="10" t="str">
        <f>IF(ngay04!J40&gt;0,ngay04!J40," ")</f>
        <v/>
      </c>
      <c r="F15" s="10" t="str">
        <f>IF(ngay05!J40&gt;0,ngay05!J40," ")</f>
        <v/>
      </c>
      <c r="G15" s="10" t="str">
        <f>IF(ngay06!J40&gt;0,ngay06!J40," ")</f>
        <v/>
      </c>
      <c r="H15" s="10" t="str">
        <f>IF(ngay07!J40&gt;0,ngay07!J40," ")</f>
        <v/>
      </c>
      <c r="I15" s="10" t="str">
        <f>IF(ngay08!J40&gt;0,ngay08!J40," ")</f>
        <v/>
      </c>
      <c r="J15" s="10" t="str">
        <f>IF(ngay09!J40&gt;0,ngay09!J40," ")</f>
        <v/>
      </c>
      <c r="K15" s="10" t="str">
        <f>IF(ngay10!J40&gt;0,ngay10!J40," ")</f>
        <v/>
      </c>
      <c r="L15" s="10" t="str">
        <f>IF(ngay11!J40&gt;0,ngay11!J40," ")</f>
        <v/>
      </c>
      <c r="M15" s="10" t="str">
        <f>IF(ngay12!J40&gt;0,ngay12!J40," ")</f>
        <v/>
      </c>
      <c r="N15" s="10" t="str">
        <f>IF(ngay13!J40&gt;0,ngay13!J40," ")</f>
        <v/>
      </c>
      <c r="O15" s="10" t="str">
        <f>IF(ngay14!J40&gt;0,ngay14!J40," ")</f>
        <v/>
      </c>
      <c r="P15" s="10" t="str">
        <f>IF(ngay15!J40&gt;0,ngay15!J40," ")</f>
        <v/>
      </c>
      <c r="Q15" s="10" t="str">
        <f>IF(ngay16!J40&gt;0,ngay16!J40," ")</f>
        <v/>
      </c>
      <c r="R15" s="10" t="str">
        <f>IF(ngay17!J40&gt;0,ngay17!J40," ")</f>
        <v/>
      </c>
      <c r="S15" s="10" t="str">
        <f>IF(ngay18!J40&gt;0,ngay18!J40," ")</f>
        <v/>
      </c>
      <c r="T15" s="10" t="str">
        <f>IF(ngay19!J40&gt;0,ngay19!J40," ")</f>
        <v/>
      </c>
      <c r="U15" s="10" t="str">
        <f>IF(ngay20!J40&gt;0,ngay20!J40," ")</f>
        <v/>
      </c>
      <c r="V15" s="10" t="str">
        <f>IF(ngay21!J40&gt;0,ngay21!J40," ")</f>
        <v/>
      </c>
      <c r="W15" s="10" t="str">
        <f>IF(ngay22!J40&gt;0,ngay22!J40," ")</f>
        <v/>
      </c>
      <c r="X15" s="10" t="str">
        <f>IF(ngay23!J40&gt;0,ngay23!J40," ")</f>
        <v/>
      </c>
      <c r="Y15" s="10" t="str">
        <f>IF(ngay24!J40&gt;0,ngay24!J40," ")</f>
        <v/>
      </c>
      <c r="Z15" s="10" t="str">
        <f>IF(ngay25!J40&gt;0,ngay25!J40," ")</f>
        <v/>
      </c>
      <c r="AA15" s="10" t="str">
        <f>IF(ngay26!J40&gt;0,ngay26!J40," ")</f>
        <v/>
      </c>
      <c r="AB15" s="10" t="str">
        <f>IF(ngay27!J40&gt;0,ngay27!J40," ")</f>
        <v/>
      </c>
      <c r="AC15" s="10" t="str">
        <f>IF(ngay28!J40&gt;0,ngay28!J40," ")</f>
        <v/>
      </c>
      <c r="AD15" s="10" t="str">
        <f>IF(ngay29!J40&gt;0,ngay29!J40," ")</f>
        <v/>
      </c>
      <c r="AE15" s="10" t="str">
        <f>IF(ngay30!J40&gt;0,ngay30!J40," ")</f>
        <v/>
      </c>
      <c r="AF15" s="10" t="str">
        <f>IF(ngay31!J40&gt;0,ngay31!J40," ")</f>
        <v/>
      </c>
      <c r="AG15" s="9" t="e">
        <f t="shared" si="1"/>
        <v>#REF!</v>
      </c>
      <c r="AH15" s="9" t="str">
        <f t="shared" si="2"/>
        <v xml:space="preserve">x </v>
      </c>
      <c r="AI15" s="9" t="e">
        <f t="shared" si="0"/>
        <v>#REF!</v>
      </c>
    </row>
    <row r="16" spans="1:57" ht="16.5">
      <c r="A16" s="201" t="s">
        <v>137</v>
      </c>
      <c r="B16" s="25" t="e">
        <f>IF(ngay01!#REF!&gt;0,ngay01!#REF!," ")</f>
        <v>#REF!</v>
      </c>
      <c r="C16" s="10" t="str">
        <f>IF(ngay02!J41&gt;0,ngay02!J41," ")</f>
        <v/>
      </c>
      <c r="D16" s="10" t="str">
        <f>IF(ngay03!J41&gt;0,ngay03!J41," ")</f>
        <v/>
      </c>
      <c r="E16" s="10" t="str">
        <f>IF(ngay04!J41&gt;0,ngay04!J41," ")</f>
        <v/>
      </c>
      <c r="F16" s="10" t="str">
        <f>IF(ngay05!J41&gt;0,ngay05!J41," ")</f>
        <v/>
      </c>
      <c r="G16" s="10" t="str">
        <f>IF(ngay06!J41&gt;0,ngay06!J41," ")</f>
        <v/>
      </c>
      <c r="H16" s="10" t="str">
        <f>IF(ngay07!J41&gt;0,ngay07!J41," ")</f>
        <v/>
      </c>
      <c r="I16" s="10" t="str">
        <f>IF(ngay08!J41&gt;0,ngay08!J41," ")</f>
        <v/>
      </c>
      <c r="J16" s="10" t="str">
        <f>IF(ngay09!J41&gt;0,ngay09!J41," ")</f>
        <v/>
      </c>
      <c r="K16" s="10" t="str">
        <f>IF(ngay10!J41&gt;0,ngay10!J41," ")</f>
        <v/>
      </c>
      <c r="L16" s="10" t="str">
        <f>IF(ngay11!J41&gt;0,ngay11!J41," ")</f>
        <v/>
      </c>
      <c r="M16" s="10" t="str">
        <f>IF(ngay12!J41&gt;0,ngay12!J41," ")</f>
        <v/>
      </c>
      <c r="N16" s="10" t="str">
        <f>IF(ngay13!J41&gt;0,ngay13!J41," ")</f>
        <v/>
      </c>
      <c r="O16" s="10" t="str">
        <f>IF(ngay14!J41&gt;0,ngay14!J41," ")</f>
        <v/>
      </c>
      <c r="P16" s="10" t="str">
        <f>IF(ngay15!J41&gt;0,ngay15!J41," ")</f>
        <v/>
      </c>
      <c r="Q16" s="10" t="str">
        <f>IF(ngay16!J41&gt;0,ngay16!J41," ")</f>
        <v/>
      </c>
      <c r="R16" s="10" t="str">
        <f>IF(ngay17!J41&gt;0,ngay17!J41," ")</f>
        <v/>
      </c>
      <c r="S16" s="10" t="str">
        <f>IF(ngay18!J41&gt;0,ngay18!J41," ")</f>
        <v/>
      </c>
      <c r="T16" s="10" t="str">
        <f>IF(ngay19!J41&gt;0,ngay19!J41," ")</f>
        <v/>
      </c>
      <c r="U16" s="10" t="str">
        <f>IF(ngay20!J41&gt;0,ngay20!J41," ")</f>
        <v/>
      </c>
      <c r="V16" s="10" t="str">
        <f>IF(ngay21!J41&gt;0,ngay21!J41," ")</f>
        <v/>
      </c>
      <c r="W16" s="10" t="str">
        <f>IF(ngay22!J41&gt;0,ngay22!J41," ")</f>
        <v/>
      </c>
      <c r="X16" s="10" t="str">
        <f>IF(ngay23!J41&gt;0,ngay23!J41," ")</f>
        <v/>
      </c>
      <c r="Y16" s="10" t="str">
        <f>IF(ngay24!J41&gt;0,ngay24!J41," ")</f>
        <v/>
      </c>
      <c r="Z16" s="10" t="str">
        <f>IF(ngay25!J41&gt;0,ngay25!J41," ")</f>
        <v/>
      </c>
      <c r="AA16" s="10" t="str">
        <f>IF(ngay26!J41&gt;0,ngay26!J41," ")</f>
        <v/>
      </c>
      <c r="AB16" s="10" t="str">
        <f>IF(ngay27!J41&gt;0,ngay27!J41," ")</f>
        <v/>
      </c>
      <c r="AC16" s="10" t="str">
        <f>IF(ngay28!J41&gt;0,ngay28!J41," ")</f>
        <v/>
      </c>
      <c r="AD16" s="10" t="str">
        <f>IF(ngay29!J41&gt;0,ngay29!J41," ")</f>
        <v/>
      </c>
      <c r="AE16" s="10" t="str">
        <f>IF(ngay30!J41&gt;0,ngay30!J41," ")</f>
        <v/>
      </c>
      <c r="AF16" s="10" t="str">
        <f>IF(ngay31!J41&gt;0,ngay31!J41," ")</f>
        <v/>
      </c>
      <c r="AG16" s="9" t="e">
        <f t="shared" si="1"/>
        <v>#REF!</v>
      </c>
      <c r="AH16" s="9" t="str">
        <f t="shared" si="2"/>
        <v xml:space="preserve">x </v>
      </c>
      <c r="AI16" s="9" t="e">
        <f t="shared" si="0"/>
        <v>#REF!</v>
      </c>
    </row>
    <row r="17" spans="1:35" ht="16.5">
      <c r="A17" s="201" t="s">
        <v>138</v>
      </c>
      <c r="B17" s="25" t="e">
        <f>IF(ngay01!#REF!&gt;0,ngay01!#REF!," ")</f>
        <v>#REF!</v>
      </c>
      <c r="C17" s="10" t="str">
        <f>IF(ngay02!J42&gt;0,ngay02!J42," ")</f>
        <v/>
      </c>
      <c r="D17" s="10" t="str">
        <f>IF(ngay03!J42&gt;0,ngay03!J42," ")</f>
        <v/>
      </c>
      <c r="E17" s="10" t="str">
        <f>IF(ngay04!J42&gt;0,ngay04!J42," ")</f>
        <v/>
      </c>
      <c r="F17" s="10" t="str">
        <f>IF(ngay05!J42&gt;0,ngay05!J42," ")</f>
        <v/>
      </c>
      <c r="G17" s="10" t="str">
        <f>IF(ngay06!J42&gt;0,ngay06!J42," ")</f>
        <v/>
      </c>
      <c r="H17" s="10" t="str">
        <f>IF(ngay07!J42&gt;0,ngay07!J42," ")</f>
        <v/>
      </c>
      <c r="I17" s="10" t="str">
        <f>IF(ngay08!J42&gt;0,ngay08!J42," ")</f>
        <v/>
      </c>
      <c r="J17" s="10" t="str">
        <f>IF(ngay09!J42&gt;0,ngay09!J42," ")</f>
        <v/>
      </c>
      <c r="K17" s="10" t="str">
        <f>IF(ngay10!J42&gt;0,ngay10!J42," ")</f>
        <v/>
      </c>
      <c r="L17" s="10" t="str">
        <f>IF(ngay11!J42&gt;0,ngay11!J42," ")</f>
        <v/>
      </c>
      <c r="M17" s="10" t="str">
        <f>IF(ngay12!J42&gt;0,ngay12!J42," ")</f>
        <v/>
      </c>
      <c r="N17" s="10" t="str">
        <f>IF(ngay13!J42&gt;0,ngay13!J42," ")</f>
        <v/>
      </c>
      <c r="O17" s="10" t="str">
        <f>IF(ngay14!J42&gt;0,ngay14!J42," ")</f>
        <v/>
      </c>
      <c r="P17" s="10" t="str">
        <f>IF(ngay15!J42&gt;0,ngay15!J42," ")</f>
        <v/>
      </c>
      <c r="Q17" s="10" t="str">
        <f>IF(ngay16!J42&gt;0,ngay16!J42," ")</f>
        <v/>
      </c>
      <c r="R17" s="10" t="str">
        <f>IF(ngay17!J42&gt;0,ngay17!J42," ")</f>
        <v/>
      </c>
      <c r="S17" s="10" t="str">
        <f>IF(ngay18!J42&gt;0,ngay18!J42," ")</f>
        <v/>
      </c>
      <c r="T17" s="10" t="str">
        <f>IF(ngay19!J42&gt;0,ngay19!J42," ")</f>
        <v/>
      </c>
      <c r="U17" s="10" t="str">
        <f>IF(ngay20!J42&gt;0,ngay20!J42," ")</f>
        <v/>
      </c>
      <c r="V17" s="10" t="str">
        <f>IF(ngay21!J42&gt;0,ngay21!J42," ")</f>
        <v/>
      </c>
      <c r="W17" s="10" t="str">
        <f>IF(ngay22!J42&gt;0,ngay22!J42," ")</f>
        <v/>
      </c>
      <c r="X17" s="10" t="str">
        <f>IF(ngay23!J42&gt;0,ngay23!J42," ")</f>
        <v/>
      </c>
      <c r="Y17" s="10" t="str">
        <f>IF(ngay24!J42&gt;0,ngay24!J42," ")</f>
        <v/>
      </c>
      <c r="Z17" s="10" t="str">
        <f>IF(ngay25!J42&gt;0,ngay25!J42," ")</f>
        <v/>
      </c>
      <c r="AA17" s="10" t="str">
        <f>IF(ngay26!J42&gt;0,ngay26!J42," ")</f>
        <v/>
      </c>
      <c r="AB17" s="10" t="str">
        <f>IF(ngay27!J42&gt;0,ngay27!J42," ")</f>
        <v/>
      </c>
      <c r="AC17" s="10" t="str">
        <f>IF(ngay28!J42&gt;0,ngay28!J42," ")</f>
        <v/>
      </c>
      <c r="AD17" s="10" t="str">
        <f>IF(ngay29!J42&gt;0,ngay29!J42," ")</f>
        <v/>
      </c>
      <c r="AE17" s="10" t="str">
        <f>IF(ngay30!J42&gt;0,ngay30!J42," ")</f>
        <v/>
      </c>
      <c r="AF17" s="10" t="str">
        <f>IF(ngay31!J42&gt;0,ngay31!J42," ")</f>
        <v/>
      </c>
      <c r="AG17" s="9" t="e">
        <f t="shared" si="1"/>
        <v>#REF!</v>
      </c>
      <c r="AH17" s="9" t="str">
        <f t="shared" si="2"/>
        <v xml:space="preserve">x </v>
      </c>
      <c r="AI17" s="9" t="e">
        <f t="shared" si="0"/>
        <v>#REF!</v>
      </c>
    </row>
    <row r="18" spans="1:35" ht="16.5">
      <c r="A18" s="201" t="s">
        <v>139</v>
      </c>
      <c r="B18" s="25" t="e">
        <f>IF(ngay01!#REF!&gt;0,ngay01!#REF!," ")</f>
        <v>#REF!</v>
      </c>
      <c r="C18" s="10" t="str">
        <f>IF(ngay02!J43&gt;0,ngay02!J43," ")</f>
        <v/>
      </c>
      <c r="D18" s="10" t="str">
        <f>IF(ngay03!J43&gt;0,ngay03!J43," ")</f>
        <v/>
      </c>
      <c r="E18" s="10" t="str">
        <f>IF(ngay04!J43&gt;0,ngay04!J43," ")</f>
        <v/>
      </c>
      <c r="F18" s="10" t="str">
        <f>IF(ngay05!J43&gt;0,ngay05!J43," ")</f>
        <v/>
      </c>
      <c r="G18" s="10" t="str">
        <f>IF(ngay06!J43&gt;0,ngay06!J43," ")</f>
        <v/>
      </c>
      <c r="H18" s="10" t="str">
        <f>IF(ngay07!J43&gt;0,ngay07!J43," ")</f>
        <v/>
      </c>
      <c r="I18" s="10" t="str">
        <f>IF(ngay08!J43&gt;0,ngay08!J43," ")</f>
        <v/>
      </c>
      <c r="J18" s="10" t="str">
        <f>IF(ngay09!J43&gt;0,ngay09!J43," ")</f>
        <v/>
      </c>
      <c r="K18" s="10" t="str">
        <f>IF(ngay10!J43&gt;0,ngay10!J43," ")</f>
        <v/>
      </c>
      <c r="L18" s="10" t="str">
        <f>IF(ngay11!J43&gt;0,ngay11!J43," ")</f>
        <v/>
      </c>
      <c r="M18" s="10" t="str">
        <f>IF(ngay12!J43&gt;0,ngay12!J43," ")</f>
        <v/>
      </c>
      <c r="N18" s="10" t="str">
        <f>IF(ngay13!J43&gt;0,ngay13!J43," ")</f>
        <v/>
      </c>
      <c r="O18" s="10" t="str">
        <f>IF(ngay14!J43&gt;0,ngay14!J43," ")</f>
        <v/>
      </c>
      <c r="P18" s="10" t="str">
        <f>IF(ngay15!J43&gt;0,ngay15!J43," ")</f>
        <v/>
      </c>
      <c r="Q18" s="10" t="str">
        <f>IF(ngay16!J43&gt;0,ngay16!J43," ")</f>
        <v/>
      </c>
      <c r="R18" s="10" t="str">
        <f>IF(ngay17!J43&gt;0,ngay17!J43," ")</f>
        <v/>
      </c>
      <c r="S18" s="10" t="str">
        <f>IF(ngay18!J43&gt;0,ngay18!J43," ")</f>
        <v/>
      </c>
      <c r="T18" s="10" t="str">
        <f>IF(ngay19!J43&gt;0,ngay19!J43," ")</f>
        <v/>
      </c>
      <c r="U18" s="10" t="str">
        <f>IF(ngay20!J43&gt;0,ngay20!J43," ")</f>
        <v/>
      </c>
      <c r="V18" s="10" t="str">
        <f>IF(ngay21!J43&gt;0,ngay21!J43," ")</f>
        <v/>
      </c>
      <c r="W18" s="10" t="str">
        <f>IF(ngay22!J43&gt;0,ngay22!J43," ")</f>
        <v/>
      </c>
      <c r="X18" s="10" t="str">
        <f>IF(ngay23!J43&gt;0,ngay23!J43," ")</f>
        <v/>
      </c>
      <c r="Y18" s="10" t="str">
        <f>IF(ngay24!J43&gt;0,ngay24!J43," ")</f>
        <v/>
      </c>
      <c r="Z18" s="10" t="str">
        <f>IF(ngay25!J43&gt;0,ngay25!J43," ")</f>
        <v/>
      </c>
      <c r="AA18" s="10" t="str">
        <f>IF(ngay26!J43&gt;0,ngay26!J43," ")</f>
        <v/>
      </c>
      <c r="AB18" s="10" t="str">
        <f>IF(ngay27!J43&gt;0,ngay27!J43," ")</f>
        <v/>
      </c>
      <c r="AC18" s="10" t="str">
        <f>IF(ngay28!J43&gt;0,ngay28!J43," ")</f>
        <v/>
      </c>
      <c r="AD18" s="10" t="str">
        <f>IF(ngay29!J43&gt;0,ngay29!J43," ")</f>
        <v/>
      </c>
      <c r="AE18" s="10" t="str">
        <f>IF(ngay30!J43&gt;0,ngay30!J43," ")</f>
        <v/>
      </c>
      <c r="AF18" s="10" t="str">
        <f>IF(ngay31!J43&gt;0,ngay31!J43," ")</f>
        <v/>
      </c>
      <c r="AG18" s="9" t="e">
        <f t="shared" si="1"/>
        <v>#REF!</v>
      </c>
      <c r="AH18" s="9" t="str">
        <f t="shared" si="2"/>
        <v xml:space="preserve">x </v>
      </c>
      <c r="AI18" s="9" t="e">
        <f t="shared" si="0"/>
        <v>#REF!</v>
      </c>
    </row>
    <row r="19" spans="1:35" ht="16.5">
      <c r="A19" s="201" t="s">
        <v>140</v>
      </c>
      <c r="B19" s="25" t="e">
        <f>IF(ngay01!#REF!&gt;0,ngay01!#REF!," ")</f>
        <v>#REF!</v>
      </c>
      <c r="C19" s="10" t="str">
        <f>IF(ngay02!J44&gt;0,ngay02!J44," ")</f>
        <v/>
      </c>
      <c r="D19" s="10" t="str">
        <f>IF(ngay03!J44&gt;0,ngay03!J44," ")</f>
        <v/>
      </c>
      <c r="E19" s="10" t="str">
        <f>IF(ngay04!J44&gt;0,ngay04!J44," ")</f>
        <v/>
      </c>
      <c r="F19" s="10" t="str">
        <f>IF(ngay05!J44&gt;0,ngay05!J44," ")</f>
        <v/>
      </c>
      <c r="G19" s="10" t="str">
        <f>IF(ngay06!J44&gt;0,ngay06!J44," ")</f>
        <v/>
      </c>
      <c r="H19" s="10" t="str">
        <f>IF(ngay07!J44&gt;0,ngay07!J44," ")</f>
        <v/>
      </c>
      <c r="I19" s="10" t="str">
        <f>IF(ngay08!J44&gt;0,ngay08!J44," ")</f>
        <v/>
      </c>
      <c r="J19" s="10" t="str">
        <f>IF(ngay09!J44&gt;0,ngay09!J44," ")</f>
        <v/>
      </c>
      <c r="K19" s="10" t="str">
        <f>IF(ngay10!J44&gt;0,ngay10!J44," ")</f>
        <v/>
      </c>
      <c r="L19" s="10" t="str">
        <f>IF(ngay11!J44&gt;0,ngay11!J44," ")</f>
        <v/>
      </c>
      <c r="M19" s="10" t="str">
        <f>IF(ngay12!J44&gt;0,ngay12!J44," ")</f>
        <v/>
      </c>
      <c r="N19" s="10" t="str">
        <f>IF(ngay13!J44&gt;0,ngay13!J44," ")</f>
        <v/>
      </c>
      <c r="O19" s="10" t="str">
        <f>IF(ngay14!J44&gt;0,ngay14!J44," ")</f>
        <v/>
      </c>
      <c r="P19" s="10" t="str">
        <f>IF(ngay15!J44&gt;0,ngay15!J44," ")</f>
        <v/>
      </c>
      <c r="Q19" s="10" t="str">
        <f>IF(ngay16!J44&gt;0,ngay16!J44," ")</f>
        <v/>
      </c>
      <c r="R19" s="10" t="str">
        <f>IF(ngay17!J44&gt;0,ngay17!J44," ")</f>
        <v/>
      </c>
      <c r="S19" s="10" t="str">
        <f>IF(ngay18!J44&gt;0,ngay18!J44," ")</f>
        <v/>
      </c>
      <c r="T19" s="10" t="str">
        <f>IF(ngay19!J44&gt;0,ngay19!J44," ")</f>
        <v/>
      </c>
      <c r="U19" s="10" t="str">
        <f>IF(ngay20!J44&gt;0,ngay20!J44," ")</f>
        <v/>
      </c>
      <c r="V19" s="10" t="str">
        <f>IF(ngay21!J44&gt;0,ngay21!J44," ")</f>
        <v/>
      </c>
      <c r="W19" s="10" t="str">
        <f>IF(ngay22!J44&gt;0,ngay22!J44," ")</f>
        <v/>
      </c>
      <c r="X19" s="10" t="str">
        <f>IF(ngay23!J44&gt;0,ngay23!J44," ")</f>
        <v/>
      </c>
      <c r="Y19" s="10" t="str">
        <f>IF(ngay24!J44&gt;0,ngay24!J44," ")</f>
        <v/>
      </c>
      <c r="Z19" s="10" t="str">
        <f>IF(ngay25!J44&gt;0,ngay25!J44," ")</f>
        <v/>
      </c>
      <c r="AA19" s="10" t="str">
        <f>IF(ngay26!J44&gt;0,ngay26!J44," ")</f>
        <v/>
      </c>
      <c r="AB19" s="10" t="str">
        <f>IF(ngay27!J44&gt;0,ngay27!J44," ")</f>
        <v/>
      </c>
      <c r="AC19" s="10" t="str">
        <f>IF(ngay28!J44&gt;0,ngay28!J44," ")</f>
        <v/>
      </c>
      <c r="AD19" s="10" t="str">
        <f>IF(ngay29!J44&gt;0,ngay29!J44," ")</f>
        <v/>
      </c>
      <c r="AE19" s="10" t="str">
        <f>IF(ngay30!J44&gt;0,ngay30!J44," ")</f>
        <v/>
      </c>
      <c r="AF19" s="10" t="str">
        <f>IF(ngay31!J44&gt;0,ngay31!J44," ")</f>
        <v/>
      </c>
      <c r="AG19" s="9" t="e">
        <f t="shared" si="1"/>
        <v>#REF!</v>
      </c>
      <c r="AH19" s="9" t="str">
        <f t="shared" si="2"/>
        <v xml:space="preserve">x </v>
      </c>
      <c r="AI19" s="9" t="e">
        <f t="shared" si="0"/>
        <v>#REF!</v>
      </c>
    </row>
    <row r="20" spans="1:35" ht="16.5">
      <c r="A20" s="201" t="s">
        <v>141</v>
      </c>
      <c r="B20" s="25" t="e">
        <f>IF(ngay01!#REF!&gt;0,ngay01!#REF!," ")</f>
        <v>#REF!</v>
      </c>
      <c r="C20" s="10" t="str">
        <f>IF(ngay02!J45&gt;0,ngay02!J45," ")</f>
        <v/>
      </c>
      <c r="D20" s="10" t="str">
        <f>IF(ngay03!J45&gt;0,ngay03!J45," ")</f>
        <v/>
      </c>
      <c r="E20" s="10" t="str">
        <f>IF(ngay04!J45&gt;0,ngay04!J45," ")</f>
        <v/>
      </c>
      <c r="F20" s="10" t="str">
        <f>IF(ngay05!J45&gt;0,ngay05!J45," ")</f>
        <v/>
      </c>
      <c r="G20" s="10" t="str">
        <f>IF(ngay06!J45&gt;0,ngay06!J45," ")</f>
        <v/>
      </c>
      <c r="H20" s="10" t="str">
        <f>IF(ngay07!J45&gt;0,ngay07!J45," ")</f>
        <v/>
      </c>
      <c r="I20" s="10" t="str">
        <f>IF(ngay08!J45&gt;0,ngay08!J45," ")</f>
        <v/>
      </c>
      <c r="J20" s="10" t="str">
        <f>IF(ngay09!J45&gt;0,ngay09!J45," ")</f>
        <v/>
      </c>
      <c r="K20" s="10" t="str">
        <f>IF(ngay10!J45&gt;0,ngay10!J45," ")</f>
        <v/>
      </c>
      <c r="L20" s="10" t="str">
        <f>IF(ngay11!J45&gt;0,ngay11!J45," ")</f>
        <v/>
      </c>
      <c r="M20" s="10" t="str">
        <f>IF(ngay12!J45&gt;0,ngay12!J45," ")</f>
        <v/>
      </c>
      <c r="N20" s="10" t="str">
        <f>IF(ngay13!J45&gt;0,ngay13!J45," ")</f>
        <v/>
      </c>
      <c r="O20" s="10" t="str">
        <f>IF(ngay14!J45&gt;0,ngay14!J45," ")</f>
        <v/>
      </c>
      <c r="P20" s="10" t="str">
        <f>IF(ngay15!J45&gt;0,ngay15!J45," ")</f>
        <v/>
      </c>
      <c r="Q20" s="10" t="str">
        <f>IF(ngay16!J45&gt;0,ngay16!J45," ")</f>
        <v/>
      </c>
      <c r="R20" s="10" t="str">
        <f>IF(ngay17!J45&gt;0,ngay17!J45," ")</f>
        <v/>
      </c>
      <c r="S20" s="10" t="str">
        <f>IF(ngay18!J45&gt;0,ngay18!J45," ")</f>
        <v/>
      </c>
      <c r="T20" s="10" t="str">
        <f>IF(ngay19!J45&gt;0,ngay19!J45," ")</f>
        <v/>
      </c>
      <c r="U20" s="10" t="str">
        <f>IF(ngay20!J45&gt;0,ngay20!J45," ")</f>
        <v/>
      </c>
      <c r="V20" s="10" t="str">
        <f>IF(ngay21!J45&gt;0,ngay21!J45," ")</f>
        <v/>
      </c>
      <c r="W20" s="10" t="str">
        <f>IF(ngay22!J45&gt;0,ngay22!J45," ")</f>
        <v/>
      </c>
      <c r="X20" s="10" t="str">
        <f>IF(ngay23!J45&gt;0,ngay23!J45," ")</f>
        <v/>
      </c>
      <c r="Y20" s="10" t="str">
        <f>IF(ngay24!J45&gt;0,ngay24!J45," ")</f>
        <v/>
      </c>
      <c r="Z20" s="10" t="str">
        <f>IF(ngay25!J45&gt;0,ngay25!J45," ")</f>
        <v/>
      </c>
      <c r="AA20" s="10" t="str">
        <f>IF(ngay26!J45&gt;0,ngay26!J45," ")</f>
        <v/>
      </c>
      <c r="AB20" s="10" t="str">
        <f>IF(ngay27!J45&gt;0,ngay27!J45," ")</f>
        <v/>
      </c>
      <c r="AC20" s="10" t="str">
        <f>IF(ngay28!J45&gt;0,ngay28!J45," ")</f>
        <v/>
      </c>
      <c r="AD20" s="10" t="str">
        <f>IF(ngay29!J45&gt;0,ngay29!J45," ")</f>
        <v/>
      </c>
      <c r="AE20" s="10" t="str">
        <f>IF(ngay30!J45&gt;0,ngay30!J45," ")</f>
        <v/>
      </c>
      <c r="AF20" s="10" t="str">
        <f>IF(ngay31!J45&gt;0,ngay31!J45," ")</f>
        <v/>
      </c>
      <c r="AG20" s="9" t="e">
        <f t="shared" si="1"/>
        <v>#REF!</v>
      </c>
      <c r="AH20" s="9" t="str">
        <f t="shared" si="2"/>
        <v xml:space="preserve">x </v>
      </c>
      <c r="AI20" s="9" t="e">
        <f t="shared" si="0"/>
        <v>#REF!</v>
      </c>
    </row>
    <row r="21" spans="1:35" ht="16.5">
      <c r="A21" s="201" t="s">
        <v>142</v>
      </c>
      <c r="B21" s="25" t="e">
        <f>IF(ngay01!#REF!&gt;0,ngay01!#REF!," ")</f>
        <v>#REF!</v>
      </c>
      <c r="C21" s="10" t="str">
        <f>IF(ngay02!J46&gt;0,ngay02!J46," ")</f>
        <v/>
      </c>
      <c r="D21" s="10" t="str">
        <f>IF(ngay03!J46&gt;0,ngay03!J46," ")</f>
        <v/>
      </c>
      <c r="E21" s="10" t="str">
        <f>IF(ngay04!J46&gt;0,ngay04!J46," ")</f>
        <v/>
      </c>
      <c r="F21" s="10" t="str">
        <f>IF(ngay05!J46&gt;0,ngay05!J46," ")</f>
        <v/>
      </c>
      <c r="G21" s="10" t="str">
        <f>IF(ngay06!J46&gt;0,ngay06!J46," ")</f>
        <v/>
      </c>
      <c r="H21" s="10" t="str">
        <f>IF(ngay07!J46&gt;0,ngay07!J46," ")</f>
        <v/>
      </c>
      <c r="I21" s="10" t="str">
        <f>IF(ngay08!J46&gt;0,ngay08!J46," ")</f>
        <v/>
      </c>
      <c r="J21" s="10" t="str">
        <f>IF(ngay09!J46&gt;0,ngay09!J46," ")</f>
        <v/>
      </c>
      <c r="K21" s="10" t="str">
        <f>IF(ngay10!J46&gt;0,ngay10!J46," ")</f>
        <v/>
      </c>
      <c r="L21" s="10" t="str">
        <f>IF(ngay11!J46&gt;0,ngay11!J46," ")</f>
        <v/>
      </c>
      <c r="M21" s="10" t="str">
        <f>IF(ngay12!J46&gt;0,ngay12!J46," ")</f>
        <v/>
      </c>
      <c r="N21" s="10" t="str">
        <f>IF(ngay13!J46&gt;0,ngay13!J46," ")</f>
        <v/>
      </c>
      <c r="O21" s="10" t="str">
        <f>IF(ngay14!J46&gt;0,ngay14!J46," ")</f>
        <v/>
      </c>
      <c r="P21" s="10" t="str">
        <f>IF(ngay15!J46&gt;0,ngay15!J46," ")</f>
        <v/>
      </c>
      <c r="Q21" s="10" t="str">
        <f>IF(ngay16!J46&gt;0,ngay16!J46," ")</f>
        <v/>
      </c>
      <c r="R21" s="10" t="str">
        <f>IF(ngay17!J46&gt;0,ngay17!J46," ")</f>
        <v/>
      </c>
      <c r="S21" s="10" t="str">
        <f>IF(ngay18!J46&gt;0,ngay18!J46," ")</f>
        <v/>
      </c>
      <c r="T21" s="10" t="str">
        <f>IF(ngay19!J46&gt;0,ngay19!J46," ")</f>
        <v/>
      </c>
      <c r="U21" s="10" t="str">
        <f>IF(ngay20!J46&gt;0,ngay20!J46," ")</f>
        <v/>
      </c>
      <c r="V21" s="10" t="str">
        <f>IF(ngay21!J46&gt;0,ngay21!J46," ")</f>
        <v/>
      </c>
      <c r="W21" s="10" t="str">
        <f>IF(ngay22!J46&gt;0,ngay22!J46," ")</f>
        <v/>
      </c>
      <c r="X21" s="10" t="str">
        <f>IF(ngay23!J46&gt;0,ngay23!J46," ")</f>
        <v/>
      </c>
      <c r="Y21" s="10" t="str">
        <f>IF(ngay24!J46&gt;0,ngay24!J46," ")</f>
        <v/>
      </c>
      <c r="Z21" s="10" t="str">
        <f>IF(ngay25!J46&gt;0,ngay25!J46," ")</f>
        <v/>
      </c>
      <c r="AA21" s="10" t="str">
        <f>IF(ngay26!J46&gt;0,ngay26!J46," ")</f>
        <v/>
      </c>
      <c r="AB21" s="10" t="str">
        <f>IF(ngay27!J46&gt;0,ngay27!J46," ")</f>
        <v/>
      </c>
      <c r="AC21" s="10" t="str">
        <f>IF(ngay28!J46&gt;0,ngay28!J46," ")</f>
        <v/>
      </c>
      <c r="AD21" s="10" t="str">
        <f>IF(ngay29!J46&gt;0,ngay29!J46," ")</f>
        <v/>
      </c>
      <c r="AE21" s="10" t="str">
        <f>IF(ngay30!J46&gt;0,ngay30!J46," ")</f>
        <v/>
      </c>
      <c r="AF21" s="10" t="str">
        <f>IF(ngay31!J46&gt;0,ngay31!J46," ")</f>
        <v/>
      </c>
      <c r="AG21" s="9" t="e">
        <f t="shared" si="1"/>
        <v>#REF!</v>
      </c>
      <c r="AH21" s="9" t="str">
        <f t="shared" si="2"/>
        <v xml:space="preserve">x </v>
      </c>
      <c r="AI21" s="9" t="e">
        <f t="shared" si="0"/>
        <v>#REF!</v>
      </c>
    </row>
    <row r="22" spans="1:35" ht="16.5">
      <c r="A22" s="202" t="s">
        <v>143</v>
      </c>
      <c r="B22" s="25" t="e">
        <f>IF(ngay01!#REF!&gt;0,ngay01!#REF!," ")</f>
        <v>#REF!</v>
      </c>
      <c r="C22" s="10" t="str">
        <f>IF(ngay02!J47&gt;0,ngay02!J47," ")</f>
        <v/>
      </c>
      <c r="D22" s="10" t="str">
        <f>IF(ngay03!J47&gt;0,ngay03!J47," ")</f>
        <v/>
      </c>
      <c r="E22" s="10" t="str">
        <f>IF(ngay04!J47&gt;0,ngay04!J47," ")</f>
        <v/>
      </c>
      <c r="F22" s="10" t="str">
        <f>IF(ngay05!J47&gt;0,ngay05!J47," ")</f>
        <v/>
      </c>
      <c r="G22" s="10" t="str">
        <f>IF(ngay06!J47&gt;0,ngay06!J47," ")</f>
        <v/>
      </c>
      <c r="H22" s="10" t="str">
        <f>IF(ngay07!J47&gt;0,ngay07!J47," ")</f>
        <v/>
      </c>
      <c r="I22" s="10" t="str">
        <f>IF(ngay08!J47&gt;0,ngay08!J47," ")</f>
        <v/>
      </c>
      <c r="J22" s="10" t="str">
        <f>IF(ngay09!J47&gt;0,ngay09!J47," ")</f>
        <v/>
      </c>
      <c r="K22" s="10" t="str">
        <f>IF(ngay10!J47&gt;0,ngay10!J47," ")</f>
        <v/>
      </c>
      <c r="L22" s="10" t="str">
        <f>IF(ngay11!J47&gt;0,ngay11!J47," ")</f>
        <v/>
      </c>
      <c r="M22" s="10" t="str">
        <f>IF(ngay12!J47&gt;0,ngay12!J47," ")</f>
        <v/>
      </c>
      <c r="N22" s="10" t="str">
        <f>IF(ngay13!J47&gt;0,ngay13!J47," ")</f>
        <v/>
      </c>
      <c r="O22" s="10" t="str">
        <f>IF(ngay14!J47&gt;0,ngay14!J47," ")</f>
        <v/>
      </c>
      <c r="P22" s="10" t="str">
        <f>IF(ngay15!J47&gt;0,ngay15!J47," ")</f>
        <v/>
      </c>
      <c r="Q22" s="10" t="str">
        <f>IF(ngay16!J47&gt;0,ngay16!J47," ")</f>
        <v/>
      </c>
      <c r="R22" s="10" t="str">
        <f>IF(ngay17!J47&gt;0,ngay17!J47," ")</f>
        <v/>
      </c>
      <c r="S22" s="10" t="str">
        <f>IF(ngay18!J47&gt;0,ngay18!J47," ")</f>
        <v/>
      </c>
      <c r="T22" s="10" t="str">
        <f>IF(ngay19!J47&gt;0,ngay19!J47," ")</f>
        <v/>
      </c>
      <c r="U22" s="10" t="str">
        <f>IF(ngay20!J47&gt;0,ngay20!J47," ")</f>
        <v/>
      </c>
      <c r="V22" s="10" t="str">
        <f>IF(ngay21!J47&gt;0,ngay21!J47," ")</f>
        <v/>
      </c>
      <c r="W22" s="10" t="str">
        <f>IF(ngay22!J47&gt;0,ngay22!J47," ")</f>
        <v/>
      </c>
      <c r="X22" s="10" t="str">
        <f>IF(ngay23!J47&gt;0,ngay23!J47," ")</f>
        <v/>
      </c>
      <c r="Y22" s="10" t="str">
        <f>IF(ngay24!J47&gt;0,ngay24!J47," ")</f>
        <v/>
      </c>
      <c r="Z22" s="10" t="str">
        <f>IF(ngay25!J47&gt;0,ngay25!J47," ")</f>
        <v/>
      </c>
      <c r="AA22" s="10" t="str">
        <f>IF(ngay26!J47&gt;0,ngay26!J47," ")</f>
        <v/>
      </c>
      <c r="AB22" s="10" t="str">
        <f>IF(ngay27!J47&gt;0,ngay27!J47," ")</f>
        <v/>
      </c>
      <c r="AC22" s="10" t="str">
        <f>IF(ngay28!J47&gt;0,ngay28!J47," ")</f>
        <v/>
      </c>
      <c r="AD22" s="10" t="str">
        <f>IF(ngay29!J47&gt;0,ngay29!J47," ")</f>
        <v/>
      </c>
      <c r="AE22" s="10" t="str">
        <f>IF(ngay30!J47&gt;0,ngay30!J47," ")</f>
        <v/>
      </c>
      <c r="AF22" s="10" t="str">
        <f>IF(ngay31!J47&gt;0,ngay31!J47," ")</f>
        <v/>
      </c>
      <c r="AG22" s="9" t="e">
        <f t="shared" si="1"/>
        <v>#REF!</v>
      </c>
      <c r="AH22" s="9" t="str">
        <f t="shared" si="2"/>
        <v xml:space="preserve">x </v>
      </c>
      <c r="AI22" s="9" t="e">
        <f t="shared" si="0"/>
        <v>#REF!</v>
      </c>
    </row>
    <row r="23" spans="1:35" ht="16.5">
      <c r="A23" s="202" t="s">
        <v>144</v>
      </c>
      <c r="B23" s="25" t="e">
        <f>IF(ngay01!#REF!&gt;0,ngay01!#REF!," ")</f>
        <v>#REF!</v>
      </c>
      <c r="C23" s="10" t="str">
        <f>IF(ngay02!J48&gt;0,ngay02!J48," ")</f>
        <v/>
      </c>
      <c r="D23" s="10" t="str">
        <f>IF(ngay03!J48&gt;0,ngay03!J48," ")</f>
        <v/>
      </c>
      <c r="E23" s="10" t="str">
        <f>IF(ngay04!J48&gt;0,ngay04!J48," ")</f>
        <v/>
      </c>
      <c r="F23" s="10" t="str">
        <f>IF(ngay05!J48&gt;0,ngay05!J48," ")</f>
        <v/>
      </c>
      <c r="G23" s="10" t="str">
        <f>IF(ngay06!J48&gt;0,ngay06!J48," ")</f>
        <v/>
      </c>
      <c r="H23" s="10" t="str">
        <f>IF(ngay07!J48&gt;0,ngay07!J48," ")</f>
        <v/>
      </c>
      <c r="I23" s="10" t="str">
        <f>IF(ngay08!J48&gt;0,ngay08!J48," ")</f>
        <v/>
      </c>
      <c r="J23" s="10" t="str">
        <f>IF(ngay09!J48&gt;0,ngay09!J48," ")</f>
        <v/>
      </c>
      <c r="K23" s="10" t="str">
        <f>IF(ngay10!J48&gt;0,ngay10!J48," ")</f>
        <v/>
      </c>
      <c r="L23" s="10" t="str">
        <f>IF(ngay11!J48&gt;0,ngay11!J48," ")</f>
        <v/>
      </c>
      <c r="M23" s="10" t="str">
        <f>IF(ngay12!J48&gt;0,ngay12!J48," ")</f>
        <v/>
      </c>
      <c r="N23" s="10" t="str">
        <f>IF(ngay13!J48&gt;0,ngay13!J48," ")</f>
        <v/>
      </c>
      <c r="O23" s="10" t="str">
        <f>IF(ngay14!J48&gt;0,ngay14!J48," ")</f>
        <v/>
      </c>
      <c r="P23" s="10" t="str">
        <f>IF(ngay15!J48&gt;0,ngay15!J48," ")</f>
        <v/>
      </c>
      <c r="Q23" s="10" t="str">
        <f>IF(ngay16!J48&gt;0,ngay16!J48," ")</f>
        <v/>
      </c>
      <c r="R23" s="10" t="str">
        <f>IF(ngay17!J48&gt;0,ngay17!J48," ")</f>
        <v/>
      </c>
      <c r="S23" s="10" t="str">
        <f>IF(ngay18!J48&gt;0,ngay18!J48," ")</f>
        <v/>
      </c>
      <c r="T23" s="10" t="str">
        <f>IF(ngay19!J48&gt;0,ngay19!J48," ")</f>
        <v/>
      </c>
      <c r="U23" s="10" t="str">
        <f>IF(ngay20!J48&gt;0,ngay20!J48," ")</f>
        <v/>
      </c>
      <c r="V23" s="10" t="str">
        <f>IF(ngay21!J48&gt;0,ngay21!J48," ")</f>
        <v/>
      </c>
      <c r="W23" s="10" t="str">
        <f>IF(ngay22!J48&gt;0,ngay22!J48," ")</f>
        <v/>
      </c>
      <c r="X23" s="10" t="str">
        <f>IF(ngay23!J48&gt;0,ngay23!J48," ")</f>
        <v/>
      </c>
      <c r="Y23" s="10" t="str">
        <f>IF(ngay24!J48&gt;0,ngay24!J48," ")</f>
        <v/>
      </c>
      <c r="Z23" s="10" t="str">
        <f>IF(ngay25!J48&gt;0,ngay25!J48," ")</f>
        <v/>
      </c>
      <c r="AA23" s="10" t="str">
        <f>IF(ngay26!J48&gt;0,ngay26!J48," ")</f>
        <v/>
      </c>
      <c r="AB23" s="10" t="str">
        <f>IF(ngay27!J48&gt;0,ngay27!J48," ")</f>
        <v/>
      </c>
      <c r="AC23" s="10" t="str">
        <f>IF(ngay28!J48&gt;0,ngay28!J48," ")</f>
        <v/>
      </c>
      <c r="AD23" s="10" t="str">
        <f>IF(ngay29!J48&gt;0,ngay29!J48," ")</f>
        <v/>
      </c>
      <c r="AE23" s="10" t="str">
        <f>IF(ngay30!J48&gt;0,ngay30!J48," ")</f>
        <v/>
      </c>
      <c r="AF23" s="10" t="str">
        <f>IF(ngay31!J48&gt;0,ngay31!J48," ")</f>
        <v/>
      </c>
      <c r="AG23" s="9" t="e">
        <f t="shared" si="1"/>
        <v>#REF!</v>
      </c>
      <c r="AH23" s="9" t="str">
        <f t="shared" si="2"/>
        <v xml:space="preserve">x </v>
      </c>
      <c r="AI23" s="9" t="e">
        <f t="shared" si="0"/>
        <v>#REF!</v>
      </c>
    </row>
    <row r="24" spans="1:35" ht="16.5">
      <c r="A24" s="202" t="s">
        <v>145</v>
      </c>
      <c r="B24" s="25" t="e">
        <f>IF(ngay01!#REF!&gt;0,ngay01!#REF!," ")</f>
        <v>#REF!</v>
      </c>
      <c r="C24" s="10" t="str">
        <f>IF(ngay02!J49&gt;0,ngay02!J49," ")</f>
        <v/>
      </c>
      <c r="D24" s="10" t="str">
        <f>IF(ngay03!J49&gt;0,ngay03!J49," ")</f>
        <v/>
      </c>
      <c r="E24" s="10" t="str">
        <f>IF(ngay04!J49&gt;0,ngay04!J49," ")</f>
        <v/>
      </c>
      <c r="F24" s="10" t="str">
        <f>IF(ngay05!J49&gt;0,ngay05!J49," ")</f>
        <v/>
      </c>
      <c r="G24" s="10" t="str">
        <f>IF(ngay06!J49&gt;0,ngay06!J49," ")</f>
        <v/>
      </c>
      <c r="H24" s="10" t="str">
        <f>IF(ngay07!J49&gt;0,ngay07!J49," ")</f>
        <v/>
      </c>
      <c r="I24" s="10" t="str">
        <f>IF(ngay08!J49&gt;0,ngay08!J49," ")</f>
        <v/>
      </c>
      <c r="J24" s="10" t="str">
        <f>IF(ngay09!J49&gt;0,ngay09!J49," ")</f>
        <v/>
      </c>
      <c r="K24" s="10" t="str">
        <f>IF(ngay10!J49&gt;0,ngay10!J49," ")</f>
        <v/>
      </c>
      <c r="L24" s="10" t="str">
        <f>IF(ngay11!J49&gt;0,ngay11!J49," ")</f>
        <v/>
      </c>
      <c r="M24" s="10" t="str">
        <f>IF(ngay12!J49&gt;0,ngay12!J49," ")</f>
        <v/>
      </c>
      <c r="N24" s="10" t="str">
        <f>IF(ngay13!J49&gt;0,ngay13!J49," ")</f>
        <v/>
      </c>
      <c r="O24" s="10" t="str">
        <f>IF(ngay14!J49&gt;0,ngay14!J49," ")</f>
        <v/>
      </c>
      <c r="P24" s="10" t="str">
        <f>IF(ngay15!J49&gt;0,ngay15!J49," ")</f>
        <v/>
      </c>
      <c r="Q24" s="10" t="str">
        <f>IF(ngay16!J49&gt;0,ngay16!J49," ")</f>
        <v/>
      </c>
      <c r="R24" s="10" t="str">
        <f>IF(ngay17!J49&gt;0,ngay17!J49," ")</f>
        <v/>
      </c>
      <c r="S24" s="10" t="str">
        <f>IF(ngay18!J49&gt;0,ngay18!J49," ")</f>
        <v/>
      </c>
      <c r="T24" s="10" t="str">
        <f>IF(ngay19!J49&gt;0,ngay19!J49," ")</f>
        <v/>
      </c>
      <c r="U24" s="10" t="str">
        <f>IF(ngay20!J49&gt;0,ngay20!J49," ")</f>
        <v/>
      </c>
      <c r="V24" s="10" t="str">
        <f>IF(ngay21!J49&gt;0,ngay21!J49," ")</f>
        <v/>
      </c>
      <c r="W24" s="10" t="str">
        <f>IF(ngay22!J49&gt;0,ngay22!J49," ")</f>
        <v/>
      </c>
      <c r="X24" s="10" t="str">
        <f>IF(ngay23!J49&gt;0,ngay23!J49," ")</f>
        <v/>
      </c>
      <c r="Y24" s="10" t="str">
        <f>IF(ngay24!J49&gt;0,ngay24!J49," ")</f>
        <v/>
      </c>
      <c r="Z24" s="10" t="str">
        <f>IF(ngay25!J49&gt;0,ngay25!J49," ")</f>
        <v/>
      </c>
      <c r="AA24" s="10" t="str">
        <f>IF(ngay26!J49&gt;0,ngay26!J49," ")</f>
        <v/>
      </c>
      <c r="AB24" s="10" t="str">
        <f>IF(ngay27!J49&gt;0,ngay27!J49," ")</f>
        <v/>
      </c>
      <c r="AC24" s="10" t="str">
        <f>IF(ngay28!J49&gt;0,ngay28!J49," ")</f>
        <v/>
      </c>
      <c r="AD24" s="10" t="str">
        <f>IF(ngay29!J49&gt;0,ngay29!J49," ")</f>
        <v/>
      </c>
      <c r="AE24" s="10" t="str">
        <f>IF(ngay30!J49&gt;0,ngay30!J49," ")</f>
        <v/>
      </c>
      <c r="AF24" s="10" t="str">
        <f>IF(ngay31!J49&gt;0,ngay31!J49," ")</f>
        <v/>
      </c>
      <c r="AG24" s="9" t="e">
        <f t="shared" si="1"/>
        <v>#REF!</v>
      </c>
      <c r="AH24" s="9" t="str">
        <f t="shared" si="2"/>
        <v xml:space="preserve">x </v>
      </c>
      <c r="AI24" s="9" t="e">
        <f t="shared" si="0"/>
        <v>#REF!</v>
      </c>
    </row>
    <row r="25" spans="1:35" ht="16.5">
      <c r="A25" s="202" t="s">
        <v>146</v>
      </c>
      <c r="B25" s="25" t="e">
        <f>IF(ngay01!#REF!&gt;0,ngay01!#REF!," ")</f>
        <v>#REF!</v>
      </c>
      <c r="C25" s="10" t="str">
        <f>IF(ngay02!J50&gt;0,ngay02!J50," ")</f>
        <v/>
      </c>
      <c r="D25" s="10" t="str">
        <f>IF(ngay03!J50&gt;0,ngay03!J50," ")</f>
        <v/>
      </c>
      <c r="E25" s="10" t="str">
        <f>IF(ngay04!J50&gt;0,ngay04!J50," ")</f>
        <v/>
      </c>
      <c r="F25" s="10" t="str">
        <f>IF(ngay05!J50&gt;0,ngay05!J50," ")</f>
        <v/>
      </c>
      <c r="G25" s="10" t="str">
        <f>IF(ngay06!J50&gt;0,ngay06!J50," ")</f>
        <v/>
      </c>
      <c r="H25" s="10" t="str">
        <f>IF(ngay07!J50&gt;0,ngay07!J50," ")</f>
        <v/>
      </c>
      <c r="I25" s="10" t="str">
        <f>IF(ngay08!J50&gt;0,ngay08!J50," ")</f>
        <v/>
      </c>
      <c r="J25" s="10" t="str">
        <f>IF(ngay09!J50&gt;0,ngay09!J50," ")</f>
        <v/>
      </c>
      <c r="K25" s="10" t="str">
        <f>IF(ngay10!J50&gt;0,ngay10!J50," ")</f>
        <v/>
      </c>
      <c r="L25" s="10" t="str">
        <f>IF(ngay11!J50&gt;0,ngay11!J50," ")</f>
        <v/>
      </c>
      <c r="M25" s="10" t="str">
        <f>IF(ngay12!J50&gt;0,ngay12!J50," ")</f>
        <v/>
      </c>
      <c r="N25" s="10" t="str">
        <f>IF(ngay13!J50&gt;0,ngay13!J50," ")</f>
        <v/>
      </c>
      <c r="O25" s="10" t="str">
        <f>IF(ngay14!J50&gt;0,ngay14!J50," ")</f>
        <v/>
      </c>
      <c r="P25" s="10" t="str">
        <f>IF(ngay15!J50&gt;0,ngay15!J50," ")</f>
        <v/>
      </c>
      <c r="Q25" s="10" t="str">
        <f>IF(ngay16!J50&gt;0,ngay16!J50," ")</f>
        <v/>
      </c>
      <c r="R25" s="10" t="str">
        <f>IF(ngay17!J50&gt;0,ngay17!J50," ")</f>
        <v/>
      </c>
      <c r="S25" s="10" t="str">
        <f>IF(ngay18!J50&gt;0,ngay18!J50," ")</f>
        <v/>
      </c>
      <c r="T25" s="10" t="str">
        <f>IF(ngay19!J50&gt;0,ngay19!J50," ")</f>
        <v/>
      </c>
      <c r="U25" s="10" t="str">
        <f>IF(ngay20!J50&gt;0,ngay20!J50," ")</f>
        <v/>
      </c>
      <c r="V25" s="10" t="str">
        <f>IF(ngay21!J50&gt;0,ngay21!J50," ")</f>
        <v/>
      </c>
      <c r="W25" s="10" t="str">
        <f>IF(ngay22!J50&gt;0,ngay22!J50," ")</f>
        <v/>
      </c>
      <c r="X25" s="10" t="str">
        <f>IF(ngay23!J50&gt;0,ngay23!J50," ")</f>
        <v/>
      </c>
      <c r="Y25" s="10" t="str">
        <f>IF(ngay24!J50&gt;0,ngay24!J50," ")</f>
        <v/>
      </c>
      <c r="Z25" s="10" t="str">
        <f>IF(ngay25!J50&gt;0,ngay25!J50," ")</f>
        <v/>
      </c>
      <c r="AA25" s="10" t="str">
        <f>IF(ngay26!J50&gt;0,ngay26!J50," ")</f>
        <v/>
      </c>
      <c r="AB25" s="10" t="str">
        <f>IF(ngay27!J50&gt;0,ngay27!J50," ")</f>
        <v/>
      </c>
      <c r="AC25" s="10" t="str">
        <f>IF(ngay28!J50&gt;0,ngay28!J50," ")</f>
        <v/>
      </c>
      <c r="AD25" s="10" t="str">
        <f>IF(ngay29!J50&gt;0,ngay29!J50," ")</f>
        <v/>
      </c>
      <c r="AE25" s="10" t="str">
        <f>IF(ngay30!J50&gt;0,ngay30!J50," ")</f>
        <v/>
      </c>
      <c r="AF25" s="10" t="str">
        <f>IF(ngay31!J50&gt;0,ngay31!J50," ")</f>
        <v/>
      </c>
      <c r="AG25" s="9" t="e">
        <f t="shared" si="1"/>
        <v>#REF!</v>
      </c>
      <c r="AH25" s="9" t="str">
        <f t="shared" si="2"/>
        <v xml:space="preserve">x </v>
      </c>
      <c r="AI25" s="9" t="e">
        <f t="shared" si="0"/>
        <v>#REF!</v>
      </c>
    </row>
    <row r="26" spans="1:35" ht="16.5">
      <c r="A26" s="202" t="s">
        <v>147</v>
      </c>
      <c r="B26" s="25" t="e">
        <f>IF(ngay01!#REF!&gt;0,ngay01!#REF!," ")</f>
        <v>#REF!</v>
      </c>
      <c r="C26" s="10" t="str">
        <f>IF(ngay02!J51&gt;0,ngay02!J51," ")</f>
        <v/>
      </c>
      <c r="D26" s="10" t="str">
        <f>IF(ngay03!J51&gt;0,ngay03!J51," ")</f>
        <v/>
      </c>
      <c r="E26" s="10" t="str">
        <f>IF(ngay04!J51&gt;0,ngay04!J51," ")</f>
        <v/>
      </c>
      <c r="F26" s="10" t="str">
        <f>IF(ngay05!J51&gt;0,ngay05!J51," ")</f>
        <v/>
      </c>
      <c r="G26" s="10" t="str">
        <f>IF(ngay06!J51&gt;0,ngay06!J51," ")</f>
        <v/>
      </c>
      <c r="H26" s="10" t="str">
        <f>IF(ngay07!J51&gt;0,ngay07!J51," ")</f>
        <v/>
      </c>
      <c r="I26" s="10" t="str">
        <f>IF(ngay08!J51&gt;0,ngay08!J51," ")</f>
        <v/>
      </c>
      <c r="J26" s="10" t="str">
        <f>IF(ngay09!J51&gt;0,ngay09!J51," ")</f>
        <v/>
      </c>
      <c r="K26" s="10" t="str">
        <f>IF(ngay10!J51&gt;0,ngay10!J51," ")</f>
        <v/>
      </c>
      <c r="L26" s="10" t="str">
        <f>IF(ngay11!J51&gt;0,ngay11!J51," ")</f>
        <v/>
      </c>
      <c r="M26" s="10" t="str">
        <f>IF(ngay12!J51&gt;0,ngay12!J51," ")</f>
        <v/>
      </c>
      <c r="N26" s="10" t="str">
        <f>IF(ngay13!J51&gt;0,ngay13!J51," ")</f>
        <v/>
      </c>
      <c r="O26" s="10" t="str">
        <f>IF(ngay14!J51&gt;0,ngay14!J51," ")</f>
        <v/>
      </c>
      <c r="P26" s="10" t="str">
        <f>IF(ngay15!J51&gt;0,ngay15!J51," ")</f>
        <v/>
      </c>
      <c r="Q26" s="10" t="str">
        <f>IF(ngay16!J51&gt;0,ngay16!J51," ")</f>
        <v/>
      </c>
      <c r="R26" s="10" t="str">
        <f>IF(ngay17!J51&gt;0,ngay17!J51," ")</f>
        <v/>
      </c>
      <c r="S26" s="10" t="str">
        <f>IF(ngay18!J51&gt;0,ngay18!J51," ")</f>
        <v/>
      </c>
      <c r="T26" s="10" t="str">
        <f>IF(ngay19!J51&gt;0,ngay19!J51," ")</f>
        <v/>
      </c>
      <c r="U26" s="10" t="str">
        <f>IF(ngay20!J51&gt;0,ngay20!J51," ")</f>
        <v/>
      </c>
      <c r="V26" s="10" t="str">
        <f>IF(ngay21!J51&gt;0,ngay21!J51," ")</f>
        <v/>
      </c>
      <c r="W26" s="10" t="str">
        <f>IF(ngay22!J51&gt;0,ngay22!J51," ")</f>
        <v/>
      </c>
      <c r="X26" s="10" t="str">
        <f>IF(ngay23!J51&gt;0,ngay23!J51," ")</f>
        <v/>
      </c>
      <c r="Y26" s="10" t="str">
        <f>IF(ngay24!J51&gt;0,ngay24!J51," ")</f>
        <v/>
      </c>
      <c r="Z26" s="10" t="str">
        <f>IF(ngay25!J51&gt;0,ngay25!J51," ")</f>
        <v/>
      </c>
      <c r="AA26" s="10" t="str">
        <f>IF(ngay26!J51&gt;0,ngay26!J51," ")</f>
        <v/>
      </c>
      <c r="AB26" s="10" t="str">
        <f>IF(ngay27!J51&gt;0,ngay27!J51," ")</f>
        <v/>
      </c>
      <c r="AC26" s="10" t="str">
        <f>IF(ngay28!J51&gt;0,ngay28!J51," ")</f>
        <v/>
      </c>
      <c r="AD26" s="10" t="str">
        <f>IF(ngay29!J51&gt;0,ngay29!J51," ")</f>
        <v/>
      </c>
      <c r="AE26" s="10" t="str">
        <f>IF(ngay30!J51&gt;0,ngay30!J51," ")</f>
        <v/>
      </c>
      <c r="AF26" s="10" t="str">
        <f>IF(ngay31!J51&gt;0,ngay31!J51," ")</f>
        <v/>
      </c>
      <c r="AG26" s="9" t="e">
        <f t="shared" si="1"/>
        <v>#REF!</v>
      </c>
      <c r="AH26" s="9" t="str">
        <f t="shared" si="2"/>
        <v xml:space="preserve">x </v>
      </c>
      <c r="AI26" s="9" t="e">
        <f t="shared" si="0"/>
        <v>#REF!</v>
      </c>
    </row>
    <row r="27" spans="1:35" ht="16.5">
      <c r="A27" s="304" t="s">
        <v>191</v>
      </c>
      <c r="B27" s="25" t="e">
        <f>IF(ngay01!#REF!&gt;0,ngay01!#REF!," ")</f>
        <v>#REF!</v>
      </c>
      <c r="C27" s="10" t="str">
        <f>IF(ngay02!J52&gt;0,ngay02!J52," ")</f>
        <v/>
      </c>
      <c r="D27" s="10" t="str">
        <f>IF(ngay03!J52&gt;0,ngay03!J52," ")</f>
        <v/>
      </c>
      <c r="E27" s="10" t="str">
        <f>IF(ngay04!J52&gt;0,ngay04!J52," ")</f>
        <v/>
      </c>
      <c r="F27" s="10" t="str">
        <f>IF(ngay05!J52&gt;0,ngay05!J52," ")</f>
        <v/>
      </c>
      <c r="G27" s="10" t="str">
        <f>IF(ngay06!J52&gt;0,ngay06!J52," ")</f>
        <v/>
      </c>
      <c r="H27" s="10" t="str">
        <f>IF(ngay07!J52&gt;0,ngay07!J52," ")</f>
        <v/>
      </c>
      <c r="I27" s="10" t="str">
        <f>IF(ngay08!J52&gt;0,ngay08!J52," ")</f>
        <v/>
      </c>
      <c r="J27" s="10" t="str">
        <f>IF(ngay09!J52&gt;0,ngay09!J52," ")</f>
        <v/>
      </c>
      <c r="K27" s="10" t="str">
        <f>IF(ngay10!J52&gt;0,ngay10!J52," ")</f>
        <v/>
      </c>
      <c r="L27" s="10" t="str">
        <f>IF(ngay11!J52&gt;0,ngay11!J52," ")</f>
        <v/>
      </c>
      <c r="M27" s="10" t="str">
        <f>IF(ngay12!J52&gt;0,ngay12!J52," ")</f>
        <v/>
      </c>
      <c r="N27" s="10" t="str">
        <f>IF(ngay13!J52&gt;0,ngay13!J52," ")</f>
        <v/>
      </c>
      <c r="O27" s="10" t="str">
        <f>IF(ngay14!J52&gt;0,ngay14!J52," ")</f>
        <v/>
      </c>
      <c r="P27" s="10" t="str">
        <f>IF(ngay15!J52&gt;0,ngay15!J52," ")</f>
        <v/>
      </c>
      <c r="Q27" s="10" t="str">
        <f>IF(ngay16!J52&gt;0,ngay16!J52," ")</f>
        <v/>
      </c>
      <c r="R27" s="10" t="str">
        <f>IF(ngay17!J52&gt;0,ngay17!J52," ")</f>
        <v/>
      </c>
      <c r="S27" s="10" t="str">
        <f>IF(ngay18!J52&gt;0,ngay18!J52," ")</f>
        <v/>
      </c>
      <c r="T27" s="10" t="str">
        <f>IF(ngay19!J52&gt;0,ngay19!J52," ")</f>
        <v/>
      </c>
      <c r="U27" s="10" t="str">
        <f>IF(ngay20!J52&gt;0,ngay20!J52," ")</f>
        <v/>
      </c>
      <c r="V27" s="10" t="str">
        <f>IF(ngay21!J52&gt;0,ngay21!J52," ")</f>
        <v/>
      </c>
      <c r="W27" s="10" t="str">
        <f>IF(ngay22!J52&gt;0,ngay22!J52," ")</f>
        <v/>
      </c>
      <c r="X27" s="10" t="str">
        <f>IF(ngay23!J52&gt;0,ngay23!J52," ")</f>
        <v/>
      </c>
      <c r="Y27" s="10" t="str">
        <f>IF(ngay24!J52&gt;0,ngay24!J52," ")</f>
        <v/>
      </c>
      <c r="Z27" s="10" t="str">
        <f>IF(ngay25!J52&gt;0,ngay25!J52," ")</f>
        <v/>
      </c>
      <c r="AA27" s="10" t="str">
        <f>IF(ngay26!J52&gt;0,ngay26!J52," ")</f>
        <v/>
      </c>
      <c r="AB27" s="10" t="str">
        <f>IF(ngay27!J52&gt;0,ngay27!J52," ")</f>
        <v/>
      </c>
      <c r="AC27" s="10" t="str">
        <f>IF(ngay28!J52&gt;0,ngay28!J52," ")</f>
        <v/>
      </c>
      <c r="AD27" s="10" t="str">
        <f>IF(ngay29!J52&gt;0,ngay29!J52," ")</f>
        <v/>
      </c>
      <c r="AE27" s="10" t="str">
        <f>IF(ngay30!J52&gt;0,ngay30!J52," ")</f>
        <v/>
      </c>
      <c r="AF27" s="10" t="str">
        <f>IF(ngay31!J52&gt;0,ngay31!J52," ")</f>
        <v/>
      </c>
      <c r="AG27" s="9" t="e">
        <f t="shared" si="1"/>
        <v>#REF!</v>
      </c>
      <c r="AH27" s="9" t="str">
        <f t="shared" si="2"/>
        <v xml:space="preserve">x </v>
      </c>
      <c r="AI27" s="9" t="e">
        <f t="shared" si="0"/>
        <v>#REF!</v>
      </c>
    </row>
    <row r="28" spans="1:35" ht="13.5" thickBot="1">
      <c r="A28" s="203"/>
      <c r="B28" s="25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</row>
    <row r="29" spans="1:35" ht="15">
      <c r="A29" s="183"/>
      <c r="B29" s="158" t="s">
        <v>94</v>
      </c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9"/>
      <c r="AG29" s="30" t="s">
        <v>89</v>
      </c>
      <c r="AH29" s="24"/>
    </row>
    <row r="30" spans="1:35" ht="13.5" thickBot="1">
      <c r="A30" s="183"/>
      <c r="B30" s="12">
        <v>1</v>
      </c>
      <c r="C30" s="13">
        <v>2</v>
      </c>
      <c r="D30" s="13">
        <v>3</v>
      </c>
      <c r="E30" s="13">
        <v>4</v>
      </c>
      <c r="F30" s="13">
        <v>5</v>
      </c>
      <c r="G30" s="13">
        <v>6</v>
      </c>
      <c r="H30" s="13">
        <v>7</v>
      </c>
      <c r="I30" s="13">
        <v>8</v>
      </c>
      <c r="J30" s="13">
        <v>9</v>
      </c>
      <c r="K30" s="13">
        <v>10</v>
      </c>
      <c r="L30" s="13">
        <v>11</v>
      </c>
      <c r="M30" s="13">
        <v>12</v>
      </c>
      <c r="N30" s="13">
        <v>13</v>
      </c>
      <c r="O30" s="13">
        <v>14</v>
      </c>
      <c r="P30" s="13">
        <v>15</v>
      </c>
      <c r="Q30" s="13">
        <v>16</v>
      </c>
      <c r="R30" s="13">
        <v>17</v>
      </c>
      <c r="S30" s="13">
        <v>18</v>
      </c>
      <c r="T30" s="13">
        <v>19</v>
      </c>
      <c r="U30" s="13">
        <v>20</v>
      </c>
      <c r="V30" s="13">
        <v>21</v>
      </c>
      <c r="W30" s="13">
        <v>22</v>
      </c>
      <c r="X30" s="13">
        <v>23</v>
      </c>
      <c r="Y30" s="13">
        <v>24</v>
      </c>
      <c r="Z30" s="13">
        <v>25</v>
      </c>
      <c r="AA30" s="13">
        <v>26</v>
      </c>
      <c r="AB30" s="13">
        <v>27</v>
      </c>
      <c r="AC30" s="13">
        <v>28</v>
      </c>
      <c r="AD30" s="13">
        <v>29</v>
      </c>
      <c r="AE30" s="13">
        <v>30</v>
      </c>
      <c r="AF30" s="14">
        <v>31</v>
      </c>
      <c r="AG30" s="32" t="s">
        <v>95</v>
      </c>
      <c r="AH30" s="33" t="s">
        <v>98</v>
      </c>
      <c r="AI30" s="157" t="s">
        <v>99</v>
      </c>
    </row>
    <row r="31" spans="1:35" ht="17.25" thickTop="1">
      <c r="A31" s="201" t="s">
        <v>128</v>
      </c>
      <c r="B31" s="25" t="e">
        <f>IF(ngay01!#REF!&gt;0,ngay01!#REF!," ")</f>
        <v>#REF!</v>
      </c>
      <c r="C31" s="10" t="str">
        <f>IF(ngay02!K31&gt;0,ngay02!K31," ")</f>
        <v/>
      </c>
      <c r="D31" s="10" t="str">
        <f>IF(ngay03!K31&gt;0,ngay03!K31," ")</f>
        <v/>
      </c>
      <c r="E31" s="10" t="str">
        <f>IF(ngay04!K31&gt;0,ngay04!K31," ")</f>
        <v/>
      </c>
      <c r="F31" s="10" t="str">
        <f>IF(ngay05!K31&gt;0,ngay05!K31," ")</f>
        <v/>
      </c>
      <c r="G31" s="10" t="str">
        <f>IF(ngay06!K31&gt;0,ngay06!K31," ")</f>
        <v/>
      </c>
      <c r="H31" s="10" t="str">
        <f>IF(ngay07!K31&gt;0,ngay07!K31," ")</f>
        <v/>
      </c>
      <c r="I31" s="10" t="str">
        <f>IF(ngay08!K31&gt;0,ngay08!K31," ")</f>
        <v/>
      </c>
      <c r="J31" s="10" t="str">
        <f>IF(ngay09!K31&gt;0,ngay09!K31," ")</f>
        <v/>
      </c>
      <c r="K31" s="10" t="str">
        <f>IF(ngay10!K31&gt;0,ngay10!K31," ")</f>
        <v/>
      </c>
      <c r="L31" s="10" t="str">
        <f>IF(ngay11!K31&gt;0,ngay11!K31," ")</f>
        <v/>
      </c>
      <c r="M31" s="10" t="str">
        <f>IF(ngay12!K31&gt;0,ngay12!K31," ")</f>
        <v/>
      </c>
      <c r="N31" s="10" t="str">
        <f>IF(ngay13!K31&gt;0,ngay13!K31," ")</f>
        <v/>
      </c>
      <c r="O31" s="10" t="str">
        <f>IF(ngay14!K31&gt;0,ngay14!K31," ")</f>
        <v/>
      </c>
      <c r="P31" s="10" t="str">
        <f>IF(ngay15!K31&gt;0,ngay15!K31," ")</f>
        <v/>
      </c>
      <c r="Q31" s="10" t="str">
        <f>IF(ngay16!K31&gt;0,ngay16!K31," ")</f>
        <v/>
      </c>
      <c r="R31" s="10" t="str">
        <f>IF(ngay17!K31&gt;0,ngay17!K31," ")</f>
        <v/>
      </c>
      <c r="S31" s="10" t="str">
        <f>IF(ngay18!K31&gt;0,ngay18!K31," ")</f>
        <v/>
      </c>
      <c r="T31" s="10" t="str">
        <f>IF(ngay19!K31&gt;0,ngay19!K31," ")</f>
        <v/>
      </c>
      <c r="U31" s="10" t="str">
        <f>IF(ngay20!K31&gt;0,ngay20!K31," ")</f>
        <v/>
      </c>
      <c r="V31" s="10" t="str">
        <f>IF(ngay21!K31&gt;0,ngay21!K31," ")</f>
        <v/>
      </c>
      <c r="W31" s="10" t="str">
        <f>IF(ngay22!K31&gt;0,ngay22!K31," ")</f>
        <v/>
      </c>
      <c r="X31" s="10" t="str">
        <f>IF(ngay23!K31&gt;0,ngay23!K31," ")</f>
        <v/>
      </c>
      <c r="Y31" s="10" t="str">
        <f>IF(ngay24!K31&gt;0,ngay24!K31," ")</f>
        <v/>
      </c>
      <c r="Z31" s="10" t="str">
        <f>IF(ngay25!K31&gt;0,ngay25!K31," ")</f>
        <v/>
      </c>
      <c r="AA31" s="10" t="str">
        <f>IF(ngay26!K31&gt;0,ngay26!K31," ")</f>
        <v/>
      </c>
      <c r="AB31" s="10" t="str">
        <f>IF(ngay27!K31&gt;0,ngay27!K31," ")</f>
        <v/>
      </c>
      <c r="AC31" s="10" t="str">
        <f>IF(ngay28!K31&gt;0,ngay28!K31," ")</f>
        <v/>
      </c>
      <c r="AD31" s="10" t="str">
        <f>IF(ngay29!K31&gt;0,ngay29!K31," ")</f>
        <v/>
      </c>
      <c r="AE31" s="10" t="str">
        <f>IF(ngay30!K31&gt;0,ngay30!K31," ")</f>
        <v/>
      </c>
      <c r="AF31" s="10" t="str">
        <f>IF(ngay31!K31&gt;0,ngay31!K31," ")</f>
        <v/>
      </c>
      <c r="AG31" s="9" t="e">
        <f>IF(MIN(B31:AF31)&gt;0,MIN(B31:AF31),"x")</f>
        <v>#REF!</v>
      </c>
      <c r="AH31" s="9" t="str">
        <f>IF(COUNT(B31:AF31)&gt;0,AVERAGE(B31:AF31),"x ")</f>
        <v xml:space="preserve">x </v>
      </c>
      <c r="AI31" s="9" t="e">
        <f>IF($AG31&lt;&gt;"x",INDEX($B$5:$AF$5,1,MATCH($AG31,$B31:$AF31,0)),"")</f>
        <v>#REF!</v>
      </c>
    </row>
    <row r="32" spans="1:35" ht="16.5">
      <c r="A32" s="201" t="s">
        <v>129</v>
      </c>
      <c r="B32" s="25" t="e">
        <f>IF(ngay01!#REF!&gt;0,ngay01!#REF!," ")</f>
        <v>#REF!</v>
      </c>
      <c r="C32" s="10" t="str">
        <f>IF(ngay02!K32&gt;0,ngay02!K32," ")</f>
        <v/>
      </c>
      <c r="D32" s="10" t="str">
        <f>IF(ngay03!K32&gt;0,ngay03!K32," ")</f>
        <v/>
      </c>
      <c r="E32" s="10" t="str">
        <f>IF(ngay04!K32&gt;0,ngay04!K32," ")</f>
        <v/>
      </c>
      <c r="F32" s="10" t="str">
        <f>IF(ngay05!K32&gt;0,ngay05!K32," ")</f>
        <v/>
      </c>
      <c r="G32" s="10" t="str">
        <f>IF(ngay06!K32&gt;0,ngay06!K32," ")</f>
        <v/>
      </c>
      <c r="H32" s="10" t="str">
        <f>IF(ngay07!K32&gt;0,ngay07!K32," ")</f>
        <v/>
      </c>
      <c r="I32" s="10" t="str">
        <f>IF(ngay08!K32&gt;0,ngay08!K32," ")</f>
        <v/>
      </c>
      <c r="J32" s="10" t="str">
        <f>IF(ngay09!K32&gt;0,ngay09!K32," ")</f>
        <v/>
      </c>
      <c r="K32" s="10" t="str">
        <f>IF(ngay10!K32&gt;0,ngay10!K32," ")</f>
        <v/>
      </c>
      <c r="L32" s="10" t="str">
        <f>IF(ngay11!K32&gt;0,ngay11!K32," ")</f>
        <v/>
      </c>
      <c r="M32" s="10" t="str">
        <f>IF(ngay12!K32&gt;0,ngay12!K32," ")</f>
        <v/>
      </c>
      <c r="N32" s="10" t="str">
        <f>IF(ngay13!K32&gt;0,ngay13!K32," ")</f>
        <v/>
      </c>
      <c r="O32" s="10" t="str">
        <f>IF(ngay14!K32&gt;0,ngay14!K32," ")</f>
        <v/>
      </c>
      <c r="P32" s="10" t="str">
        <f>IF(ngay15!K32&gt;0,ngay15!K32," ")</f>
        <v/>
      </c>
      <c r="Q32" s="10" t="str">
        <f>IF(ngay16!K32&gt;0,ngay16!K32," ")</f>
        <v/>
      </c>
      <c r="R32" s="10" t="str">
        <f>IF(ngay17!K32&gt;0,ngay17!K32," ")</f>
        <v/>
      </c>
      <c r="S32" s="10" t="str">
        <f>IF(ngay18!K32&gt;0,ngay18!K32," ")</f>
        <v/>
      </c>
      <c r="T32" s="10" t="str">
        <f>IF(ngay19!K32&gt;0,ngay19!K32," ")</f>
        <v/>
      </c>
      <c r="U32" s="10" t="str">
        <f>IF(ngay20!K32&gt;0,ngay20!K32," ")</f>
        <v/>
      </c>
      <c r="V32" s="10" t="str">
        <f>IF(ngay21!K32&gt;0,ngay21!K32," ")</f>
        <v/>
      </c>
      <c r="W32" s="10" t="str">
        <f>IF(ngay22!K32&gt;0,ngay22!K32," ")</f>
        <v/>
      </c>
      <c r="X32" s="10" t="str">
        <f>IF(ngay23!K32&gt;0,ngay23!K32," ")</f>
        <v/>
      </c>
      <c r="Y32" s="10" t="str">
        <f>IF(ngay24!K32&gt;0,ngay24!K32," ")</f>
        <v/>
      </c>
      <c r="Z32" s="10" t="str">
        <f>IF(ngay25!K32&gt;0,ngay25!K32," ")</f>
        <v/>
      </c>
      <c r="AA32" s="10" t="str">
        <f>IF(ngay26!K32&gt;0,ngay26!K32," ")</f>
        <v/>
      </c>
      <c r="AB32" s="10" t="str">
        <f>IF(ngay27!K32&gt;0,ngay27!K32," ")</f>
        <v/>
      </c>
      <c r="AC32" s="10" t="str">
        <f>IF(ngay28!K32&gt;0,ngay28!K32," ")</f>
        <v/>
      </c>
      <c r="AD32" s="10" t="str">
        <f>IF(ngay29!K32&gt;0,ngay29!K32," ")</f>
        <v/>
      </c>
      <c r="AE32" s="10" t="str">
        <f>IF(ngay30!K32&gt;0,ngay30!K32," ")</f>
        <v/>
      </c>
      <c r="AF32" s="10" t="str">
        <f>IF(ngay31!K32&gt;0,ngay31!K32," ")</f>
        <v/>
      </c>
      <c r="AG32" s="9" t="e">
        <f>IF(MIN(B32:AF32)&gt;0,MIN(B32:AF32),"x")</f>
        <v>#REF!</v>
      </c>
      <c r="AH32" s="9" t="str">
        <f>IF(COUNT(B32:AF32)&gt;0,AVERAGE(B32:AF32),"x ")</f>
        <v xml:space="preserve">x </v>
      </c>
      <c r="AI32" s="9" t="e">
        <f t="shared" ref="AI32:AI53" si="3">IF($AG32&lt;&gt;"x",INDEX($B$5:$AF$5,1,MATCH($AG32,$B32:$AF32,0)),"")</f>
        <v>#REF!</v>
      </c>
    </row>
    <row r="33" spans="1:35" ht="16.5">
      <c r="A33" s="201" t="s">
        <v>130</v>
      </c>
      <c r="B33" s="25" t="e">
        <f>IF(ngay01!#REF!&gt;0,ngay01!#REF!," ")</f>
        <v>#REF!</v>
      </c>
      <c r="C33" s="10" t="str">
        <f>IF(ngay02!K33&gt;0,ngay02!K33," ")</f>
        <v/>
      </c>
      <c r="D33" s="10" t="str">
        <f>IF(ngay03!K33&gt;0,ngay03!K33," ")</f>
        <v/>
      </c>
      <c r="E33" s="10" t="str">
        <f>IF(ngay04!K33&gt;0,ngay04!K33," ")</f>
        <v/>
      </c>
      <c r="F33" s="10" t="str">
        <f>IF(ngay05!K33&gt;0,ngay05!K33," ")</f>
        <v/>
      </c>
      <c r="G33" s="10" t="str">
        <f>IF(ngay06!K33&gt;0,ngay06!K33," ")</f>
        <v/>
      </c>
      <c r="H33" s="10" t="str">
        <f>IF(ngay07!K33&gt;0,ngay07!K33," ")</f>
        <v/>
      </c>
      <c r="I33" s="10" t="str">
        <f>IF(ngay08!K33&gt;0,ngay08!K33," ")</f>
        <v/>
      </c>
      <c r="J33" s="10" t="str">
        <f>IF(ngay09!K33&gt;0,ngay09!K33," ")</f>
        <v/>
      </c>
      <c r="K33" s="10" t="str">
        <f>IF(ngay10!K33&gt;0,ngay10!K33," ")</f>
        <v/>
      </c>
      <c r="L33" s="10" t="str">
        <f>IF(ngay11!K33&gt;0,ngay11!K33," ")</f>
        <v/>
      </c>
      <c r="M33" s="10" t="str">
        <f>IF(ngay12!K33&gt;0,ngay12!K33," ")</f>
        <v/>
      </c>
      <c r="N33" s="10" t="str">
        <f>IF(ngay13!K33&gt;0,ngay13!K33," ")</f>
        <v/>
      </c>
      <c r="O33" s="10" t="str">
        <f>IF(ngay14!K33&gt;0,ngay14!K33," ")</f>
        <v/>
      </c>
      <c r="P33" s="10" t="str">
        <f>IF(ngay15!K33&gt;0,ngay15!K33," ")</f>
        <v/>
      </c>
      <c r="Q33" s="10" t="str">
        <f>IF(ngay16!K33&gt;0,ngay16!K33," ")</f>
        <v/>
      </c>
      <c r="R33" s="10" t="str">
        <f>IF(ngay17!K33&gt;0,ngay17!K33," ")</f>
        <v/>
      </c>
      <c r="S33" s="10" t="str">
        <f>IF(ngay18!K33&gt;0,ngay18!K33," ")</f>
        <v/>
      </c>
      <c r="T33" s="10" t="str">
        <f>IF(ngay19!K33&gt;0,ngay19!K33," ")</f>
        <v/>
      </c>
      <c r="U33" s="10" t="str">
        <f>IF(ngay20!K33&gt;0,ngay20!K33," ")</f>
        <v/>
      </c>
      <c r="V33" s="10" t="str">
        <f>IF(ngay21!K33&gt;0,ngay21!K33," ")</f>
        <v/>
      </c>
      <c r="W33" s="10" t="str">
        <f>IF(ngay22!K33&gt;0,ngay22!K33," ")</f>
        <v/>
      </c>
      <c r="X33" s="10" t="str">
        <f>IF(ngay23!K33&gt;0,ngay23!K33," ")</f>
        <v/>
      </c>
      <c r="Y33" s="10" t="str">
        <f>IF(ngay24!K33&gt;0,ngay24!K33," ")</f>
        <v/>
      </c>
      <c r="Z33" s="10" t="str">
        <f>IF(ngay25!K33&gt;0,ngay25!K33," ")</f>
        <v/>
      </c>
      <c r="AA33" s="10" t="str">
        <f>IF(ngay26!K33&gt;0,ngay26!K33," ")</f>
        <v/>
      </c>
      <c r="AB33" s="10" t="str">
        <f>IF(ngay27!K33&gt;0,ngay27!K33," ")</f>
        <v/>
      </c>
      <c r="AC33" s="10" t="str">
        <f>IF(ngay28!K33&gt;0,ngay28!K33," ")</f>
        <v/>
      </c>
      <c r="AD33" s="10" t="str">
        <f>IF(ngay29!K33&gt;0,ngay29!K33," ")</f>
        <v/>
      </c>
      <c r="AE33" s="10" t="str">
        <f>IF(ngay30!K33&gt;0,ngay30!K33," ")</f>
        <v/>
      </c>
      <c r="AF33" s="10" t="str">
        <f>IF(ngay31!K33&gt;0,ngay31!K33," ")</f>
        <v/>
      </c>
      <c r="AG33" s="9" t="e">
        <f t="shared" ref="AG33:AG53" si="4">IF(MIN(B33:AF33)&gt;0,MIN(B33:AF33),"x")</f>
        <v>#REF!</v>
      </c>
      <c r="AH33" s="9" t="str">
        <f t="shared" ref="AH33:AH53" si="5">IF(COUNT(B33:AF33)&gt;0,AVERAGE(B33:AF33),"x ")</f>
        <v xml:space="preserve">x </v>
      </c>
      <c r="AI33" s="9" t="e">
        <f t="shared" si="3"/>
        <v>#REF!</v>
      </c>
    </row>
    <row r="34" spans="1:35" ht="16.5">
      <c r="A34" s="201" t="s">
        <v>131</v>
      </c>
      <c r="B34" s="25" t="e">
        <f>IF(ngay01!#REF!&gt;0,ngay01!#REF!," ")</f>
        <v>#REF!</v>
      </c>
      <c r="C34" s="10" t="str">
        <f>IF(ngay02!K34&gt;0,ngay02!K34," ")</f>
        <v/>
      </c>
      <c r="D34" s="10" t="str">
        <f>IF(ngay03!K34&gt;0,ngay03!K34," ")</f>
        <v/>
      </c>
      <c r="E34" s="10" t="str">
        <f>IF(ngay04!K34&gt;0,ngay04!K34," ")</f>
        <v/>
      </c>
      <c r="F34" s="10" t="str">
        <f>IF(ngay05!K34&gt;0,ngay05!K34," ")</f>
        <v/>
      </c>
      <c r="G34" s="10" t="str">
        <f>IF(ngay06!K34&gt;0,ngay06!K34," ")</f>
        <v/>
      </c>
      <c r="H34" s="10" t="str">
        <f>IF(ngay07!K34&gt;0,ngay07!K34," ")</f>
        <v/>
      </c>
      <c r="I34" s="10" t="str">
        <f>IF(ngay08!K34&gt;0,ngay08!K34," ")</f>
        <v/>
      </c>
      <c r="J34" s="10" t="str">
        <f>IF(ngay09!K34&gt;0,ngay09!K34," ")</f>
        <v/>
      </c>
      <c r="K34" s="10" t="str">
        <f>IF(ngay10!K34&gt;0,ngay10!K34," ")</f>
        <v/>
      </c>
      <c r="L34" s="10" t="str">
        <f>IF(ngay11!K34&gt;0,ngay11!K34," ")</f>
        <v/>
      </c>
      <c r="M34" s="10" t="str">
        <f>IF(ngay12!K34&gt;0,ngay12!K34," ")</f>
        <v/>
      </c>
      <c r="N34" s="10" t="str">
        <f>IF(ngay13!K34&gt;0,ngay13!K34," ")</f>
        <v/>
      </c>
      <c r="O34" s="10" t="str">
        <f>IF(ngay14!K34&gt;0,ngay14!K34," ")</f>
        <v/>
      </c>
      <c r="P34" s="10" t="str">
        <f>IF(ngay15!K34&gt;0,ngay15!K34," ")</f>
        <v/>
      </c>
      <c r="Q34" s="10" t="str">
        <f>IF(ngay16!K34&gt;0,ngay16!K34," ")</f>
        <v/>
      </c>
      <c r="R34" s="10" t="str">
        <f>IF(ngay17!K34&gt;0,ngay17!K34," ")</f>
        <v/>
      </c>
      <c r="S34" s="10" t="str">
        <f>IF(ngay18!K34&gt;0,ngay18!K34," ")</f>
        <v/>
      </c>
      <c r="T34" s="10" t="str">
        <f>IF(ngay19!K34&gt;0,ngay19!K34," ")</f>
        <v/>
      </c>
      <c r="U34" s="10" t="str">
        <f>IF(ngay20!K34&gt;0,ngay20!K34," ")</f>
        <v/>
      </c>
      <c r="V34" s="10" t="str">
        <f>IF(ngay21!K34&gt;0,ngay21!K34," ")</f>
        <v/>
      </c>
      <c r="W34" s="10" t="str">
        <f>IF(ngay22!K34&gt;0,ngay22!K34," ")</f>
        <v/>
      </c>
      <c r="X34" s="10" t="str">
        <f>IF(ngay23!K34&gt;0,ngay23!K34," ")</f>
        <v/>
      </c>
      <c r="Y34" s="10" t="str">
        <f>IF(ngay24!K34&gt;0,ngay24!K34," ")</f>
        <v/>
      </c>
      <c r="Z34" s="10" t="str">
        <f>IF(ngay25!K34&gt;0,ngay25!K34," ")</f>
        <v/>
      </c>
      <c r="AA34" s="10" t="str">
        <f>IF(ngay26!K34&gt;0,ngay26!K34," ")</f>
        <v/>
      </c>
      <c r="AB34" s="10" t="str">
        <f>IF(ngay27!K34&gt;0,ngay27!K34," ")</f>
        <v/>
      </c>
      <c r="AC34" s="10" t="str">
        <f>IF(ngay28!K34&gt;0,ngay28!K34," ")</f>
        <v/>
      </c>
      <c r="AD34" s="10" t="str">
        <f>IF(ngay29!K34&gt;0,ngay29!K34," ")</f>
        <v/>
      </c>
      <c r="AE34" s="10" t="str">
        <f>IF(ngay30!K34&gt;0,ngay30!K34," ")</f>
        <v/>
      </c>
      <c r="AF34" s="10" t="str">
        <f>IF(ngay31!K34&gt;0,ngay31!K34," ")</f>
        <v/>
      </c>
      <c r="AG34" s="9" t="e">
        <f t="shared" si="4"/>
        <v>#REF!</v>
      </c>
      <c r="AH34" s="9" t="str">
        <f t="shared" si="5"/>
        <v xml:space="preserve">x </v>
      </c>
      <c r="AI34" s="9" t="e">
        <f t="shared" si="3"/>
        <v>#REF!</v>
      </c>
    </row>
    <row r="35" spans="1:35" ht="16.5">
      <c r="A35" s="201" t="s">
        <v>132</v>
      </c>
      <c r="B35" s="25" t="e">
        <f>IF(ngay01!#REF!&gt;0,ngay01!#REF!," ")</f>
        <v>#REF!</v>
      </c>
      <c r="C35" s="10" t="str">
        <f>IF(ngay02!K35&gt;0,ngay02!K35," ")</f>
        <v/>
      </c>
      <c r="D35" s="10" t="str">
        <f>IF(ngay03!K35&gt;0,ngay03!K35," ")</f>
        <v/>
      </c>
      <c r="E35" s="10" t="str">
        <f>IF(ngay04!K35&gt;0,ngay04!K35," ")</f>
        <v/>
      </c>
      <c r="F35" s="10" t="str">
        <f>IF(ngay05!K35&gt;0,ngay05!K35," ")</f>
        <v/>
      </c>
      <c r="G35" s="10" t="str">
        <f>IF(ngay06!K35&gt;0,ngay06!K35," ")</f>
        <v/>
      </c>
      <c r="H35" s="10" t="str">
        <f>IF(ngay07!K35&gt;0,ngay07!K35," ")</f>
        <v/>
      </c>
      <c r="I35" s="10" t="str">
        <f>IF(ngay08!K35&gt;0,ngay08!K35," ")</f>
        <v/>
      </c>
      <c r="J35" s="10" t="str">
        <f>IF(ngay09!K35&gt;0,ngay09!K35," ")</f>
        <v/>
      </c>
      <c r="K35" s="10" t="str">
        <f>IF(ngay10!K35&gt;0,ngay10!K35," ")</f>
        <v/>
      </c>
      <c r="L35" s="10" t="str">
        <f>IF(ngay11!K35&gt;0,ngay11!K35," ")</f>
        <v/>
      </c>
      <c r="M35" s="10" t="str">
        <f>IF(ngay12!K35&gt;0,ngay12!K35," ")</f>
        <v/>
      </c>
      <c r="N35" s="10" t="str">
        <f>IF(ngay13!K35&gt;0,ngay13!K35," ")</f>
        <v/>
      </c>
      <c r="O35" s="10" t="str">
        <f>IF(ngay14!K35&gt;0,ngay14!K35," ")</f>
        <v/>
      </c>
      <c r="P35" s="10" t="str">
        <f>IF(ngay15!K35&gt;0,ngay15!K35," ")</f>
        <v/>
      </c>
      <c r="Q35" s="10" t="str">
        <f>IF(ngay16!K35&gt;0,ngay16!K35," ")</f>
        <v/>
      </c>
      <c r="R35" s="10" t="str">
        <f>IF(ngay17!K35&gt;0,ngay17!K35," ")</f>
        <v/>
      </c>
      <c r="S35" s="10" t="str">
        <f>IF(ngay18!K35&gt;0,ngay18!K35," ")</f>
        <v/>
      </c>
      <c r="T35" s="10" t="str">
        <f>IF(ngay19!K35&gt;0,ngay19!K35," ")</f>
        <v/>
      </c>
      <c r="U35" s="10" t="str">
        <f>IF(ngay20!K35&gt;0,ngay20!K35," ")</f>
        <v/>
      </c>
      <c r="V35" s="10" t="str">
        <f>IF(ngay21!K35&gt;0,ngay21!K35," ")</f>
        <v/>
      </c>
      <c r="W35" s="10" t="str">
        <f>IF(ngay22!K35&gt;0,ngay22!K35," ")</f>
        <v/>
      </c>
      <c r="X35" s="10" t="str">
        <f>IF(ngay23!K35&gt;0,ngay23!K35," ")</f>
        <v/>
      </c>
      <c r="Y35" s="10" t="str">
        <f>IF(ngay24!K35&gt;0,ngay24!K35," ")</f>
        <v/>
      </c>
      <c r="Z35" s="10" t="str">
        <f>IF(ngay25!K35&gt;0,ngay25!K35," ")</f>
        <v/>
      </c>
      <c r="AA35" s="10" t="str">
        <f>IF(ngay26!K35&gt;0,ngay26!K35," ")</f>
        <v/>
      </c>
      <c r="AB35" s="10" t="str">
        <f>IF(ngay27!K35&gt;0,ngay27!K35," ")</f>
        <v/>
      </c>
      <c r="AC35" s="10" t="str">
        <f>IF(ngay28!K35&gt;0,ngay28!K35," ")</f>
        <v/>
      </c>
      <c r="AD35" s="10" t="str">
        <f>IF(ngay29!K35&gt;0,ngay29!K35," ")</f>
        <v/>
      </c>
      <c r="AE35" s="10" t="str">
        <f>IF(ngay30!K35&gt;0,ngay30!K35," ")</f>
        <v/>
      </c>
      <c r="AF35" s="10" t="str">
        <f>IF(ngay31!K35&gt;0,ngay31!K35," ")</f>
        <v/>
      </c>
      <c r="AG35" s="9" t="e">
        <f t="shared" si="4"/>
        <v>#REF!</v>
      </c>
      <c r="AH35" s="9" t="str">
        <f t="shared" si="5"/>
        <v xml:space="preserve">x </v>
      </c>
      <c r="AI35" s="9" t="e">
        <f t="shared" si="3"/>
        <v>#REF!</v>
      </c>
    </row>
    <row r="36" spans="1:35" ht="16.5">
      <c r="A36" s="201" t="s">
        <v>133</v>
      </c>
      <c r="B36" s="25" t="e">
        <f>IF(ngay01!#REF!&gt;0,ngay01!#REF!," ")</f>
        <v>#REF!</v>
      </c>
      <c r="C36" s="10" t="str">
        <f>IF(ngay02!K36&gt;0,ngay02!K36," ")</f>
        <v/>
      </c>
      <c r="D36" s="10" t="str">
        <f>IF(ngay03!K36&gt;0,ngay03!K36," ")</f>
        <v/>
      </c>
      <c r="E36" s="10" t="str">
        <f>IF(ngay04!K36&gt;0,ngay04!K36," ")</f>
        <v/>
      </c>
      <c r="F36" s="10" t="str">
        <f>IF(ngay05!K36&gt;0,ngay05!K36," ")</f>
        <v/>
      </c>
      <c r="G36" s="10" t="str">
        <f>IF(ngay06!K36&gt;0,ngay06!K36," ")</f>
        <v/>
      </c>
      <c r="H36" s="10" t="str">
        <f>IF(ngay07!K36&gt;0,ngay07!K36," ")</f>
        <v/>
      </c>
      <c r="I36" s="10" t="str">
        <f>IF(ngay08!K36&gt;0,ngay08!K36," ")</f>
        <v/>
      </c>
      <c r="J36" s="10" t="str">
        <f>IF(ngay09!K36&gt;0,ngay09!K36," ")</f>
        <v/>
      </c>
      <c r="K36" s="10" t="str">
        <f>IF(ngay10!K36&gt;0,ngay10!K36," ")</f>
        <v/>
      </c>
      <c r="L36" s="10" t="str">
        <f>IF(ngay11!K36&gt;0,ngay11!K36," ")</f>
        <v/>
      </c>
      <c r="M36" s="10" t="str">
        <f>IF(ngay12!K36&gt;0,ngay12!K36," ")</f>
        <v/>
      </c>
      <c r="N36" s="10" t="str">
        <f>IF(ngay13!K36&gt;0,ngay13!K36," ")</f>
        <v/>
      </c>
      <c r="O36" s="10" t="str">
        <f>IF(ngay14!K36&gt;0,ngay14!K36," ")</f>
        <v/>
      </c>
      <c r="P36" s="10" t="str">
        <f>IF(ngay15!K36&gt;0,ngay15!K36," ")</f>
        <v/>
      </c>
      <c r="Q36" s="10" t="str">
        <f>IF(ngay16!K36&gt;0,ngay16!K36," ")</f>
        <v/>
      </c>
      <c r="R36" s="10" t="str">
        <f>IF(ngay17!K36&gt;0,ngay17!K36," ")</f>
        <v/>
      </c>
      <c r="S36" s="10" t="str">
        <f>IF(ngay18!K36&gt;0,ngay18!K36," ")</f>
        <v/>
      </c>
      <c r="T36" s="10" t="str">
        <f>IF(ngay19!K36&gt;0,ngay19!K36," ")</f>
        <v/>
      </c>
      <c r="U36" s="10" t="str">
        <f>IF(ngay20!K36&gt;0,ngay20!K36," ")</f>
        <v/>
      </c>
      <c r="V36" s="10" t="str">
        <f>IF(ngay21!K36&gt;0,ngay21!K36," ")</f>
        <v/>
      </c>
      <c r="W36" s="10" t="str">
        <f>IF(ngay22!K36&gt;0,ngay22!K36," ")</f>
        <v/>
      </c>
      <c r="X36" s="10" t="str">
        <f>IF(ngay23!K36&gt;0,ngay23!K36," ")</f>
        <v/>
      </c>
      <c r="Y36" s="10" t="str">
        <f>IF(ngay24!K36&gt;0,ngay24!K36," ")</f>
        <v/>
      </c>
      <c r="Z36" s="10" t="str">
        <f>IF(ngay25!K36&gt;0,ngay25!K36," ")</f>
        <v/>
      </c>
      <c r="AA36" s="10" t="str">
        <f>IF(ngay26!K36&gt;0,ngay26!K36," ")</f>
        <v/>
      </c>
      <c r="AB36" s="10" t="str">
        <f>IF(ngay27!K36&gt;0,ngay27!K36," ")</f>
        <v/>
      </c>
      <c r="AC36" s="10" t="str">
        <f>IF(ngay28!K36&gt;0,ngay28!K36," ")</f>
        <v/>
      </c>
      <c r="AD36" s="10" t="str">
        <f>IF(ngay29!K36&gt;0,ngay29!K36," ")</f>
        <v/>
      </c>
      <c r="AE36" s="10" t="str">
        <f>IF(ngay30!K36&gt;0,ngay30!K36," ")</f>
        <v/>
      </c>
      <c r="AF36" s="10" t="str">
        <f>IF(ngay31!K36&gt;0,ngay31!K36," ")</f>
        <v/>
      </c>
      <c r="AG36" s="9" t="e">
        <f t="shared" si="4"/>
        <v>#REF!</v>
      </c>
      <c r="AH36" s="9" t="str">
        <f t="shared" si="5"/>
        <v xml:space="preserve">x </v>
      </c>
      <c r="AI36" s="9" t="e">
        <f t="shared" si="3"/>
        <v>#REF!</v>
      </c>
    </row>
    <row r="37" spans="1:35" ht="16.5">
      <c r="A37" s="201" t="s">
        <v>134</v>
      </c>
      <c r="B37" s="25" t="e">
        <f>IF(ngay01!#REF!&gt;0,ngay01!#REF!," ")</f>
        <v>#REF!</v>
      </c>
      <c r="C37" s="10" t="str">
        <f>IF(ngay02!K37&gt;0,ngay02!K37," ")</f>
        <v/>
      </c>
      <c r="D37" s="10" t="str">
        <f>IF(ngay03!K37&gt;0,ngay03!K37," ")</f>
        <v/>
      </c>
      <c r="E37" s="10" t="str">
        <f>IF(ngay04!K37&gt;0,ngay04!K37," ")</f>
        <v/>
      </c>
      <c r="F37" s="10" t="str">
        <f>IF(ngay05!K37&gt;0,ngay05!K37," ")</f>
        <v/>
      </c>
      <c r="G37" s="10" t="str">
        <f>IF(ngay06!K37&gt;0,ngay06!K37," ")</f>
        <v/>
      </c>
      <c r="H37" s="10" t="str">
        <f>IF(ngay07!K37&gt;0,ngay07!K37," ")</f>
        <v/>
      </c>
      <c r="I37" s="10" t="str">
        <f>IF(ngay08!K37&gt;0,ngay08!K37," ")</f>
        <v/>
      </c>
      <c r="J37" s="10" t="str">
        <f>IF(ngay09!K37&gt;0,ngay09!K37," ")</f>
        <v/>
      </c>
      <c r="K37" s="10" t="str">
        <f>IF(ngay10!K37&gt;0,ngay10!K37," ")</f>
        <v/>
      </c>
      <c r="L37" s="10" t="str">
        <f>IF(ngay11!K37&gt;0,ngay11!K37," ")</f>
        <v/>
      </c>
      <c r="M37" s="10" t="str">
        <f>IF(ngay12!K37&gt;0,ngay12!K37," ")</f>
        <v/>
      </c>
      <c r="N37" s="10" t="str">
        <f>IF(ngay13!K37&gt;0,ngay13!K37," ")</f>
        <v/>
      </c>
      <c r="O37" s="10" t="str">
        <f>IF(ngay14!K37&gt;0,ngay14!K37," ")</f>
        <v/>
      </c>
      <c r="P37" s="10" t="str">
        <f>IF(ngay15!K37&gt;0,ngay15!K37," ")</f>
        <v/>
      </c>
      <c r="Q37" s="10" t="str">
        <f>IF(ngay16!K37&gt;0,ngay16!K37," ")</f>
        <v/>
      </c>
      <c r="R37" s="10" t="str">
        <f>IF(ngay17!K37&gt;0,ngay17!K37," ")</f>
        <v/>
      </c>
      <c r="S37" s="10" t="str">
        <f>IF(ngay18!K37&gt;0,ngay18!K37," ")</f>
        <v/>
      </c>
      <c r="T37" s="10" t="str">
        <f>IF(ngay19!K37&gt;0,ngay19!K37," ")</f>
        <v/>
      </c>
      <c r="U37" s="10" t="str">
        <f>IF(ngay20!K37&gt;0,ngay20!K37," ")</f>
        <v/>
      </c>
      <c r="V37" s="10" t="str">
        <f>IF(ngay21!K37&gt;0,ngay21!K37," ")</f>
        <v/>
      </c>
      <c r="W37" s="10" t="str">
        <f>IF(ngay22!K37&gt;0,ngay22!K37," ")</f>
        <v/>
      </c>
      <c r="X37" s="10" t="str">
        <f>IF(ngay23!K37&gt;0,ngay23!K37," ")</f>
        <v/>
      </c>
      <c r="Y37" s="10" t="str">
        <f>IF(ngay24!K37&gt;0,ngay24!K37," ")</f>
        <v/>
      </c>
      <c r="Z37" s="10" t="str">
        <f>IF(ngay25!K37&gt;0,ngay25!K37," ")</f>
        <v/>
      </c>
      <c r="AA37" s="10" t="str">
        <f>IF(ngay26!K37&gt;0,ngay26!K37," ")</f>
        <v/>
      </c>
      <c r="AB37" s="10" t="str">
        <f>IF(ngay27!K37&gt;0,ngay27!K37," ")</f>
        <v/>
      </c>
      <c r="AC37" s="10" t="str">
        <f>IF(ngay28!K37&gt;0,ngay28!K37," ")</f>
        <v/>
      </c>
      <c r="AD37" s="10" t="str">
        <f>IF(ngay29!K37&gt;0,ngay29!K37," ")</f>
        <v/>
      </c>
      <c r="AE37" s="10" t="str">
        <f>IF(ngay30!K37&gt;0,ngay30!K37," ")</f>
        <v/>
      </c>
      <c r="AF37" s="10" t="str">
        <f>IF(ngay31!K37&gt;0,ngay31!K37," ")</f>
        <v/>
      </c>
      <c r="AG37" s="9" t="e">
        <f t="shared" si="4"/>
        <v>#REF!</v>
      </c>
      <c r="AH37" s="9" t="str">
        <f t="shared" si="5"/>
        <v xml:space="preserve">x </v>
      </c>
      <c r="AI37" s="9" t="e">
        <f t="shared" si="3"/>
        <v>#REF!</v>
      </c>
    </row>
    <row r="38" spans="1:35" ht="16.5">
      <c r="A38" s="201" t="s">
        <v>192</v>
      </c>
      <c r="B38" s="25" t="e">
        <f>IF(ngay01!#REF!&gt;0,ngay01!#REF!," ")</f>
        <v>#REF!</v>
      </c>
      <c r="C38" s="10" t="str">
        <f>IF(ngay02!K38&gt;0,ngay02!K38," ")</f>
        <v/>
      </c>
      <c r="D38" s="10" t="str">
        <f>IF(ngay03!K38&gt;0,ngay03!K38," ")</f>
        <v/>
      </c>
      <c r="E38" s="10" t="str">
        <f>IF(ngay04!K38&gt;0,ngay04!K38," ")</f>
        <v/>
      </c>
      <c r="F38" s="10" t="str">
        <f>IF(ngay05!K38&gt;0,ngay05!K38," ")</f>
        <v/>
      </c>
      <c r="G38" s="10" t="str">
        <f>IF(ngay06!K38&gt;0,ngay06!K38," ")</f>
        <v/>
      </c>
      <c r="H38" s="10" t="str">
        <f>IF(ngay07!K38&gt;0,ngay07!K38," ")</f>
        <v/>
      </c>
      <c r="I38" s="10" t="str">
        <f>IF(ngay08!K38&gt;0,ngay08!K38," ")</f>
        <v/>
      </c>
      <c r="J38" s="10" t="str">
        <f>IF(ngay09!K38&gt;0,ngay09!K38," ")</f>
        <v/>
      </c>
      <c r="K38" s="10" t="str">
        <f>IF(ngay10!K38&gt;0,ngay10!K38," ")</f>
        <v/>
      </c>
      <c r="L38" s="10" t="str">
        <f>IF(ngay11!K38&gt;0,ngay11!K38," ")</f>
        <v/>
      </c>
      <c r="M38" s="10" t="str">
        <f>IF(ngay12!K38&gt;0,ngay12!K38," ")</f>
        <v/>
      </c>
      <c r="N38" s="10" t="str">
        <f>IF(ngay13!K38&gt;0,ngay13!K38," ")</f>
        <v/>
      </c>
      <c r="O38" s="10" t="str">
        <f>IF(ngay14!K38&gt;0,ngay14!K38," ")</f>
        <v/>
      </c>
      <c r="P38" s="10" t="str">
        <f>IF(ngay15!K38&gt;0,ngay15!K38," ")</f>
        <v/>
      </c>
      <c r="Q38" s="10" t="str">
        <f>IF(ngay16!K38&gt;0,ngay16!K38," ")</f>
        <v/>
      </c>
      <c r="R38" s="10" t="str">
        <f>IF(ngay17!K38&gt;0,ngay17!K38," ")</f>
        <v/>
      </c>
      <c r="S38" s="10" t="str">
        <f>IF(ngay18!K38&gt;0,ngay18!K38," ")</f>
        <v/>
      </c>
      <c r="T38" s="10" t="str">
        <f>IF(ngay19!K38&gt;0,ngay19!K38," ")</f>
        <v/>
      </c>
      <c r="U38" s="10" t="str">
        <f>IF(ngay20!K38&gt;0,ngay20!K38," ")</f>
        <v/>
      </c>
      <c r="V38" s="10" t="str">
        <f>IF(ngay21!K38&gt;0,ngay21!K38," ")</f>
        <v/>
      </c>
      <c r="W38" s="10" t="str">
        <f>IF(ngay22!K38&gt;0,ngay22!K38," ")</f>
        <v/>
      </c>
      <c r="X38" s="10" t="str">
        <f>IF(ngay23!K38&gt;0,ngay23!K38," ")</f>
        <v/>
      </c>
      <c r="Y38" s="10" t="str">
        <f>IF(ngay24!K38&gt;0,ngay24!K38," ")</f>
        <v/>
      </c>
      <c r="Z38" s="10" t="str">
        <f>IF(ngay25!K38&gt;0,ngay25!K38," ")</f>
        <v/>
      </c>
      <c r="AA38" s="10" t="str">
        <f>IF(ngay26!K38&gt;0,ngay26!K38," ")</f>
        <v/>
      </c>
      <c r="AB38" s="10" t="str">
        <f>IF(ngay27!K38&gt;0,ngay27!K38," ")</f>
        <v/>
      </c>
      <c r="AC38" s="10" t="str">
        <f>IF(ngay28!K38&gt;0,ngay28!K38," ")</f>
        <v/>
      </c>
      <c r="AD38" s="10" t="str">
        <f>IF(ngay29!K38&gt;0,ngay29!K38," ")</f>
        <v/>
      </c>
      <c r="AE38" s="10" t="str">
        <f>IF(ngay30!K38&gt;0,ngay30!K38," ")</f>
        <v/>
      </c>
      <c r="AF38" s="10" t="str">
        <f>IF(ngay31!K38&gt;0,ngay31!K38," ")</f>
        <v/>
      </c>
      <c r="AG38" s="9" t="e">
        <f t="shared" si="4"/>
        <v>#REF!</v>
      </c>
      <c r="AH38" s="9" t="str">
        <f t="shared" si="5"/>
        <v xml:space="preserve">x </v>
      </c>
      <c r="AI38" s="9" t="e">
        <f t="shared" si="3"/>
        <v>#REF!</v>
      </c>
    </row>
    <row r="39" spans="1:35" ht="16.5">
      <c r="A39" s="201" t="s">
        <v>135</v>
      </c>
      <c r="B39" s="25" t="e">
        <f>IF(ngay01!#REF!&gt;0,ngay01!#REF!," ")</f>
        <v>#REF!</v>
      </c>
      <c r="C39" s="10" t="str">
        <f>IF(ngay02!K39&gt;0,ngay02!K39," ")</f>
        <v/>
      </c>
      <c r="D39" s="10" t="str">
        <f>IF(ngay03!K39&gt;0,ngay03!K39," ")</f>
        <v/>
      </c>
      <c r="E39" s="10" t="str">
        <f>IF(ngay04!K39&gt;0,ngay04!K39," ")</f>
        <v/>
      </c>
      <c r="F39" s="10" t="str">
        <f>IF(ngay05!K39&gt;0,ngay05!K39," ")</f>
        <v/>
      </c>
      <c r="G39" s="10" t="str">
        <f>IF(ngay06!K39&gt;0,ngay06!K39," ")</f>
        <v/>
      </c>
      <c r="H39" s="10" t="str">
        <f>IF(ngay07!K39&gt;0,ngay07!K39," ")</f>
        <v/>
      </c>
      <c r="I39" s="10" t="str">
        <f>IF(ngay08!K39&gt;0,ngay08!K39," ")</f>
        <v/>
      </c>
      <c r="J39" s="10" t="str">
        <f>IF(ngay09!K39&gt;0,ngay09!K39," ")</f>
        <v/>
      </c>
      <c r="K39" s="10" t="str">
        <f>IF(ngay10!K39&gt;0,ngay10!K39," ")</f>
        <v/>
      </c>
      <c r="L39" s="10" t="str">
        <f>IF(ngay11!K39&gt;0,ngay11!K39," ")</f>
        <v/>
      </c>
      <c r="M39" s="10" t="str">
        <f>IF(ngay12!K39&gt;0,ngay12!K39," ")</f>
        <v/>
      </c>
      <c r="N39" s="10" t="str">
        <f>IF(ngay13!K39&gt;0,ngay13!K39," ")</f>
        <v/>
      </c>
      <c r="O39" s="10" t="str">
        <f>IF(ngay14!K39&gt;0,ngay14!K39," ")</f>
        <v/>
      </c>
      <c r="P39" s="10" t="str">
        <f>IF(ngay15!K39&gt;0,ngay15!K39," ")</f>
        <v/>
      </c>
      <c r="Q39" s="10" t="str">
        <f>IF(ngay16!K39&gt;0,ngay16!K39," ")</f>
        <v/>
      </c>
      <c r="R39" s="10" t="str">
        <f>IF(ngay17!K39&gt;0,ngay17!K39," ")</f>
        <v/>
      </c>
      <c r="S39" s="10" t="str">
        <f>IF(ngay18!K39&gt;0,ngay18!K39," ")</f>
        <v/>
      </c>
      <c r="T39" s="10" t="str">
        <f>IF(ngay19!K39&gt;0,ngay19!K39," ")</f>
        <v/>
      </c>
      <c r="U39" s="10" t="str">
        <f>IF(ngay20!K39&gt;0,ngay20!K39," ")</f>
        <v/>
      </c>
      <c r="V39" s="10" t="str">
        <f>IF(ngay21!K39&gt;0,ngay21!K39," ")</f>
        <v/>
      </c>
      <c r="W39" s="10" t="str">
        <f>IF(ngay22!K39&gt;0,ngay22!K39," ")</f>
        <v/>
      </c>
      <c r="X39" s="10" t="str">
        <f>IF(ngay23!K39&gt;0,ngay23!K39," ")</f>
        <v/>
      </c>
      <c r="Y39" s="10" t="str">
        <f>IF(ngay24!K39&gt;0,ngay24!K39," ")</f>
        <v/>
      </c>
      <c r="Z39" s="10" t="str">
        <f>IF(ngay25!K39&gt;0,ngay25!K39," ")</f>
        <v/>
      </c>
      <c r="AA39" s="10" t="str">
        <f>IF(ngay26!K39&gt;0,ngay26!K39," ")</f>
        <v/>
      </c>
      <c r="AB39" s="10" t="str">
        <f>IF(ngay27!K39&gt;0,ngay27!K39," ")</f>
        <v/>
      </c>
      <c r="AC39" s="10" t="str">
        <f>IF(ngay28!K39&gt;0,ngay28!K39," ")</f>
        <v/>
      </c>
      <c r="AD39" s="10" t="str">
        <f>IF(ngay29!K39&gt;0,ngay29!K39," ")</f>
        <v/>
      </c>
      <c r="AE39" s="10" t="str">
        <f>IF(ngay30!K39&gt;0,ngay30!K39," ")</f>
        <v/>
      </c>
      <c r="AF39" s="10" t="str">
        <f>IF(ngay31!K39&gt;0,ngay31!K39," ")</f>
        <v/>
      </c>
      <c r="AG39" s="9" t="e">
        <f t="shared" si="4"/>
        <v>#REF!</v>
      </c>
      <c r="AH39" s="9" t="str">
        <f t="shared" si="5"/>
        <v xml:space="preserve">x </v>
      </c>
      <c r="AI39" s="9" t="e">
        <f t="shared" si="3"/>
        <v>#REF!</v>
      </c>
    </row>
    <row r="40" spans="1:35" ht="16.5">
      <c r="A40" s="201" t="s">
        <v>136</v>
      </c>
      <c r="B40" s="25" t="e">
        <f>IF(ngay01!#REF!&gt;0,ngay01!#REF!," ")</f>
        <v>#REF!</v>
      </c>
      <c r="C40" s="10" t="str">
        <f>IF(ngay02!K40&gt;0,ngay02!K40," ")</f>
        <v/>
      </c>
      <c r="D40" s="10" t="str">
        <f>IF(ngay03!K40&gt;0,ngay03!K40," ")</f>
        <v/>
      </c>
      <c r="E40" s="10" t="str">
        <f>IF(ngay04!K40&gt;0,ngay04!K40," ")</f>
        <v/>
      </c>
      <c r="F40" s="10" t="str">
        <f>IF(ngay05!K40&gt;0,ngay05!K40," ")</f>
        <v/>
      </c>
      <c r="G40" s="10" t="str">
        <f>IF(ngay06!K40&gt;0,ngay06!K40," ")</f>
        <v/>
      </c>
      <c r="H40" s="10" t="str">
        <f>IF(ngay07!K40&gt;0,ngay07!K40," ")</f>
        <v/>
      </c>
      <c r="I40" s="10" t="str">
        <f>IF(ngay08!K40&gt;0,ngay08!K40," ")</f>
        <v/>
      </c>
      <c r="J40" s="10" t="str">
        <f>IF(ngay09!K40&gt;0,ngay09!K40," ")</f>
        <v/>
      </c>
      <c r="K40" s="10" t="str">
        <f>IF(ngay10!K40&gt;0,ngay10!K40," ")</f>
        <v/>
      </c>
      <c r="L40" s="10" t="str">
        <f>IF(ngay11!K40&gt;0,ngay11!K40," ")</f>
        <v/>
      </c>
      <c r="M40" s="10" t="str">
        <f>IF(ngay12!K40&gt;0,ngay12!K40," ")</f>
        <v/>
      </c>
      <c r="N40" s="10" t="str">
        <f>IF(ngay13!K40&gt;0,ngay13!K40," ")</f>
        <v/>
      </c>
      <c r="O40" s="10" t="str">
        <f>IF(ngay14!K40&gt;0,ngay14!K40," ")</f>
        <v/>
      </c>
      <c r="P40" s="10" t="str">
        <f>IF(ngay15!K40&gt;0,ngay15!K40," ")</f>
        <v/>
      </c>
      <c r="Q40" s="10" t="str">
        <f>IF(ngay16!K40&gt;0,ngay16!K40," ")</f>
        <v/>
      </c>
      <c r="R40" s="10" t="str">
        <f>IF(ngay17!K40&gt;0,ngay17!K40," ")</f>
        <v/>
      </c>
      <c r="S40" s="10" t="str">
        <f>IF(ngay18!K40&gt;0,ngay18!K40," ")</f>
        <v/>
      </c>
      <c r="T40" s="10" t="str">
        <f>IF(ngay19!K40&gt;0,ngay19!K40," ")</f>
        <v/>
      </c>
      <c r="U40" s="10" t="str">
        <f>IF(ngay20!K40&gt;0,ngay20!K40," ")</f>
        <v/>
      </c>
      <c r="V40" s="10" t="str">
        <f>IF(ngay21!K40&gt;0,ngay21!K40," ")</f>
        <v/>
      </c>
      <c r="W40" s="10" t="str">
        <f>IF(ngay22!K40&gt;0,ngay22!K40," ")</f>
        <v/>
      </c>
      <c r="X40" s="10" t="str">
        <f>IF(ngay23!K40&gt;0,ngay23!K40," ")</f>
        <v/>
      </c>
      <c r="Y40" s="10" t="str">
        <f>IF(ngay24!K40&gt;0,ngay24!K40," ")</f>
        <v/>
      </c>
      <c r="Z40" s="10" t="str">
        <f>IF(ngay25!K40&gt;0,ngay25!K40," ")</f>
        <v/>
      </c>
      <c r="AA40" s="10" t="str">
        <f>IF(ngay26!K40&gt;0,ngay26!K40," ")</f>
        <v/>
      </c>
      <c r="AB40" s="10" t="str">
        <f>IF(ngay27!K40&gt;0,ngay27!K40," ")</f>
        <v/>
      </c>
      <c r="AC40" s="10" t="str">
        <f>IF(ngay28!K40&gt;0,ngay28!K40," ")</f>
        <v/>
      </c>
      <c r="AD40" s="10" t="str">
        <f>IF(ngay29!K40&gt;0,ngay29!K40," ")</f>
        <v/>
      </c>
      <c r="AE40" s="10" t="str">
        <f>IF(ngay30!K40&gt;0,ngay30!K40," ")</f>
        <v/>
      </c>
      <c r="AF40" s="10" t="str">
        <f>IF(ngay31!K40&gt;0,ngay31!K40," ")</f>
        <v/>
      </c>
      <c r="AG40" s="9" t="e">
        <f t="shared" si="4"/>
        <v>#REF!</v>
      </c>
      <c r="AH40" s="9" t="str">
        <f t="shared" si="5"/>
        <v xml:space="preserve">x </v>
      </c>
      <c r="AI40" s="9" t="e">
        <f t="shared" si="3"/>
        <v>#REF!</v>
      </c>
    </row>
    <row r="41" spans="1:35" ht="16.5">
      <c r="A41" s="201" t="s">
        <v>137</v>
      </c>
      <c r="B41" s="25" t="e">
        <f>IF(ngay01!#REF!&gt;0,ngay01!#REF!," ")</f>
        <v>#REF!</v>
      </c>
      <c r="C41" s="10" t="str">
        <f>IF(ngay02!K41&gt;0,ngay02!K41," ")</f>
        <v/>
      </c>
      <c r="D41" s="10" t="str">
        <f>IF(ngay03!K41&gt;0,ngay03!K41," ")</f>
        <v/>
      </c>
      <c r="E41" s="10" t="str">
        <f>IF(ngay04!K41&gt;0,ngay04!K41," ")</f>
        <v/>
      </c>
      <c r="F41" s="10" t="str">
        <f>IF(ngay05!K41&gt;0,ngay05!K41," ")</f>
        <v/>
      </c>
      <c r="G41" s="10" t="str">
        <f>IF(ngay06!K41&gt;0,ngay06!K41," ")</f>
        <v/>
      </c>
      <c r="H41" s="10" t="str">
        <f>IF(ngay07!K41&gt;0,ngay07!K41," ")</f>
        <v/>
      </c>
      <c r="I41" s="10" t="str">
        <f>IF(ngay08!K41&gt;0,ngay08!K41," ")</f>
        <v/>
      </c>
      <c r="J41" s="10" t="str">
        <f>IF(ngay09!K41&gt;0,ngay09!K41," ")</f>
        <v/>
      </c>
      <c r="K41" s="10" t="str">
        <f>IF(ngay10!K41&gt;0,ngay10!K41," ")</f>
        <v/>
      </c>
      <c r="L41" s="10" t="str">
        <f>IF(ngay11!K41&gt;0,ngay11!K41," ")</f>
        <v/>
      </c>
      <c r="M41" s="10" t="str">
        <f>IF(ngay12!K41&gt;0,ngay12!K41," ")</f>
        <v/>
      </c>
      <c r="N41" s="10" t="str">
        <f>IF(ngay13!K41&gt;0,ngay13!K41," ")</f>
        <v/>
      </c>
      <c r="O41" s="10" t="str">
        <f>IF(ngay14!K41&gt;0,ngay14!K41," ")</f>
        <v/>
      </c>
      <c r="P41" s="10" t="str">
        <f>IF(ngay15!K41&gt;0,ngay15!K41," ")</f>
        <v/>
      </c>
      <c r="Q41" s="10" t="str">
        <f>IF(ngay16!K41&gt;0,ngay16!K41," ")</f>
        <v/>
      </c>
      <c r="R41" s="10" t="str">
        <f>IF(ngay17!K41&gt;0,ngay17!K41," ")</f>
        <v/>
      </c>
      <c r="S41" s="10" t="str">
        <f>IF(ngay18!K41&gt;0,ngay18!K41," ")</f>
        <v/>
      </c>
      <c r="T41" s="10" t="str">
        <f>IF(ngay19!K41&gt;0,ngay19!K41," ")</f>
        <v/>
      </c>
      <c r="U41" s="10" t="str">
        <f>IF(ngay20!K41&gt;0,ngay20!K41," ")</f>
        <v/>
      </c>
      <c r="V41" s="10" t="str">
        <f>IF(ngay21!K41&gt;0,ngay21!K41," ")</f>
        <v/>
      </c>
      <c r="W41" s="10" t="str">
        <f>IF(ngay22!K41&gt;0,ngay22!K41," ")</f>
        <v/>
      </c>
      <c r="X41" s="10" t="str">
        <f>IF(ngay23!K41&gt;0,ngay23!K41," ")</f>
        <v/>
      </c>
      <c r="Y41" s="10" t="str">
        <f>IF(ngay24!K41&gt;0,ngay24!K41," ")</f>
        <v/>
      </c>
      <c r="Z41" s="10" t="str">
        <f>IF(ngay25!K41&gt;0,ngay25!K41," ")</f>
        <v/>
      </c>
      <c r="AA41" s="10" t="str">
        <f>IF(ngay26!K41&gt;0,ngay26!K41," ")</f>
        <v/>
      </c>
      <c r="AB41" s="10" t="str">
        <f>IF(ngay27!K41&gt;0,ngay27!K41," ")</f>
        <v/>
      </c>
      <c r="AC41" s="10" t="str">
        <f>IF(ngay28!K41&gt;0,ngay28!K41," ")</f>
        <v/>
      </c>
      <c r="AD41" s="10" t="str">
        <f>IF(ngay29!K41&gt;0,ngay29!K41," ")</f>
        <v/>
      </c>
      <c r="AE41" s="10" t="str">
        <f>IF(ngay30!K41&gt;0,ngay30!K41," ")</f>
        <v/>
      </c>
      <c r="AF41" s="10" t="str">
        <f>IF(ngay31!K41&gt;0,ngay31!K41," ")</f>
        <v/>
      </c>
      <c r="AG41" s="9" t="e">
        <f t="shared" si="4"/>
        <v>#REF!</v>
      </c>
      <c r="AH41" s="9" t="str">
        <f t="shared" si="5"/>
        <v xml:space="preserve">x </v>
      </c>
      <c r="AI41" s="9" t="e">
        <f t="shared" si="3"/>
        <v>#REF!</v>
      </c>
    </row>
    <row r="42" spans="1:35" ht="16.5">
      <c r="A42" s="201" t="s">
        <v>138</v>
      </c>
      <c r="B42" s="25" t="e">
        <f>IF(ngay01!#REF!&gt;0,ngay01!#REF!," ")</f>
        <v>#REF!</v>
      </c>
      <c r="C42" s="10" t="str">
        <f>IF(ngay02!K42&gt;0,ngay02!K42," ")</f>
        <v/>
      </c>
      <c r="D42" s="10" t="str">
        <f>IF(ngay03!K42&gt;0,ngay03!K42," ")</f>
        <v/>
      </c>
      <c r="E42" s="10" t="str">
        <f>IF(ngay04!K42&gt;0,ngay04!K42," ")</f>
        <v/>
      </c>
      <c r="F42" s="10" t="str">
        <f>IF(ngay05!K42&gt;0,ngay05!K42," ")</f>
        <v/>
      </c>
      <c r="G42" s="10" t="str">
        <f>IF(ngay06!K42&gt;0,ngay06!K42," ")</f>
        <v/>
      </c>
      <c r="H42" s="10" t="str">
        <f>IF(ngay07!K42&gt;0,ngay07!K42," ")</f>
        <v/>
      </c>
      <c r="I42" s="10" t="str">
        <f>IF(ngay08!K42&gt;0,ngay08!K42," ")</f>
        <v/>
      </c>
      <c r="J42" s="10" t="str">
        <f>IF(ngay09!K42&gt;0,ngay09!K42," ")</f>
        <v/>
      </c>
      <c r="K42" s="10" t="str">
        <f>IF(ngay10!K42&gt;0,ngay10!K42," ")</f>
        <v/>
      </c>
      <c r="L42" s="10" t="str">
        <f>IF(ngay11!K42&gt;0,ngay11!K42," ")</f>
        <v/>
      </c>
      <c r="M42" s="10" t="str">
        <f>IF(ngay12!K42&gt;0,ngay12!K42," ")</f>
        <v/>
      </c>
      <c r="N42" s="10" t="str">
        <f>IF(ngay13!K42&gt;0,ngay13!K42," ")</f>
        <v/>
      </c>
      <c r="O42" s="10" t="str">
        <f>IF(ngay14!K42&gt;0,ngay14!K42," ")</f>
        <v/>
      </c>
      <c r="P42" s="10" t="str">
        <f>IF(ngay15!K42&gt;0,ngay15!K42," ")</f>
        <v/>
      </c>
      <c r="Q42" s="10" t="str">
        <f>IF(ngay16!K42&gt;0,ngay16!K42," ")</f>
        <v/>
      </c>
      <c r="R42" s="10" t="str">
        <f>IF(ngay17!K42&gt;0,ngay17!K42," ")</f>
        <v/>
      </c>
      <c r="S42" s="10" t="str">
        <f>IF(ngay18!K42&gt;0,ngay18!K42," ")</f>
        <v/>
      </c>
      <c r="T42" s="10" t="str">
        <f>IF(ngay19!K42&gt;0,ngay19!K42," ")</f>
        <v/>
      </c>
      <c r="U42" s="10" t="str">
        <f>IF(ngay20!K42&gt;0,ngay20!K42," ")</f>
        <v/>
      </c>
      <c r="V42" s="10" t="str">
        <f>IF(ngay21!K42&gt;0,ngay21!K42," ")</f>
        <v/>
      </c>
      <c r="W42" s="10" t="str">
        <f>IF(ngay22!K42&gt;0,ngay22!K42," ")</f>
        <v/>
      </c>
      <c r="X42" s="10" t="str">
        <f>IF(ngay23!K42&gt;0,ngay23!K42," ")</f>
        <v/>
      </c>
      <c r="Y42" s="10" t="str">
        <f>IF(ngay24!K42&gt;0,ngay24!K42," ")</f>
        <v/>
      </c>
      <c r="Z42" s="10" t="str">
        <f>IF(ngay25!K42&gt;0,ngay25!K42," ")</f>
        <v/>
      </c>
      <c r="AA42" s="10" t="str">
        <f>IF(ngay26!K42&gt;0,ngay26!K42," ")</f>
        <v/>
      </c>
      <c r="AB42" s="10" t="str">
        <f>IF(ngay27!K42&gt;0,ngay27!K42," ")</f>
        <v/>
      </c>
      <c r="AC42" s="10" t="str">
        <f>IF(ngay28!K42&gt;0,ngay28!K42," ")</f>
        <v/>
      </c>
      <c r="AD42" s="10" t="str">
        <f>IF(ngay29!K42&gt;0,ngay29!K42," ")</f>
        <v/>
      </c>
      <c r="AE42" s="10" t="str">
        <f>IF(ngay30!K42&gt;0,ngay30!K42," ")</f>
        <v/>
      </c>
      <c r="AF42" s="10" t="str">
        <f>IF(ngay31!K42&gt;0,ngay31!K42," ")</f>
        <v/>
      </c>
      <c r="AG42" s="9" t="e">
        <f t="shared" si="4"/>
        <v>#REF!</v>
      </c>
      <c r="AH42" s="9" t="str">
        <f t="shared" si="5"/>
        <v xml:space="preserve">x </v>
      </c>
      <c r="AI42" s="9" t="e">
        <f t="shared" si="3"/>
        <v>#REF!</v>
      </c>
    </row>
    <row r="43" spans="1:35" ht="16.5">
      <c r="A43" s="201" t="s">
        <v>139</v>
      </c>
      <c r="B43" s="25" t="e">
        <f>IF(ngay01!#REF!&gt;0,ngay01!#REF!," ")</f>
        <v>#REF!</v>
      </c>
      <c r="C43" s="10" t="str">
        <f>IF(ngay02!K43&gt;0,ngay02!K43," ")</f>
        <v/>
      </c>
      <c r="D43" s="10" t="str">
        <f>IF(ngay03!K43&gt;0,ngay03!K43," ")</f>
        <v/>
      </c>
      <c r="E43" s="10" t="str">
        <f>IF(ngay04!K43&gt;0,ngay04!K43," ")</f>
        <v/>
      </c>
      <c r="F43" s="10" t="str">
        <f>IF(ngay05!K43&gt;0,ngay05!K43," ")</f>
        <v/>
      </c>
      <c r="G43" s="10" t="str">
        <f>IF(ngay06!K43&gt;0,ngay06!K43," ")</f>
        <v/>
      </c>
      <c r="H43" s="10" t="str">
        <f>IF(ngay07!K43&gt;0,ngay07!K43," ")</f>
        <v/>
      </c>
      <c r="I43" s="10" t="str">
        <f>IF(ngay08!K43&gt;0,ngay08!K43," ")</f>
        <v/>
      </c>
      <c r="J43" s="10" t="str">
        <f>IF(ngay09!K43&gt;0,ngay09!K43," ")</f>
        <v/>
      </c>
      <c r="K43" s="10" t="str">
        <f>IF(ngay10!K43&gt;0,ngay10!K43," ")</f>
        <v/>
      </c>
      <c r="L43" s="10" t="str">
        <f>IF(ngay11!K43&gt;0,ngay11!K43," ")</f>
        <v/>
      </c>
      <c r="M43" s="10" t="str">
        <f>IF(ngay12!K43&gt;0,ngay12!K43," ")</f>
        <v/>
      </c>
      <c r="N43" s="10" t="str">
        <f>IF(ngay13!K43&gt;0,ngay13!K43," ")</f>
        <v/>
      </c>
      <c r="O43" s="10" t="str">
        <f>IF(ngay14!K43&gt;0,ngay14!K43," ")</f>
        <v/>
      </c>
      <c r="P43" s="10" t="str">
        <f>IF(ngay15!K43&gt;0,ngay15!K43," ")</f>
        <v/>
      </c>
      <c r="Q43" s="10" t="str">
        <f>IF(ngay16!K43&gt;0,ngay16!K43," ")</f>
        <v/>
      </c>
      <c r="R43" s="10" t="str">
        <f>IF(ngay17!K43&gt;0,ngay17!K43," ")</f>
        <v/>
      </c>
      <c r="S43" s="10" t="str">
        <f>IF(ngay18!K43&gt;0,ngay18!K43," ")</f>
        <v/>
      </c>
      <c r="T43" s="10" t="str">
        <f>IF(ngay19!K43&gt;0,ngay19!K43," ")</f>
        <v/>
      </c>
      <c r="U43" s="10" t="str">
        <f>IF(ngay20!K43&gt;0,ngay20!K43," ")</f>
        <v/>
      </c>
      <c r="V43" s="10" t="str">
        <f>IF(ngay21!K43&gt;0,ngay21!K43," ")</f>
        <v/>
      </c>
      <c r="W43" s="10" t="str">
        <f>IF(ngay22!K43&gt;0,ngay22!K43," ")</f>
        <v/>
      </c>
      <c r="X43" s="10" t="str">
        <f>IF(ngay23!K43&gt;0,ngay23!K43," ")</f>
        <v/>
      </c>
      <c r="Y43" s="10" t="str">
        <f>IF(ngay24!K43&gt;0,ngay24!K43," ")</f>
        <v/>
      </c>
      <c r="Z43" s="10" t="str">
        <f>IF(ngay25!K43&gt;0,ngay25!K43," ")</f>
        <v/>
      </c>
      <c r="AA43" s="10" t="str">
        <f>IF(ngay26!K43&gt;0,ngay26!K43," ")</f>
        <v/>
      </c>
      <c r="AB43" s="10" t="str">
        <f>IF(ngay27!K43&gt;0,ngay27!K43," ")</f>
        <v/>
      </c>
      <c r="AC43" s="10" t="str">
        <f>IF(ngay28!K43&gt;0,ngay28!K43," ")</f>
        <v/>
      </c>
      <c r="AD43" s="10" t="str">
        <f>IF(ngay29!K43&gt;0,ngay29!K43," ")</f>
        <v/>
      </c>
      <c r="AE43" s="10" t="str">
        <f>IF(ngay30!K43&gt;0,ngay30!K43," ")</f>
        <v/>
      </c>
      <c r="AF43" s="10" t="str">
        <f>IF(ngay31!K43&gt;0,ngay31!K43," ")</f>
        <v/>
      </c>
      <c r="AG43" s="9" t="e">
        <f t="shared" si="4"/>
        <v>#REF!</v>
      </c>
      <c r="AH43" s="9" t="str">
        <f t="shared" si="5"/>
        <v xml:space="preserve">x </v>
      </c>
      <c r="AI43" s="9" t="e">
        <f t="shared" si="3"/>
        <v>#REF!</v>
      </c>
    </row>
    <row r="44" spans="1:35" ht="16.5">
      <c r="A44" s="201" t="s">
        <v>140</v>
      </c>
      <c r="B44" s="25" t="e">
        <f>IF(ngay01!#REF!&gt;0,ngay01!#REF!," ")</f>
        <v>#REF!</v>
      </c>
      <c r="C44" s="10" t="str">
        <f>IF(ngay02!K44&gt;0,ngay02!K44," ")</f>
        <v/>
      </c>
      <c r="D44" s="10" t="str">
        <f>IF(ngay03!K44&gt;0,ngay03!K44," ")</f>
        <v/>
      </c>
      <c r="E44" s="10" t="str">
        <f>IF(ngay04!K44&gt;0,ngay04!K44," ")</f>
        <v/>
      </c>
      <c r="F44" s="10" t="str">
        <f>IF(ngay05!K44&gt;0,ngay05!K44," ")</f>
        <v/>
      </c>
      <c r="G44" s="10" t="str">
        <f>IF(ngay06!K44&gt;0,ngay06!K44," ")</f>
        <v/>
      </c>
      <c r="H44" s="10" t="str">
        <f>IF(ngay07!K44&gt;0,ngay07!K44," ")</f>
        <v/>
      </c>
      <c r="I44" s="10" t="str">
        <f>IF(ngay08!K44&gt;0,ngay08!K44," ")</f>
        <v/>
      </c>
      <c r="J44" s="10" t="str">
        <f>IF(ngay09!K44&gt;0,ngay09!K44," ")</f>
        <v/>
      </c>
      <c r="K44" s="10" t="str">
        <f>IF(ngay10!K44&gt;0,ngay10!K44," ")</f>
        <v/>
      </c>
      <c r="L44" s="10" t="str">
        <f>IF(ngay11!K44&gt;0,ngay11!K44," ")</f>
        <v/>
      </c>
      <c r="M44" s="10" t="str">
        <f>IF(ngay12!K44&gt;0,ngay12!K44," ")</f>
        <v/>
      </c>
      <c r="N44" s="10" t="str">
        <f>IF(ngay13!K44&gt;0,ngay13!K44," ")</f>
        <v/>
      </c>
      <c r="O44" s="10" t="str">
        <f>IF(ngay14!K44&gt;0,ngay14!K44," ")</f>
        <v/>
      </c>
      <c r="P44" s="10" t="str">
        <f>IF(ngay15!K44&gt;0,ngay15!K44," ")</f>
        <v/>
      </c>
      <c r="Q44" s="10" t="str">
        <f>IF(ngay16!K44&gt;0,ngay16!K44," ")</f>
        <v/>
      </c>
      <c r="R44" s="10" t="str">
        <f>IF(ngay17!K44&gt;0,ngay17!K44," ")</f>
        <v/>
      </c>
      <c r="S44" s="10" t="str">
        <f>IF(ngay18!K44&gt;0,ngay18!K44," ")</f>
        <v/>
      </c>
      <c r="T44" s="10" t="str">
        <f>IF(ngay19!K44&gt;0,ngay19!K44," ")</f>
        <v/>
      </c>
      <c r="U44" s="10" t="str">
        <f>IF(ngay20!K44&gt;0,ngay20!K44," ")</f>
        <v/>
      </c>
      <c r="V44" s="10" t="str">
        <f>IF(ngay21!K44&gt;0,ngay21!K44," ")</f>
        <v/>
      </c>
      <c r="W44" s="10" t="str">
        <f>IF(ngay22!K44&gt;0,ngay22!K44," ")</f>
        <v/>
      </c>
      <c r="X44" s="10" t="str">
        <f>IF(ngay23!K44&gt;0,ngay23!K44," ")</f>
        <v/>
      </c>
      <c r="Y44" s="10" t="str">
        <f>IF(ngay24!K44&gt;0,ngay24!K44," ")</f>
        <v/>
      </c>
      <c r="Z44" s="10" t="str">
        <f>IF(ngay25!K44&gt;0,ngay25!K44," ")</f>
        <v/>
      </c>
      <c r="AA44" s="10" t="str">
        <f>IF(ngay26!K44&gt;0,ngay26!K44," ")</f>
        <v/>
      </c>
      <c r="AB44" s="10" t="str">
        <f>IF(ngay27!K44&gt;0,ngay27!K44," ")</f>
        <v/>
      </c>
      <c r="AC44" s="10" t="str">
        <f>IF(ngay28!K44&gt;0,ngay28!K44," ")</f>
        <v/>
      </c>
      <c r="AD44" s="10" t="str">
        <f>IF(ngay29!K44&gt;0,ngay29!K44," ")</f>
        <v/>
      </c>
      <c r="AE44" s="10" t="str">
        <f>IF(ngay30!K44&gt;0,ngay30!K44," ")</f>
        <v/>
      </c>
      <c r="AF44" s="10" t="str">
        <f>IF(ngay31!K44&gt;0,ngay31!K44," ")</f>
        <v/>
      </c>
      <c r="AG44" s="9" t="e">
        <f t="shared" si="4"/>
        <v>#REF!</v>
      </c>
      <c r="AH44" s="9" t="str">
        <f t="shared" si="5"/>
        <v xml:space="preserve">x </v>
      </c>
      <c r="AI44" s="9" t="e">
        <f t="shared" si="3"/>
        <v>#REF!</v>
      </c>
    </row>
    <row r="45" spans="1:35" ht="16.5">
      <c r="A45" s="201" t="s">
        <v>141</v>
      </c>
      <c r="B45" s="25" t="e">
        <f>IF(ngay01!#REF!&gt;0,ngay01!#REF!," ")</f>
        <v>#REF!</v>
      </c>
      <c r="C45" s="10" t="str">
        <f>IF(ngay02!K45&gt;0,ngay02!K45," ")</f>
        <v/>
      </c>
      <c r="D45" s="10" t="str">
        <f>IF(ngay03!K45&gt;0,ngay03!K45," ")</f>
        <v/>
      </c>
      <c r="E45" s="10" t="str">
        <f>IF(ngay04!K45&gt;0,ngay04!K45," ")</f>
        <v/>
      </c>
      <c r="F45" s="10" t="str">
        <f>IF(ngay05!K45&gt;0,ngay05!K45," ")</f>
        <v/>
      </c>
      <c r="G45" s="10" t="str">
        <f>IF(ngay06!K45&gt;0,ngay06!K45," ")</f>
        <v/>
      </c>
      <c r="H45" s="10" t="str">
        <f>IF(ngay07!K45&gt;0,ngay07!K45," ")</f>
        <v/>
      </c>
      <c r="I45" s="10" t="str">
        <f>IF(ngay08!K45&gt;0,ngay08!K45," ")</f>
        <v/>
      </c>
      <c r="J45" s="10" t="str">
        <f>IF(ngay09!K45&gt;0,ngay09!K45," ")</f>
        <v/>
      </c>
      <c r="K45" s="10" t="str">
        <f>IF(ngay10!K45&gt;0,ngay10!K45," ")</f>
        <v/>
      </c>
      <c r="L45" s="10" t="str">
        <f>IF(ngay11!K45&gt;0,ngay11!K45," ")</f>
        <v/>
      </c>
      <c r="M45" s="10" t="str">
        <f>IF(ngay12!K45&gt;0,ngay12!K45," ")</f>
        <v/>
      </c>
      <c r="N45" s="10" t="str">
        <f>IF(ngay13!K45&gt;0,ngay13!K45," ")</f>
        <v/>
      </c>
      <c r="O45" s="10" t="str">
        <f>IF(ngay14!K45&gt;0,ngay14!K45," ")</f>
        <v/>
      </c>
      <c r="P45" s="10" t="str">
        <f>IF(ngay15!K45&gt;0,ngay15!K45," ")</f>
        <v/>
      </c>
      <c r="Q45" s="10" t="str">
        <f>IF(ngay16!K45&gt;0,ngay16!K45," ")</f>
        <v/>
      </c>
      <c r="R45" s="10" t="str">
        <f>IF(ngay17!K45&gt;0,ngay17!K45," ")</f>
        <v/>
      </c>
      <c r="S45" s="10" t="str">
        <f>IF(ngay18!K45&gt;0,ngay18!K45," ")</f>
        <v/>
      </c>
      <c r="T45" s="10" t="str">
        <f>IF(ngay19!K45&gt;0,ngay19!K45," ")</f>
        <v/>
      </c>
      <c r="U45" s="10" t="str">
        <f>IF(ngay20!K45&gt;0,ngay20!K45," ")</f>
        <v/>
      </c>
      <c r="V45" s="10" t="str">
        <f>IF(ngay21!K45&gt;0,ngay21!K45," ")</f>
        <v/>
      </c>
      <c r="W45" s="10" t="str">
        <f>IF(ngay22!K45&gt;0,ngay22!K45," ")</f>
        <v/>
      </c>
      <c r="X45" s="10" t="str">
        <f>IF(ngay23!K45&gt;0,ngay23!K45," ")</f>
        <v/>
      </c>
      <c r="Y45" s="10" t="str">
        <f>IF(ngay24!K45&gt;0,ngay24!K45," ")</f>
        <v/>
      </c>
      <c r="Z45" s="10" t="str">
        <f>IF(ngay25!K45&gt;0,ngay25!K45," ")</f>
        <v/>
      </c>
      <c r="AA45" s="10" t="str">
        <f>IF(ngay26!K45&gt;0,ngay26!K45," ")</f>
        <v/>
      </c>
      <c r="AB45" s="10" t="str">
        <f>IF(ngay27!K45&gt;0,ngay27!K45," ")</f>
        <v/>
      </c>
      <c r="AC45" s="10" t="str">
        <f>IF(ngay28!K45&gt;0,ngay28!K45," ")</f>
        <v/>
      </c>
      <c r="AD45" s="10" t="str">
        <f>IF(ngay29!K45&gt;0,ngay29!K45," ")</f>
        <v/>
      </c>
      <c r="AE45" s="10" t="str">
        <f>IF(ngay30!K45&gt;0,ngay30!K45," ")</f>
        <v/>
      </c>
      <c r="AF45" s="10" t="str">
        <f>IF(ngay31!K45&gt;0,ngay31!K45," ")</f>
        <v/>
      </c>
      <c r="AG45" s="9" t="e">
        <f t="shared" si="4"/>
        <v>#REF!</v>
      </c>
      <c r="AH45" s="9" t="str">
        <f t="shared" si="5"/>
        <v xml:space="preserve">x </v>
      </c>
      <c r="AI45" s="9" t="e">
        <f t="shared" si="3"/>
        <v>#REF!</v>
      </c>
    </row>
    <row r="46" spans="1:35" ht="16.5">
      <c r="A46" s="201" t="s">
        <v>142</v>
      </c>
      <c r="B46" s="25" t="e">
        <f>IF(ngay01!#REF!&gt;0,ngay01!#REF!," ")</f>
        <v>#REF!</v>
      </c>
      <c r="C46" s="10" t="str">
        <f>IF(ngay02!K46&gt;0,ngay02!K46," ")</f>
        <v/>
      </c>
      <c r="D46" s="10" t="str">
        <f>IF(ngay03!K46&gt;0,ngay03!K46," ")</f>
        <v/>
      </c>
      <c r="E46" s="10" t="str">
        <f>IF(ngay04!K46&gt;0,ngay04!K46," ")</f>
        <v/>
      </c>
      <c r="F46" s="10" t="str">
        <f>IF(ngay05!K46&gt;0,ngay05!K46," ")</f>
        <v/>
      </c>
      <c r="G46" s="10" t="str">
        <f>IF(ngay06!K46&gt;0,ngay06!K46," ")</f>
        <v/>
      </c>
      <c r="H46" s="10" t="str">
        <f>IF(ngay07!K46&gt;0,ngay07!K46," ")</f>
        <v/>
      </c>
      <c r="I46" s="10" t="str">
        <f>IF(ngay08!K46&gt;0,ngay08!K46," ")</f>
        <v/>
      </c>
      <c r="J46" s="10" t="str">
        <f>IF(ngay09!K46&gt;0,ngay09!K46," ")</f>
        <v/>
      </c>
      <c r="K46" s="10" t="str">
        <f>IF(ngay10!K46&gt;0,ngay10!K46," ")</f>
        <v/>
      </c>
      <c r="L46" s="10" t="str">
        <f>IF(ngay11!K46&gt;0,ngay11!K46," ")</f>
        <v/>
      </c>
      <c r="M46" s="10" t="str">
        <f>IF(ngay12!K46&gt;0,ngay12!K46," ")</f>
        <v/>
      </c>
      <c r="N46" s="10" t="str">
        <f>IF(ngay13!K46&gt;0,ngay13!K46," ")</f>
        <v/>
      </c>
      <c r="O46" s="10" t="str">
        <f>IF(ngay14!K46&gt;0,ngay14!K46," ")</f>
        <v/>
      </c>
      <c r="P46" s="10" t="str">
        <f>IF(ngay15!K46&gt;0,ngay15!K46," ")</f>
        <v/>
      </c>
      <c r="Q46" s="10" t="str">
        <f>IF(ngay16!K46&gt;0,ngay16!K46," ")</f>
        <v/>
      </c>
      <c r="R46" s="10" t="str">
        <f>IF(ngay17!K46&gt;0,ngay17!K46," ")</f>
        <v/>
      </c>
      <c r="S46" s="10" t="str">
        <f>IF(ngay18!K46&gt;0,ngay18!K46," ")</f>
        <v/>
      </c>
      <c r="T46" s="10" t="str">
        <f>IF(ngay19!K46&gt;0,ngay19!K46," ")</f>
        <v/>
      </c>
      <c r="U46" s="10" t="str">
        <f>IF(ngay20!K46&gt;0,ngay20!K46," ")</f>
        <v/>
      </c>
      <c r="V46" s="10" t="str">
        <f>IF(ngay21!K46&gt;0,ngay21!K46," ")</f>
        <v/>
      </c>
      <c r="W46" s="10" t="str">
        <f>IF(ngay22!K46&gt;0,ngay22!K46," ")</f>
        <v/>
      </c>
      <c r="X46" s="10" t="str">
        <f>IF(ngay23!K46&gt;0,ngay23!K46," ")</f>
        <v/>
      </c>
      <c r="Y46" s="10" t="str">
        <f>IF(ngay24!K46&gt;0,ngay24!K46," ")</f>
        <v/>
      </c>
      <c r="Z46" s="10" t="str">
        <f>IF(ngay25!K46&gt;0,ngay25!K46," ")</f>
        <v/>
      </c>
      <c r="AA46" s="10" t="str">
        <f>IF(ngay26!K46&gt;0,ngay26!K46," ")</f>
        <v/>
      </c>
      <c r="AB46" s="10" t="str">
        <f>IF(ngay27!K46&gt;0,ngay27!K46," ")</f>
        <v/>
      </c>
      <c r="AC46" s="10" t="str">
        <f>IF(ngay28!K46&gt;0,ngay28!K46," ")</f>
        <v/>
      </c>
      <c r="AD46" s="10" t="str">
        <f>IF(ngay29!K46&gt;0,ngay29!K46," ")</f>
        <v/>
      </c>
      <c r="AE46" s="10" t="str">
        <f>IF(ngay30!K46&gt;0,ngay30!K46," ")</f>
        <v/>
      </c>
      <c r="AF46" s="10" t="str">
        <f>IF(ngay31!K46&gt;0,ngay31!K46," ")</f>
        <v/>
      </c>
      <c r="AG46" s="9" t="e">
        <f t="shared" si="4"/>
        <v>#REF!</v>
      </c>
      <c r="AH46" s="9" t="str">
        <f t="shared" si="5"/>
        <v xml:space="preserve">x </v>
      </c>
      <c r="AI46" s="9" t="e">
        <f t="shared" si="3"/>
        <v>#REF!</v>
      </c>
    </row>
    <row r="47" spans="1:35" ht="16.5">
      <c r="A47" s="202" t="s">
        <v>143</v>
      </c>
      <c r="B47" s="25" t="e">
        <f>IF(ngay01!#REF!&gt;0,ngay01!#REF!," ")</f>
        <v>#REF!</v>
      </c>
      <c r="C47" s="10" t="str">
        <f>IF(ngay02!K47&gt;0,ngay02!K47," ")</f>
        <v/>
      </c>
      <c r="D47" s="10" t="str">
        <f>IF(ngay03!K47&gt;0,ngay03!K47," ")</f>
        <v/>
      </c>
      <c r="E47" s="10" t="str">
        <f>IF(ngay04!K47&gt;0,ngay04!K47," ")</f>
        <v/>
      </c>
      <c r="F47" s="10" t="str">
        <f>IF(ngay05!K47&gt;0,ngay05!K47," ")</f>
        <v/>
      </c>
      <c r="G47" s="10" t="str">
        <f>IF(ngay06!K47&gt;0,ngay06!K47," ")</f>
        <v/>
      </c>
      <c r="H47" s="10" t="str">
        <f>IF(ngay07!K47&gt;0,ngay07!K47," ")</f>
        <v/>
      </c>
      <c r="I47" s="10" t="str">
        <f>IF(ngay08!K47&gt;0,ngay08!K47," ")</f>
        <v/>
      </c>
      <c r="J47" s="10" t="str">
        <f>IF(ngay09!K47&gt;0,ngay09!K47," ")</f>
        <v/>
      </c>
      <c r="K47" s="10" t="str">
        <f>IF(ngay10!K47&gt;0,ngay10!K47," ")</f>
        <v/>
      </c>
      <c r="L47" s="10" t="str">
        <f>IF(ngay11!K47&gt;0,ngay11!K47," ")</f>
        <v/>
      </c>
      <c r="M47" s="10" t="str">
        <f>IF(ngay12!K47&gt;0,ngay12!K47," ")</f>
        <v/>
      </c>
      <c r="N47" s="10" t="str">
        <f>IF(ngay13!K47&gt;0,ngay13!K47," ")</f>
        <v/>
      </c>
      <c r="O47" s="10" t="str">
        <f>IF(ngay14!K47&gt;0,ngay14!K47," ")</f>
        <v/>
      </c>
      <c r="P47" s="10" t="str">
        <f>IF(ngay15!K47&gt;0,ngay15!K47," ")</f>
        <v/>
      </c>
      <c r="Q47" s="10" t="str">
        <f>IF(ngay16!K47&gt;0,ngay16!K47," ")</f>
        <v/>
      </c>
      <c r="R47" s="10" t="str">
        <f>IF(ngay17!K47&gt;0,ngay17!K47," ")</f>
        <v/>
      </c>
      <c r="S47" s="10" t="str">
        <f>IF(ngay18!K47&gt;0,ngay18!K47," ")</f>
        <v/>
      </c>
      <c r="T47" s="10" t="str">
        <f>IF(ngay19!K47&gt;0,ngay19!K47," ")</f>
        <v/>
      </c>
      <c r="U47" s="10" t="str">
        <f>IF(ngay20!K47&gt;0,ngay20!K47," ")</f>
        <v/>
      </c>
      <c r="V47" s="10" t="str">
        <f>IF(ngay21!K47&gt;0,ngay21!K47," ")</f>
        <v/>
      </c>
      <c r="W47" s="10" t="str">
        <f>IF(ngay22!K47&gt;0,ngay22!K47," ")</f>
        <v/>
      </c>
      <c r="X47" s="10" t="str">
        <f>IF(ngay23!K47&gt;0,ngay23!K47," ")</f>
        <v/>
      </c>
      <c r="Y47" s="10" t="str">
        <f>IF(ngay24!K47&gt;0,ngay24!K47," ")</f>
        <v/>
      </c>
      <c r="Z47" s="10" t="str">
        <f>IF(ngay25!K47&gt;0,ngay25!K47," ")</f>
        <v/>
      </c>
      <c r="AA47" s="10" t="str">
        <f>IF(ngay26!K47&gt;0,ngay26!K47," ")</f>
        <v/>
      </c>
      <c r="AB47" s="10" t="str">
        <f>IF(ngay27!K47&gt;0,ngay27!K47," ")</f>
        <v/>
      </c>
      <c r="AC47" s="10" t="str">
        <f>IF(ngay28!K47&gt;0,ngay28!K47," ")</f>
        <v/>
      </c>
      <c r="AD47" s="10" t="str">
        <f>IF(ngay29!K47&gt;0,ngay29!K47," ")</f>
        <v/>
      </c>
      <c r="AE47" s="10" t="str">
        <f>IF(ngay30!K47&gt;0,ngay30!K47," ")</f>
        <v/>
      </c>
      <c r="AF47" s="10" t="str">
        <f>IF(ngay31!K47&gt;0,ngay31!K47," ")</f>
        <v/>
      </c>
      <c r="AG47" s="9" t="e">
        <f t="shared" si="4"/>
        <v>#REF!</v>
      </c>
      <c r="AH47" s="9" t="str">
        <f t="shared" si="5"/>
        <v xml:space="preserve">x </v>
      </c>
      <c r="AI47" s="9" t="e">
        <f t="shared" si="3"/>
        <v>#REF!</v>
      </c>
    </row>
    <row r="48" spans="1:35" ht="16.5">
      <c r="A48" s="202" t="s">
        <v>144</v>
      </c>
      <c r="B48" s="25" t="e">
        <f>IF(ngay01!#REF!&gt;0,ngay01!#REF!," ")</f>
        <v>#REF!</v>
      </c>
      <c r="C48" s="10" t="str">
        <f>IF(ngay02!K48&gt;0,ngay02!K48," ")</f>
        <v/>
      </c>
      <c r="D48" s="10" t="str">
        <f>IF(ngay03!K48&gt;0,ngay03!K48," ")</f>
        <v/>
      </c>
      <c r="E48" s="10" t="str">
        <f>IF(ngay04!K48&gt;0,ngay04!K48," ")</f>
        <v/>
      </c>
      <c r="F48" s="10" t="str">
        <f>IF(ngay05!K48&gt;0,ngay05!K48," ")</f>
        <v/>
      </c>
      <c r="G48" s="10" t="str">
        <f>IF(ngay06!K48&gt;0,ngay06!K48," ")</f>
        <v/>
      </c>
      <c r="H48" s="10" t="str">
        <f>IF(ngay07!K48&gt;0,ngay07!K48," ")</f>
        <v/>
      </c>
      <c r="I48" s="10" t="str">
        <f>IF(ngay08!K48&gt;0,ngay08!K48," ")</f>
        <v/>
      </c>
      <c r="J48" s="10" t="str">
        <f>IF(ngay09!K48&gt;0,ngay09!K48," ")</f>
        <v/>
      </c>
      <c r="K48" s="10" t="str">
        <f>IF(ngay10!K48&gt;0,ngay10!K48," ")</f>
        <v/>
      </c>
      <c r="L48" s="10" t="str">
        <f>IF(ngay11!K48&gt;0,ngay11!K48," ")</f>
        <v/>
      </c>
      <c r="M48" s="10" t="str">
        <f>IF(ngay12!K48&gt;0,ngay12!K48," ")</f>
        <v/>
      </c>
      <c r="N48" s="10" t="str">
        <f>IF(ngay13!K48&gt;0,ngay13!K48," ")</f>
        <v/>
      </c>
      <c r="O48" s="10" t="str">
        <f>IF(ngay14!K48&gt;0,ngay14!K48," ")</f>
        <v/>
      </c>
      <c r="P48" s="10" t="str">
        <f>IF(ngay15!K48&gt;0,ngay15!K48," ")</f>
        <v/>
      </c>
      <c r="Q48" s="10" t="str">
        <f>IF(ngay16!K48&gt;0,ngay16!K48," ")</f>
        <v/>
      </c>
      <c r="R48" s="10" t="str">
        <f>IF(ngay17!K48&gt;0,ngay17!K48," ")</f>
        <v/>
      </c>
      <c r="S48" s="10" t="str">
        <f>IF(ngay18!K48&gt;0,ngay18!K48," ")</f>
        <v/>
      </c>
      <c r="T48" s="10" t="str">
        <f>IF(ngay19!K48&gt;0,ngay19!K48," ")</f>
        <v/>
      </c>
      <c r="U48" s="10" t="str">
        <f>IF(ngay20!K48&gt;0,ngay20!K48," ")</f>
        <v/>
      </c>
      <c r="V48" s="10" t="str">
        <f>IF(ngay21!K48&gt;0,ngay21!K48," ")</f>
        <v/>
      </c>
      <c r="W48" s="10" t="str">
        <f>IF(ngay22!K48&gt;0,ngay22!K48," ")</f>
        <v/>
      </c>
      <c r="X48" s="10" t="str">
        <f>IF(ngay23!K48&gt;0,ngay23!K48," ")</f>
        <v/>
      </c>
      <c r="Y48" s="10" t="str">
        <f>IF(ngay24!K48&gt;0,ngay24!K48," ")</f>
        <v/>
      </c>
      <c r="Z48" s="10" t="str">
        <f>IF(ngay25!K48&gt;0,ngay25!K48," ")</f>
        <v/>
      </c>
      <c r="AA48" s="10" t="str">
        <f>IF(ngay26!K48&gt;0,ngay26!K48," ")</f>
        <v/>
      </c>
      <c r="AB48" s="10" t="str">
        <f>IF(ngay27!K48&gt;0,ngay27!K48," ")</f>
        <v/>
      </c>
      <c r="AC48" s="10" t="str">
        <f>IF(ngay28!K48&gt;0,ngay28!K48," ")</f>
        <v/>
      </c>
      <c r="AD48" s="10" t="str">
        <f>IF(ngay29!K48&gt;0,ngay29!K48," ")</f>
        <v/>
      </c>
      <c r="AE48" s="10" t="str">
        <f>IF(ngay30!K48&gt;0,ngay30!K48," ")</f>
        <v/>
      </c>
      <c r="AF48" s="10" t="str">
        <f>IF(ngay31!K48&gt;0,ngay31!K48," ")</f>
        <v/>
      </c>
      <c r="AG48" s="9" t="e">
        <f t="shared" si="4"/>
        <v>#REF!</v>
      </c>
      <c r="AH48" s="9" t="str">
        <f t="shared" si="5"/>
        <v xml:space="preserve">x </v>
      </c>
      <c r="AI48" s="9" t="e">
        <f t="shared" si="3"/>
        <v>#REF!</v>
      </c>
    </row>
    <row r="49" spans="1:35" ht="16.5">
      <c r="A49" s="202" t="s">
        <v>145</v>
      </c>
      <c r="B49" s="25" t="e">
        <f>IF(ngay01!#REF!&gt;0,ngay01!#REF!," ")</f>
        <v>#REF!</v>
      </c>
      <c r="C49" s="10" t="str">
        <f>IF(ngay02!K49&gt;0,ngay02!K49," ")</f>
        <v/>
      </c>
      <c r="D49" s="10" t="str">
        <f>IF(ngay03!K49&gt;0,ngay03!K49," ")</f>
        <v/>
      </c>
      <c r="E49" s="10" t="str">
        <f>IF(ngay04!K49&gt;0,ngay04!K49," ")</f>
        <v/>
      </c>
      <c r="F49" s="10" t="str">
        <f>IF(ngay05!K49&gt;0,ngay05!K49," ")</f>
        <v/>
      </c>
      <c r="G49" s="10" t="str">
        <f>IF(ngay06!K49&gt;0,ngay06!K49," ")</f>
        <v/>
      </c>
      <c r="H49" s="10" t="str">
        <f>IF(ngay07!K49&gt;0,ngay07!K49," ")</f>
        <v/>
      </c>
      <c r="I49" s="10" t="str">
        <f>IF(ngay08!K49&gt;0,ngay08!K49," ")</f>
        <v/>
      </c>
      <c r="J49" s="10" t="str">
        <f>IF(ngay09!K49&gt;0,ngay09!K49," ")</f>
        <v/>
      </c>
      <c r="K49" s="10" t="str">
        <f>IF(ngay10!K49&gt;0,ngay10!K49," ")</f>
        <v/>
      </c>
      <c r="L49" s="10" t="str">
        <f>IF(ngay11!K49&gt;0,ngay11!K49," ")</f>
        <v/>
      </c>
      <c r="M49" s="10" t="str">
        <f>IF(ngay12!K49&gt;0,ngay12!K49," ")</f>
        <v/>
      </c>
      <c r="N49" s="10" t="str">
        <f>IF(ngay13!K49&gt;0,ngay13!K49," ")</f>
        <v/>
      </c>
      <c r="O49" s="10" t="str">
        <f>IF(ngay14!K49&gt;0,ngay14!K49," ")</f>
        <v/>
      </c>
      <c r="P49" s="10" t="str">
        <f>IF(ngay15!K49&gt;0,ngay15!K49," ")</f>
        <v/>
      </c>
      <c r="Q49" s="10" t="str">
        <f>IF(ngay16!K49&gt;0,ngay16!K49," ")</f>
        <v/>
      </c>
      <c r="R49" s="10" t="str">
        <f>IF(ngay17!K49&gt;0,ngay17!K49," ")</f>
        <v/>
      </c>
      <c r="S49" s="10" t="str">
        <f>IF(ngay18!K49&gt;0,ngay18!K49," ")</f>
        <v/>
      </c>
      <c r="T49" s="10" t="str">
        <f>IF(ngay19!K49&gt;0,ngay19!K49," ")</f>
        <v/>
      </c>
      <c r="U49" s="10" t="str">
        <f>IF(ngay20!K49&gt;0,ngay20!K49," ")</f>
        <v/>
      </c>
      <c r="V49" s="10" t="str">
        <f>IF(ngay21!K49&gt;0,ngay21!K49," ")</f>
        <v/>
      </c>
      <c r="W49" s="10" t="str">
        <f>IF(ngay22!K49&gt;0,ngay22!K49," ")</f>
        <v/>
      </c>
      <c r="X49" s="10" t="str">
        <f>IF(ngay23!K49&gt;0,ngay23!K49," ")</f>
        <v/>
      </c>
      <c r="Y49" s="10" t="str">
        <f>IF(ngay24!K49&gt;0,ngay24!K49," ")</f>
        <v/>
      </c>
      <c r="Z49" s="10" t="str">
        <f>IF(ngay25!K49&gt;0,ngay25!K49," ")</f>
        <v/>
      </c>
      <c r="AA49" s="10" t="str">
        <f>IF(ngay26!K49&gt;0,ngay26!K49," ")</f>
        <v/>
      </c>
      <c r="AB49" s="10" t="str">
        <f>IF(ngay27!K49&gt;0,ngay27!K49," ")</f>
        <v/>
      </c>
      <c r="AC49" s="10" t="str">
        <f>IF(ngay28!K49&gt;0,ngay28!K49," ")</f>
        <v/>
      </c>
      <c r="AD49" s="10" t="str">
        <f>IF(ngay29!K49&gt;0,ngay29!K49," ")</f>
        <v/>
      </c>
      <c r="AE49" s="10" t="str">
        <f>IF(ngay30!K49&gt;0,ngay30!K49," ")</f>
        <v/>
      </c>
      <c r="AF49" s="10" t="str">
        <f>IF(ngay31!K49&gt;0,ngay31!K49," ")</f>
        <v/>
      </c>
      <c r="AG49" s="9" t="e">
        <f t="shared" si="4"/>
        <v>#REF!</v>
      </c>
      <c r="AH49" s="9" t="str">
        <f t="shared" si="5"/>
        <v xml:space="preserve">x </v>
      </c>
      <c r="AI49" s="9" t="e">
        <f t="shared" si="3"/>
        <v>#REF!</v>
      </c>
    </row>
    <row r="50" spans="1:35" ht="16.5">
      <c r="A50" s="202" t="s">
        <v>146</v>
      </c>
      <c r="B50" s="25" t="e">
        <f>IF(ngay01!#REF!&gt;0,ngay01!#REF!," ")</f>
        <v>#REF!</v>
      </c>
      <c r="C50" s="10" t="str">
        <f>IF(ngay02!K50&gt;0,ngay02!K50," ")</f>
        <v/>
      </c>
      <c r="D50" s="10" t="str">
        <f>IF(ngay03!K50&gt;0,ngay03!K50," ")</f>
        <v/>
      </c>
      <c r="E50" s="10" t="str">
        <f>IF(ngay04!K50&gt;0,ngay04!K50," ")</f>
        <v/>
      </c>
      <c r="F50" s="10" t="str">
        <f>IF(ngay05!K50&gt;0,ngay05!K50," ")</f>
        <v/>
      </c>
      <c r="G50" s="10" t="str">
        <f>IF(ngay06!K50&gt;0,ngay06!K50," ")</f>
        <v/>
      </c>
      <c r="H50" s="10" t="str">
        <f>IF(ngay07!K50&gt;0,ngay07!K50," ")</f>
        <v/>
      </c>
      <c r="I50" s="10" t="str">
        <f>IF(ngay08!K50&gt;0,ngay08!K50," ")</f>
        <v/>
      </c>
      <c r="J50" s="10" t="str">
        <f>IF(ngay09!K50&gt;0,ngay09!K50," ")</f>
        <v/>
      </c>
      <c r="K50" s="10" t="str">
        <f>IF(ngay10!K50&gt;0,ngay10!K50," ")</f>
        <v/>
      </c>
      <c r="L50" s="10" t="str">
        <f>IF(ngay11!K50&gt;0,ngay11!K50," ")</f>
        <v/>
      </c>
      <c r="M50" s="10" t="str">
        <f>IF(ngay12!K50&gt;0,ngay12!K50," ")</f>
        <v/>
      </c>
      <c r="N50" s="10" t="str">
        <f>IF(ngay13!K50&gt;0,ngay13!K50," ")</f>
        <v/>
      </c>
      <c r="O50" s="10" t="str">
        <f>IF(ngay14!K50&gt;0,ngay14!K50," ")</f>
        <v/>
      </c>
      <c r="P50" s="10" t="str">
        <f>IF(ngay15!K50&gt;0,ngay15!K50," ")</f>
        <v/>
      </c>
      <c r="Q50" s="10" t="str">
        <f>IF(ngay16!K50&gt;0,ngay16!K50," ")</f>
        <v/>
      </c>
      <c r="R50" s="10" t="str">
        <f>IF(ngay17!K50&gt;0,ngay17!K50," ")</f>
        <v/>
      </c>
      <c r="S50" s="10" t="str">
        <f>IF(ngay18!K50&gt;0,ngay18!K50," ")</f>
        <v/>
      </c>
      <c r="T50" s="10" t="str">
        <f>IF(ngay19!K50&gt;0,ngay19!K50," ")</f>
        <v/>
      </c>
      <c r="U50" s="10" t="str">
        <f>IF(ngay20!K50&gt;0,ngay20!K50," ")</f>
        <v/>
      </c>
      <c r="V50" s="10" t="str">
        <f>IF(ngay21!K50&gt;0,ngay21!K50," ")</f>
        <v/>
      </c>
      <c r="W50" s="10" t="str">
        <f>IF(ngay22!K50&gt;0,ngay22!K50," ")</f>
        <v/>
      </c>
      <c r="X50" s="10" t="str">
        <f>IF(ngay23!K50&gt;0,ngay23!K50," ")</f>
        <v/>
      </c>
      <c r="Y50" s="10" t="str">
        <f>IF(ngay24!K50&gt;0,ngay24!K50," ")</f>
        <v/>
      </c>
      <c r="Z50" s="10" t="str">
        <f>IF(ngay25!K50&gt;0,ngay25!K50," ")</f>
        <v/>
      </c>
      <c r="AA50" s="10" t="str">
        <f>IF(ngay26!K50&gt;0,ngay26!K50," ")</f>
        <v/>
      </c>
      <c r="AB50" s="10" t="str">
        <f>IF(ngay27!K50&gt;0,ngay27!K50," ")</f>
        <v/>
      </c>
      <c r="AC50" s="10" t="str">
        <f>IF(ngay28!K50&gt;0,ngay28!K50," ")</f>
        <v/>
      </c>
      <c r="AD50" s="10" t="str">
        <f>IF(ngay29!K50&gt;0,ngay29!K50," ")</f>
        <v/>
      </c>
      <c r="AE50" s="10" t="str">
        <f>IF(ngay30!K50&gt;0,ngay30!K50," ")</f>
        <v/>
      </c>
      <c r="AF50" s="10" t="str">
        <f>IF(ngay31!K50&gt;0,ngay31!K50," ")</f>
        <v/>
      </c>
      <c r="AG50" s="9" t="e">
        <f t="shared" si="4"/>
        <v>#REF!</v>
      </c>
      <c r="AH50" s="9" t="str">
        <f t="shared" si="5"/>
        <v xml:space="preserve">x </v>
      </c>
      <c r="AI50" s="9" t="e">
        <f t="shared" si="3"/>
        <v>#REF!</v>
      </c>
    </row>
    <row r="51" spans="1:35" ht="16.5">
      <c r="A51" s="202" t="s">
        <v>147</v>
      </c>
      <c r="B51" s="25" t="e">
        <f>IF(ngay01!#REF!&gt;0,ngay01!#REF!," ")</f>
        <v>#REF!</v>
      </c>
      <c r="C51" s="10" t="str">
        <f>IF(ngay02!K51&gt;0,ngay02!K51," ")</f>
        <v/>
      </c>
      <c r="D51" s="10" t="str">
        <f>IF(ngay03!K51&gt;0,ngay03!K51," ")</f>
        <v/>
      </c>
      <c r="E51" s="10" t="str">
        <f>IF(ngay04!K51&gt;0,ngay04!K51," ")</f>
        <v/>
      </c>
      <c r="F51" s="10" t="str">
        <f>IF(ngay05!K51&gt;0,ngay05!K51," ")</f>
        <v/>
      </c>
      <c r="G51" s="10" t="str">
        <f>IF(ngay06!K51&gt;0,ngay06!K51," ")</f>
        <v/>
      </c>
      <c r="H51" s="10" t="str">
        <f>IF(ngay07!K51&gt;0,ngay07!K51," ")</f>
        <v/>
      </c>
      <c r="I51" s="10" t="str">
        <f>IF(ngay08!K51&gt;0,ngay08!K51," ")</f>
        <v/>
      </c>
      <c r="J51" s="10" t="str">
        <f>IF(ngay09!K51&gt;0,ngay09!K51," ")</f>
        <v/>
      </c>
      <c r="K51" s="10" t="str">
        <f>IF(ngay10!K51&gt;0,ngay10!K51," ")</f>
        <v/>
      </c>
      <c r="L51" s="10" t="str">
        <f>IF(ngay11!K51&gt;0,ngay11!K51," ")</f>
        <v/>
      </c>
      <c r="M51" s="10" t="str">
        <f>IF(ngay12!K51&gt;0,ngay12!K51," ")</f>
        <v/>
      </c>
      <c r="N51" s="10" t="str">
        <f>IF(ngay13!K51&gt;0,ngay13!K51," ")</f>
        <v/>
      </c>
      <c r="O51" s="10" t="str">
        <f>IF(ngay14!K51&gt;0,ngay14!K51," ")</f>
        <v/>
      </c>
      <c r="P51" s="10" t="str">
        <f>IF(ngay15!K51&gt;0,ngay15!K51," ")</f>
        <v/>
      </c>
      <c r="Q51" s="10" t="str">
        <f>IF(ngay16!K51&gt;0,ngay16!K51," ")</f>
        <v/>
      </c>
      <c r="R51" s="10" t="str">
        <f>IF(ngay17!K51&gt;0,ngay17!K51," ")</f>
        <v/>
      </c>
      <c r="S51" s="10" t="str">
        <f>IF(ngay18!K51&gt;0,ngay18!K51," ")</f>
        <v/>
      </c>
      <c r="T51" s="10" t="str">
        <f>IF(ngay19!K51&gt;0,ngay19!K51," ")</f>
        <v/>
      </c>
      <c r="U51" s="10" t="str">
        <f>IF(ngay20!K51&gt;0,ngay20!K51," ")</f>
        <v/>
      </c>
      <c r="V51" s="10" t="str">
        <f>IF(ngay21!K51&gt;0,ngay21!K51," ")</f>
        <v/>
      </c>
      <c r="W51" s="10" t="str">
        <f>IF(ngay22!K51&gt;0,ngay22!K51," ")</f>
        <v/>
      </c>
      <c r="X51" s="10" t="str">
        <f>IF(ngay23!K51&gt;0,ngay23!K51," ")</f>
        <v/>
      </c>
      <c r="Y51" s="10" t="str">
        <f>IF(ngay24!K51&gt;0,ngay24!K51," ")</f>
        <v/>
      </c>
      <c r="Z51" s="10" t="str">
        <f>IF(ngay25!K51&gt;0,ngay25!K51," ")</f>
        <v/>
      </c>
      <c r="AA51" s="10" t="str">
        <f>IF(ngay26!K51&gt;0,ngay26!K51," ")</f>
        <v/>
      </c>
      <c r="AB51" s="10" t="str">
        <f>IF(ngay27!K51&gt;0,ngay27!K51," ")</f>
        <v/>
      </c>
      <c r="AC51" s="10" t="str">
        <f>IF(ngay28!K51&gt;0,ngay28!K51," ")</f>
        <v/>
      </c>
      <c r="AD51" s="10" t="str">
        <f>IF(ngay29!K51&gt;0,ngay29!K51," ")</f>
        <v/>
      </c>
      <c r="AE51" s="10" t="str">
        <f>IF(ngay30!K51&gt;0,ngay30!K51," ")</f>
        <v/>
      </c>
      <c r="AF51" s="10" t="str">
        <f>IF(ngay31!K51&gt;0,ngay31!K51," ")</f>
        <v/>
      </c>
      <c r="AG51" s="9" t="e">
        <f t="shared" si="4"/>
        <v>#REF!</v>
      </c>
      <c r="AH51" s="9" t="str">
        <f t="shared" si="5"/>
        <v xml:space="preserve">x </v>
      </c>
      <c r="AI51" s="9" t="e">
        <f t="shared" si="3"/>
        <v>#REF!</v>
      </c>
    </row>
    <row r="52" spans="1:35" ht="16.5">
      <c r="A52" s="304" t="s">
        <v>191</v>
      </c>
      <c r="B52" s="25" t="e">
        <f>IF(ngay01!#REF!&gt;0,ngay01!#REF!," ")</f>
        <v>#REF!</v>
      </c>
      <c r="C52" s="10" t="str">
        <f>IF(ngay02!K52&gt;0,ngay02!K52," ")</f>
        <v/>
      </c>
      <c r="D52" s="10" t="str">
        <f>IF(ngay03!K52&gt;0,ngay03!K52," ")</f>
        <v/>
      </c>
      <c r="E52" s="10" t="str">
        <f>IF(ngay04!K52&gt;0,ngay04!K52," ")</f>
        <v/>
      </c>
      <c r="F52" s="10" t="str">
        <f>IF(ngay05!K52&gt;0,ngay05!K52," ")</f>
        <v/>
      </c>
      <c r="G52" s="10" t="str">
        <f>IF(ngay06!K52&gt;0,ngay06!K52," ")</f>
        <v/>
      </c>
      <c r="H52" s="10" t="str">
        <f>IF(ngay07!K52&gt;0,ngay07!K52," ")</f>
        <v/>
      </c>
      <c r="I52" s="10" t="str">
        <f>IF(ngay08!K52&gt;0,ngay08!K52," ")</f>
        <v/>
      </c>
      <c r="J52" s="10" t="str">
        <f>IF(ngay09!K52&gt;0,ngay09!K52," ")</f>
        <v/>
      </c>
      <c r="K52" s="10" t="str">
        <f>IF(ngay10!K52&gt;0,ngay10!K52," ")</f>
        <v/>
      </c>
      <c r="L52" s="10" t="str">
        <f>IF(ngay11!K52&gt;0,ngay11!K52," ")</f>
        <v/>
      </c>
      <c r="M52" s="10" t="str">
        <f>IF(ngay12!K52&gt;0,ngay12!K52," ")</f>
        <v/>
      </c>
      <c r="N52" s="10" t="str">
        <f>IF(ngay13!K52&gt;0,ngay13!K52," ")</f>
        <v/>
      </c>
      <c r="O52" s="10" t="str">
        <f>IF(ngay14!K52&gt;0,ngay14!K52," ")</f>
        <v/>
      </c>
      <c r="P52" s="10" t="str">
        <f>IF(ngay15!K52&gt;0,ngay15!K52," ")</f>
        <v/>
      </c>
      <c r="Q52" s="10" t="str">
        <f>IF(ngay16!K52&gt;0,ngay16!K52," ")</f>
        <v/>
      </c>
      <c r="R52" s="10" t="str">
        <f>IF(ngay17!K52&gt;0,ngay17!K52," ")</f>
        <v/>
      </c>
      <c r="S52" s="10" t="str">
        <f>IF(ngay18!K52&gt;0,ngay18!K52," ")</f>
        <v/>
      </c>
      <c r="T52" s="10" t="str">
        <f>IF(ngay19!K52&gt;0,ngay19!K52," ")</f>
        <v/>
      </c>
      <c r="U52" s="10" t="str">
        <f>IF(ngay20!K52&gt;0,ngay20!K52," ")</f>
        <v/>
      </c>
      <c r="V52" s="10" t="str">
        <f>IF(ngay21!K52&gt;0,ngay21!K52," ")</f>
        <v/>
      </c>
      <c r="W52" s="10" t="str">
        <f>IF(ngay22!K52&gt;0,ngay22!K52," ")</f>
        <v/>
      </c>
      <c r="X52" s="10" t="str">
        <f>IF(ngay23!K52&gt;0,ngay23!K52," ")</f>
        <v/>
      </c>
      <c r="Y52" s="10" t="str">
        <f>IF(ngay24!K52&gt;0,ngay24!K52," ")</f>
        <v/>
      </c>
      <c r="Z52" s="10" t="str">
        <f>IF(ngay25!K52&gt;0,ngay25!K52," ")</f>
        <v/>
      </c>
      <c r="AA52" s="10" t="str">
        <f>IF(ngay26!K52&gt;0,ngay26!K52," ")</f>
        <v/>
      </c>
      <c r="AB52" s="10" t="str">
        <f>IF(ngay27!K52&gt;0,ngay27!K52," ")</f>
        <v/>
      </c>
      <c r="AC52" s="10" t="str">
        <f>IF(ngay28!K52&gt;0,ngay28!K52," ")</f>
        <v/>
      </c>
      <c r="AD52" s="10" t="str">
        <f>IF(ngay29!K52&gt;0,ngay29!K52," ")</f>
        <v/>
      </c>
      <c r="AE52" s="10" t="str">
        <f>IF(ngay30!K52&gt;0,ngay30!K52," ")</f>
        <v/>
      </c>
      <c r="AF52" s="10" t="str">
        <f>IF(ngay31!K52&gt;0,ngay31!K52," ")</f>
        <v/>
      </c>
      <c r="AG52" s="9" t="e">
        <f t="shared" si="4"/>
        <v>#REF!</v>
      </c>
      <c r="AH52" s="9" t="str">
        <f t="shared" si="5"/>
        <v xml:space="preserve">x </v>
      </c>
      <c r="AI52" s="9" t="e">
        <f t="shared" si="3"/>
        <v>#REF!</v>
      </c>
    </row>
    <row r="53" spans="1:35">
      <c r="A53" s="204"/>
      <c r="B53" s="25" t="e">
        <f>IF(ngay01!#REF!&gt;0,ngay01!#REF!," ")</f>
        <v>#REF!</v>
      </c>
      <c r="C53" s="10" t="str">
        <f>IF(ngay02!K53&gt;0,ngay02!K53," ")</f>
        <v xml:space="preserve"> </v>
      </c>
      <c r="D53" s="10" t="str">
        <f>IF(ngay03!K53&gt;0,ngay03!K53," ")</f>
        <v xml:space="preserve"> </v>
      </c>
      <c r="E53" s="10" t="str">
        <f>IF(ngay04!K53&gt;0,ngay04!K53," ")</f>
        <v xml:space="preserve"> </v>
      </c>
      <c r="F53" s="10" t="str">
        <f>IF(ngay05!K53&gt;0,ngay05!K53," ")</f>
        <v xml:space="preserve"> </v>
      </c>
      <c r="G53" s="10" t="str">
        <f>IF(ngay06!K53&gt;0,ngay06!K53," ")</f>
        <v xml:space="preserve"> </v>
      </c>
      <c r="H53" s="10" t="str">
        <f>IF(ngay07!K53&gt;0,ngay07!K53," ")</f>
        <v xml:space="preserve"> </v>
      </c>
      <c r="I53" s="10" t="str">
        <f>IF(ngay08!K53&gt;0,ngay08!K53," ")</f>
        <v xml:space="preserve"> </v>
      </c>
      <c r="J53" s="10" t="str">
        <f>IF(ngay09!K53&gt;0,ngay09!K53," ")</f>
        <v xml:space="preserve"> </v>
      </c>
      <c r="K53" s="10" t="str">
        <f>IF(ngay10!K53&gt;0,ngay10!K53," ")</f>
        <v xml:space="preserve"> </v>
      </c>
      <c r="L53" s="10" t="str">
        <f>IF(ngay11!K53&gt;0,ngay11!K53," ")</f>
        <v xml:space="preserve"> </v>
      </c>
      <c r="M53" s="10" t="str">
        <f>IF(ngay12!K53&gt;0,ngay12!K53," ")</f>
        <v xml:space="preserve"> </v>
      </c>
      <c r="N53" s="10" t="str">
        <f>IF(ngay13!K53&gt;0,ngay13!K53," ")</f>
        <v xml:space="preserve"> </v>
      </c>
      <c r="O53" s="10" t="str">
        <f>IF(ngay14!K53&gt;0,ngay14!K53," ")</f>
        <v xml:space="preserve"> </v>
      </c>
      <c r="P53" s="10" t="str">
        <f>IF(ngay15!K53&gt;0,ngay15!K53," ")</f>
        <v xml:space="preserve"> </v>
      </c>
      <c r="Q53" s="10" t="str">
        <f>IF(ngay16!K53&gt;0,ngay16!K53," ")</f>
        <v xml:space="preserve"> </v>
      </c>
      <c r="R53" s="10" t="str">
        <f>IF(ngay17!K53&gt;0,ngay17!K53," ")</f>
        <v xml:space="preserve"> </v>
      </c>
      <c r="S53" s="10" t="str">
        <f>IF(ngay18!K53&gt;0,ngay18!K53," ")</f>
        <v xml:space="preserve"> </v>
      </c>
      <c r="T53" s="10" t="str">
        <f>IF(ngay19!K53&gt;0,ngay19!K53," ")</f>
        <v xml:space="preserve"> </v>
      </c>
      <c r="U53" s="10" t="str">
        <f>IF(ngay20!K53&gt;0,ngay20!K53," ")</f>
        <v xml:space="preserve"> </v>
      </c>
      <c r="V53" s="10" t="str">
        <f>IF(ngay21!K53&gt;0,ngay21!K53," ")</f>
        <v xml:space="preserve"> </v>
      </c>
      <c r="W53" s="10" t="str">
        <f>IF(ngay22!K53&gt;0,ngay22!K53," ")</f>
        <v xml:space="preserve"> </v>
      </c>
      <c r="X53" s="10" t="str">
        <f>IF(ngay23!K53&gt;0,ngay23!K53," ")</f>
        <v xml:space="preserve"> </v>
      </c>
      <c r="Y53" s="10" t="str">
        <f>IF(ngay24!K53&gt;0,ngay24!K53," ")</f>
        <v xml:space="preserve"> </v>
      </c>
      <c r="Z53" s="10" t="str">
        <f>IF(ngay25!K53&gt;0,ngay25!K53," ")</f>
        <v xml:space="preserve"> </v>
      </c>
      <c r="AA53" s="10" t="str">
        <f>IF(ngay26!K53&gt;0,ngay26!K53," ")</f>
        <v xml:space="preserve"> </v>
      </c>
      <c r="AB53" s="10" t="str">
        <f>IF(ngay27!K53&gt;0,ngay27!K53," ")</f>
        <v xml:space="preserve"> </v>
      </c>
      <c r="AC53" s="10" t="str">
        <f>IF(ngay28!K53&gt;0,ngay28!K53," ")</f>
        <v xml:space="preserve"> </v>
      </c>
      <c r="AD53" s="10" t="str">
        <f>IF(ngay29!K53&gt;0,ngay29!K53," ")</f>
        <v xml:space="preserve"> </v>
      </c>
      <c r="AE53" s="10" t="str">
        <f>IF(ngay30!K53&gt;0,ngay30!K53," ")</f>
        <v xml:space="preserve"> </v>
      </c>
      <c r="AF53" s="10" t="str">
        <f>IF(ngay31!K53&gt;0,ngay31!K53," ")</f>
        <v xml:space="preserve"> </v>
      </c>
      <c r="AG53" s="9" t="e">
        <f t="shared" si="4"/>
        <v>#REF!</v>
      </c>
      <c r="AH53" s="9" t="str">
        <f t="shared" si="5"/>
        <v xml:space="preserve">x </v>
      </c>
      <c r="AI53" s="9" t="e">
        <f t="shared" si="3"/>
        <v>#REF!</v>
      </c>
    </row>
  </sheetData>
  <phoneticPr fontId="0" type="noConversion"/>
  <pageMargins left="0.39370078740157483" right="0.39370078740157483" top="0.39370078740157483" bottom="0.39370078740157483" header="0.11811023622047245" footer="0.11811023622047245"/>
  <pageSetup paperSize="9" orientation="portrait" blackAndWhite="1" horizontalDpi="4294967292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F108"/>
  <sheetViews>
    <sheetView showGridLines="0" tabSelected="1" zoomScaleNormal="100" workbookViewId="0">
      <selection activeCell="V29" sqref="V29:AC29"/>
    </sheetView>
  </sheetViews>
  <sheetFormatPr defaultColWidth="6" defaultRowHeight="12.75" zeroHeight="1"/>
  <cols>
    <col min="1" max="1" width="15.83203125" style="452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6" width="6.83203125" style="306" customWidth="1"/>
    <col min="17" max="17" width="6.83203125" style="391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6" width="6.33203125" style="378" customWidth="1"/>
    <col min="37" max="16384" width="6" style="378"/>
  </cols>
  <sheetData>
    <row r="1" spans="1:47" s="312" customFormat="1" ht="24" customHeight="1" thickBot="1">
      <c r="A1" s="449"/>
      <c r="B1" s="307"/>
      <c r="C1" s="308"/>
      <c r="D1" s="505" t="s">
        <v>194</v>
      </c>
      <c r="E1" s="505"/>
      <c r="F1" s="505"/>
      <c r="G1" s="505"/>
      <c r="H1" s="505"/>
      <c r="I1" s="505"/>
      <c r="J1" s="505"/>
      <c r="K1" s="505"/>
      <c r="L1" s="505"/>
      <c r="M1" s="505"/>
      <c r="N1" s="505"/>
      <c r="O1" s="505"/>
      <c r="P1" s="505"/>
      <c r="Q1" s="505"/>
      <c r="R1" s="505"/>
      <c r="S1" s="505"/>
      <c r="T1" s="505"/>
      <c r="U1" s="505"/>
      <c r="V1" s="505"/>
      <c r="W1" s="505"/>
      <c r="X1" s="506"/>
      <c r="Y1" s="506"/>
      <c r="Z1" s="506"/>
      <c r="AA1" s="398"/>
      <c r="AB1" s="398"/>
      <c r="AC1" s="398"/>
      <c r="AD1" s="398"/>
      <c r="AE1" s="398"/>
      <c r="AF1" s="398"/>
      <c r="AG1" s="398"/>
      <c r="AH1" s="398"/>
      <c r="AI1" s="398"/>
      <c r="AJ1" s="398"/>
      <c r="AK1" s="311"/>
      <c r="AL1" s="311"/>
      <c r="AM1" s="311"/>
      <c r="AN1" s="311"/>
      <c r="AO1" s="311"/>
      <c r="AP1" s="311"/>
    </row>
    <row r="2" spans="1:47" s="312" customFormat="1" thickTop="1" thickBot="1">
      <c r="A2" s="495" t="s">
        <v>195</v>
      </c>
      <c r="B2" s="497" t="s">
        <v>196</v>
      </c>
      <c r="C2" s="499" t="s">
        <v>205</v>
      </c>
      <c r="D2" s="499"/>
      <c r="E2" s="499"/>
      <c r="F2" s="499"/>
      <c r="G2" s="499"/>
      <c r="H2" s="499"/>
      <c r="I2" s="499"/>
      <c r="J2" s="499"/>
      <c r="K2" s="499"/>
      <c r="L2" s="499"/>
      <c r="M2" s="500"/>
      <c r="N2" s="507" t="s">
        <v>206</v>
      </c>
      <c r="O2" s="499"/>
      <c r="P2" s="499"/>
      <c r="Q2" s="499"/>
      <c r="R2" s="499"/>
      <c r="S2" s="507" t="s">
        <v>207</v>
      </c>
      <c r="T2" s="499"/>
      <c r="U2" s="499"/>
      <c r="V2" s="499"/>
      <c r="W2" s="499"/>
      <c r="X2" s="499"/>
      <c r="Y2" s="499"/>
      <c r="Z2" s="500"/>
      <c r="AA2" s="494" t="s">
        <v>209</v>
      </c>
      <c r="AB2" s="492"/>
      <c r="AC2" s="492"/>
      <c r="AD2" s="492"/>
      <c r="AE2" s="492"/>
      <c r="AF2" s="492"/>
      <c r="AG2" s="492"/>
      <c r="AH2" s="492"/>
      <c r="AI2" s="492"/>
      <c r="AJ2" s="501"/>
      <c r="AK2" s="319"/>
      <c r="AL2" s="318"/>
      <c r="AM2" s="318"/>
      <c r="AN2" s="318"/>
      <c r="AO2" s="318"/>
      <c r="AP2" s="318"/>
    </row>
    <row r="3" spans="1:47" s="312" customFormat="1" ht="12" thickBot="1">
      <c r="A3" s="496"/>
      <c r="B3" s="498"/>
      <c r="C3" s="458">
        <v>22</v>
      </c>
      <c r="D3" s="458">
        <v>1</v>
      </c>
      <c r="E3" s="458">
        <v>4</v>
      </c>
      <c r="F3" s="458">
        <v>7</v>
      </c>
      <c r="G3" s="458">
        <v>10</v>
      </c>
      <c r="H3" s="458">
        <v>13</v>
      </c>
      <c r="I3" s="458">
        <v>16</v>
      </c>
      <c r="J3" s="458">
        <v>19</v>
      </c>
      <c r="K3" s="457" t="s">
        <v>208</v>
      </c>
      <c r="L3" s="458" t="s">
        <v>47</v>
      </c>
      <c r="M3" s="459" t="s">
        <v>48</v>
      </c>
      <c r="N3" s="457">
        <v>1</v>
      </c>
      <c r="O3" s="458">
        <v>7</v>
      </c>
      <c r="P3" s="458">
        <v>13</v>
      </c>
      <c r="Q3" s="458">
        <v>19</v>
      </c>
      <c r="R3" s="460" t="s">
        <v>45</v>
      </c>
      <c r="S3" s="457">
        <v>22</v>
      </c>
      <c r="T3" s="458">
        <v>1</v>
      </c>
      <c r="U3" s="458">
        <v>4</v>
      </c>
      <c r="V3" s="458">
        <v>7</v>
      </c>
      <c r="W3" s="458">
        <v>10</v>
      </c>
      <c r="X3" s="458">
        <v>13</v>
      </c>
      <c r="Y3" s="458">
        <v>16</v>
      </c>
      <c r="Z3" s="459">
        <v>19</v>
      </c>
      <c r="AA3" s="462">
        <v>22</v>
      </c>
      <c r="AB3" s="463">
        <v>1</v>
      </c>
      <c r="AC3" s="463">
        <v>4</v>
      </c>
      <c r="AD3" s="463">
        <v>7</v>
      </c>
      <c r="AE3" s="463">
        <v>10</v>
      </c>
      <c r="AF3" s="463">
        <v>13</v>
      </c>
      <c r="AG3" s="463">
        <v>16</v>
      </c>
      <c r="AH3" s="463">
        <v>19</v>
      </c>
      <c r="AI3" s="462" t="s">
        <v>90</v>
      </c>
      <c r="AJ3" s="468" t="s">
        <v>89</v>
      </c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69" t="s">
        <v>130</v>
      </c>
      <c r="B4" s="465" t="s">
        <v>197</v>
      </c>
      <c r="C4" s="464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IF(COUNT(K31,L31,M31)&gt;0,MIN(K31,L31,M31),"")</f>
        <v/>
      </c>
      <c r="M4" s="332"/>
      <c r="N4" s="329"/>
      <c r="O4" s="329"/>
      <c r="P4" s="329"/>
      <c r="Q4" s="333"/>
      <c r="R4" s="332"/>
      <c r="S4" s="334"/>
      <c r="T4" s="334"/>
      <c r="U4" s="335"/>
      <c r="V4" s="335"/>
      <c r="W4" s="335"/>
      <c r="X4" s="335"/>
      <c r="Y4" s="335"/>
      <c r="Z4" s="336"/>
      <c r="AA4" s="367"/>
      <c r="AB4" s="368"/>
      <c r="AC4" s="368"/>
      <c r="AD4" s="368"/>
      <c r="AE4" s="368"/>
      <c r="AF4" s="368"/>
      <c r="AG4" s="368"/>
      <c r="AH4" s="368"/>
      <c r="AI4" s="369" t="str">
        <f>IF(COUNT(AB4,AC4,AD4,AE4,AF4,AG4,AH4,AA4)&gt;3,AVERAGE(AB4,AC4,AD4,AE4,AF4,AG4,AH4,AA4),"")</f>
        <v/>
      </c>
      <c r="AJ4" s="470" t="str">
        <f>IF(COUNT(AI4)&gt;0,MIN(AB4,AC4,AD4,AE4,AF4,AG4,AH4,AA4),"")</f>
        <v/>
      </c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>
      <c r="A5" s="469" t="s">
        <v>129</v>
      </c>
      <c r="B5" s="466" t="s">
        <v>148</v>
      </c>
      <c r="C5" s="329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IF(COUNT(K32,L32,M32)&gt;0,MIN(K32,L32,M32),"")</f>
        <v/>
      </c>
      <c r="M5" s="332"/>
      <c r="N5" s="329"/>
      <c r="O5" s="329"/>
      <c r="P5" s="329"/>
      <c r="Q5" s="333"/>
      <c r="R5" s="332"/>
      <c r="S5" s="334"/>
      <c r="T5" s="334"/>
      <c r="U5" s="335"/>
      <c r="V5" s="335"/>
      <c r="W5" s="335"/>
      <c r="X5" s="335"/>
      <c r="Y5" s="335"/>
      <c r="Z5" s="336"/>
      <c r="AA5" s="367"/>
      <c r="AB5" s="368"/>
      <c r="AC5" s="368"/>
      <c r="AD5" s="368"/>
      <c r="AE5" s="368"/>
      <c r="AF5" s="368"/>
      <c r="AG5" s="368"/>
      <c r="AH5" s="368"/>
      <c r="AI5" s="369" t="str">
        <f t="shared" ref="AI5:AI25" si="1">IF(COUNT(AB5,AC5,AD5,AE5,AF5,AG5,AH5,AA5)&gt;3,AVERAGE(AB5,AC5,AD5,AE5,AF5,AG5,AH5,AA5),"")</f>
        <v/>
      </c>
      <c r="AJ5" s="470" t="str">
        <f t="shared" ref="AJ5:AJ25" si="2">IF(COUNT(AI5)&gt;0,MIN(AB5,AC5,AD5,AE5,AF5,AG5,AH5,AA5),"")</f>
        <v/>
      </c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>
      <c r="A6" s="471" t="s">
        <v>134</v>
      </c>
      <c r="B6" s="466" t="s">
        <v>152</v>
      </c>
      <c r="C6" s="329"/>
      <c r="D6" s="329"/>
      <c r="E6" s="329"/>
      <c r="F6" s="329"/>
      <c r="G6" s="329"/>
      <c r="H6" s="329"/>
      <c r="I6" s="329"/>
      <c r="J6" s="329"/>
      <c r="K6" s="330" t="str">
        <f t="shared" ref="K6:K25" si="3">IF(COUNT(AR6:AU6)&gt;0,AVERAGE(AR6:AU6)," ")</f>
        <v xml:space="preserve"> </v>
      </c>
      <c r="L6" s="331" t="str">
        <f t="shared" ref="L6:L25" si="4">IF(COUNT(K33,L33,M33)&gt;0,MIN(K33,L33,M33),"")</f>
        <v/>
      </c>
      <c r="M6" s="332"/>
      <c r="N6" s="329"/>
      <c r="O6" s="329"/>
      <c r="P6" s="329"/>
      <c r="Q6" s="333"/>
      <c r="R6" s="332"/>
      <c r="S6" s="334"/>
      <c r="T6" s="334"/>
      <c r="U6" s="335"/>
      <c r="V6" s="335"/>
      <c r="W6" s="335"/>
      <c r="X6" s="335"/>
      <c r="Y6" s="335"/>
      <c r="Z6" s="336"/>
      <c r="AA6" s="367"/>
      <c r="AB6" s="368"/>
      <c r="AC6" s="368"/>
      <c r="AD6" s="368"/>
      <c r="AE6" s="368"/>
      <c r="AF6" s="368"/>
      <c r="AG6" s="368"/>
      <c r="AH6" s="368"/>
      <c r="AI6" s="369" t="str">
        <f t="shared" si="1"/>
        <v/>
      </c>
      <c r="AJ6" s="470" t="str">
        <f t="shared" si="2"/>
        <v/>
      </c>
      <c r="AK6" s="340"/>
      <c r="AL6" s="340"/>
      <c r="AM6" s="340"/>
      <c r="AN6" s="340"/>
      <c r="AO6" s="340"/>
      <c r="AP6" s="340"/>
      <c r="AR6" s="312" t="str">
        <f t="shared" ref="AR6:AR25" si="5">IF(COUNT(D6,H6)=2,AVERAGE(D6,H6)," ")</f>
        <v xml:space="preserve"> </v>
      </c>
      <c r="AS6" s="312" t="str">
        <f t="shared" ref="AS6:AS25" si="6">IF(COUNT(E6,I6)=2,AVERAGE(E6,I6)," ")</f>
        <v xml:space="preserve"> </v>
      </c>
      <c r="AT6" s="312" t="str">
        <f t="shared" ref="AT6:AT25" si="7">IF(COUNT(F6,J6)=2,AVERAGE(F6,J6)," ")</f>
        <v xml:space="preserve"> </v>
      </c>
      <c r="AU6" s="312" t="str">
        <f t="shared" ref="AU6:AU25" si="8">IF(COUNT(G6,C6)=2,AVERAGE(G6,C6)," ")</f>
        <v xml:space="preserve"> </v>
      </c>
    </row>
    <row r="7" spans="1:47" s="312" customFormat="1">
      <c r="A7" s="469" t="s">
        <v>133</v>
      </c>
      <c r="B7" s="466" t="s">
        <v>151</v>
      </c>
      <c r="C7" s="329"/>
      <c r="D7" s="329"/>
      <c r="E7" s="329"/>
      <c r="F7" s="329"/>
      <c r="G7" s="329"/>
      <c r="H7" s="329"/>
      <c r="I7" s="329"/>
      <c r="J7" s="329"/>
      <c r="K7" s="330" t="str">
        <f t="shared" si="3"/>
        <v xml:space="preserve"> </v>
      </c>
      <c r="L7" s="331" t="str">
        <f t="shared" si="4"/>
        <v/>
      </c>
      <c r="M7" s="332"/>
      <c r="N7" s="329"/>
      <c r="O7" s="329"/>
      <c r="P7" s="329"/>
      <c r="Q7" s="333"/>
      <c r="R7" s="332"/>
      <c r="S7" s="334"/>
      <c r="T7" s="334"/>
      <c r="U7" s="335"/>
      <c r="V7" s="335"/>
      <c r="W7" s="335"/>
      <c r="X7" s="335"/>
      <c r="Y7" s="335"/>
      <c r="Z7" s="336"/>
      <c r="AA7" s="367"/>
      <c r="AB7" s="368"/>
      <c r="AC7" s="368"/>
      <c r="AD7" s="368"/>
      <c r="AE7" s="368"/>
      <c r="AF7" s="368"/>
      <c r="AG7" s="368"/>
      <c r="AH7" s="368"/>
      <c r="AI7" s="369" t="str">
        <f t="shared" si="1"/>
        <v/>
      </c>
      <c r="AJ7" s="470" t="str">
        <f t="shared" si="2"/>
        <v/>
      </c>
      <c r="AK7" s="340"/>
      <c r="AL7" s="340"/>
      <c r="AM7" s="340"/>
      <c r="AN7" s="340"/>
      <c r="AO7" s="340"/>
      <c r="AP7" s="340"/>
      <c r="AR7" s="312" t="str">
        <f t="shared" si="5"/>
        <v xml:space="preserve"> </v>
      </c>
      <c r="AS7" s="312" t="str">
        <f t="shared" si="6"/>
        <v xml:space="preserve"> </v>
      </c>
      <c r="AT7" s="312" t="str">
        <f t="shared" si="7"/>
        <v xml:space="preserve"> </v>
      </c>
      <c r="AU7" s="312" t="str">
        <f t="shared" si="8"/>
        <v xml:space="preserve"> </v>
      </c>
    </row>
    <row r="8" spans="1:47" s="312" customFormat="1">
      <c r="A8" s="469" t="s">
        <v>198</v>
      </c>
      <c r="B8" s="466" t="s">
        <v>199</v>
      </c>
      <c r="C8" s="329"/>
      <c r="D8" s="329"/>
      <c r="E8" s="329"/>
      <c r="F8" s="329"/>
      <c r="G8" s="329"/>
      <c r="H8" s="329"/>
      <c r="I8" s="329"/>
      <c r="J8" s="329"/>
      <c r="K8" s="330" t="str">
        <f t="shared" si="3"/>
        <v xml:space="preserve"> </v>
      </c>
      <c r="L8" s="331" t="str">
        <f t="shared" si="4"/>
        <v/>
      </c>
      <c r="M8" s="332"/>
      <c r="N8" s="329"/>
      <c r="O8" s="329"/>
      <c r="P8" s="329"/>
      <c r="Q8" s="333"/>
      <c r="R8" s="332"/>
      <c r="S8" s="334"/>
      <c r="T8" s="334"/>
      <c r="U8" s="335"/>
      <c r="V8" s="335"/>
      <c r="W8" s="335"/>
      <c r="X8" s="335"/>
      <c r="Y8" s="335"/>
      <c r="Z8" s="336"/>
      <c r="AA8" s="367"/>
      <c r="AB8" s="368"/>
      <c r="AC8" s="368"/>
      <c r="AD8" s="368"/>
      <c r="AE8" s="368"/>
      <c r="AF8" s="368"/>
      <c r="AG8" s="368"/>
      <c r="AH8" s="368"/>
      <c r="AI8" s="369" t="str">
        <f t="shared" si="1"/>
        <v/>
      </c>
      <c r="AJ8" s="470" t="str">
        <f t="shared" si="2"/>
        <v/>
      </c>
      <c r="AK8" s="340"/>
      <c r="AL8" s="340"/>
      <c r="AM8" s="340"/>
      <c r="AN8" s="340"/>
      <c r="AO8" s="340"/>
      <c r="AP8" s="340"/>
      <c r="AR8" s="312" t="str">
        <f t="shared" si="5"/>
        <v xml:space="preserve"> </v>
      </c>
      <c r="AS8" s="312" t="str">
        <f t="shared" si="6"/>
        <v xml:space="preserve"> </v>
      </c>
      <c r="AT8" s="312" t="str">
        <f t="shared" si="7"/>
        <v xml:space="preserve"> </v>
      </c>
      <c r="AU8" s="312" t="str">
        <f t="shared" si="8"/>
        <v xml:space="preserve"> </v>
      </c>
    </row>
    <row r="9" spans="1:47" s="312" customFormat="1">
      <c r="A9" s="469" t="s">
        <v>131</v>
      </c>
      <c r="B9" s="466" t="s">
        <v>149</v>
      </c>
      <c r="C9" s="329"/>
      <c r="D9" s="329"/>
      <c r="E9" s="329"/>
      <c r="F9" s="329"/>
      <c r="G9" s="329"/>
      <c r="H9" s="329"/>
      <c r="I9" s="329"/>
      <c r="J9" s="329"/>
      <c r="K9" s="330" t="str">
        <f t="shared" si="3"/>
        <v xml:space="preserve"> </v>
      </c>
      <c r="L9" s="331" t="str">
        <f t="shared" si="4"/>
        <v/>
      </c>
      <c r="M9" s="332"/>
      <c r="N9" s="329"/>
      <c r="O9" s="329"/>
      <c r="P9" s="329"/>
      <c r="Q9" s="333"/>
      <c r="R9" s="332"/>
      <c r="S9" s="334"/>
      <c r="T9" s="334"/>
      <c r="U9" s="335"/>
      <c r="V9" s="335"/>
      <c r="W9" s="335"/>
      <c r="X9" s="335"/>
      <c r="Y9" s="335"/>
      <c r="Z9" s="336"/>
      <c r="AA9" s="367"/>
      <c r="AB9" s="368"/>
      <c r="AC9" s="368"/>
      <c r="AD9" s="368"/>
      <c r="AE9" s="368"/>
      <c r="AF9" s="368"/>
      <c r="AG9" s="368"/>
      <c r="AH9" s="368"/>
      <c r="AI9" s="369" t="str">
        <f t="shared" si="1"/>
        <v/>
      </c>
      <c r="AJ9" s="470" t="str">
        <f t="shared" si="2"/>
        <v/>
      </c>
      <c r="AK9" s="340"/>
      <c r="AL9" s="340"/>
      <c r="AM9" s="340"/>
      <c r="AN9" s="340"/>
      <c r="AO9" s="340"/>
      <c r="AP9" s="340"/>
      <c r="AR9" s="312" t="str">
        <f t="shared" si="5"/>
        <v xml:space="preserve"> </v>
      </c>
      <c r="AS9" s="312" t="str">
        <f t="shared" si="6"/>
        <v xml:space="preserve"> </v>
      </c>
      <c r="AT9" s="312" t="str">
        <f t="shared" si="7"/>
        <v xml:space="preserve"> </v>
      </c>
      <c r="AU9" s="312" t="str">
        <f t="shared" si="8"/>
        <v xml:space="preserve"> </v>
      </c>
    </row>
    <row r="10" spans="1:47" s="312" customFormat="1">
      <c r="A10" s="469" t="s">
        <v>132</v>
      </c>
      <c r="B10" s="466" t="s">
        <v>150</v>
      </c>
      <c r="C10" s="329"/>
      <c r="D10" s="329"/>
      <c r="E10" s="329"/>
      <c r="F10" s="329"/>
      <c r="G10" s="329"/>
      <c r="H10" s="329"/>
      <c r="I10" s="329"/>
      <c r="J10" s="329"/>
      <c r="K10" s="330" t="str">
        <f t="shared" si="3"/>
        <v xml:space="preserve"> </v>
      </c>
      <c r="L10" s="331" t="str">
        <f t="shared" si="4"/>
        <v/>
      </c>
      <c r="M10" s="332"/>
      <c r="N10" s="329"/>
      <c r="O10" s="329"/>
      <c r="P10" s="329"/>
      <c r="Q10" s="333"/>
      <c r="R10" s="332"/>
      <c r="S10" s="334"/>
      <c r="T10" s="334"/>
      <c r="U10" s="335"/>
      <c r="V10" s="335"/>
      <c r="W10" s="335"/>
      <c r="X10" s="335"/>
      <c r="Y10" s="335"/>
      <c r="Z10" s="336"/>
      <c r="AA10" s="367"/>
      <c r="AB10" s="368"/>
      <c r="AC10" s="368"/>
      <c r="AD10" s="368"/>
      <c r="AE10" s="368"/>
      <c r="AF10" s="368"/>
      <c r="AG10" s="368"/>
      <c r="AH10" s="368"/>
      <c r="AI10" s="369" t="str">
        <f t="shared" si="1"/>
        <v/>
      </c>
      <c r="AJ10" s="470" t="str">
        <f t="shared" si="2"/>
        <v/>
      </c>
      <c r="AK10" s="340"/>
      <c r="AL10" s="340"/>
      <c r="AM10" s="340"/>
      <c r="AN10" s="340"/>
      <c r="AO10" s="340"/>
      <c r="AP10" s="340"/>
      <c r="AR10" s="312" t="str">
        <f t="shared" si="5"/>
        <v xml:space="preserve"> </v>
      </c>
      <c r="AS10" s="312" t="str">
        <f t="shared" si="6"/>
        <v xml:space="preserve"> </v>
      </c>
      <c r="AT10" s="312" t="str">
        <f t="shared" si="7"/>
        <v xml:space="preserve"> </v>
      </c>
      <c r="AU10" s="312" t="str">
        <f t="shared" si="8"/>
        <v xml:space="preserve"> </v>
      </c>
    </row>
    <row r="11" spans="1:47" s="312" customFormat="1">
      <c r="A11" s="469" t="s">
        <v>192</v>
      </c>
      <c r="B11" s="466" t="s">
        <v>189</v>
      </c>
      <c r="C11" s="329"/>
      <c r="D11" s="329"/>
      <c r="E11" s="329"/>
      <c r="F11" s="329"/>
      <c r="G11" s="329"/>
      <c r="H11" s="329"/>
      <c r="I11" s="329"/>
      <c r="J11" s="329"/>
      <c r="K11" s="330" t="str">
        <f t="shared" si="3"/>
        <v xml:space="preserve"> </v>
      </c>
      <c r="L11" s="331" t="str">
        <f t="shared" si="4"/>
        <v/>
      </c>
      <c r="M11" s="332"/>
      <c r="N11" s="329"/>
      <c r="O11" s="329"/>
      <c r="P11" s="329"/>
      <c r="Q11" s="333"/>
      <c r="R11" s="332"/>
      <c r="S11" s="334"/>
      <c r="T11" s="334"/>
      <c r="U11" s="335"/>
      <c r="V11" s="335"/>
      <c r="W11" s="335"/>
      <c r="X11" s="335"/>
      <c r="Y11" s="335"/>
      <c r="Z11" s="336"/>
      <c r="AA11" s="367"/>
      <c r="AB11" s="368"/>
      <c r="AC11" s="368"/>
      <c r="AD11" s="368"/>
      <c r="AE11" s="368"/>
      <c r="AF11" s="368"/>
      <c r="AG11" s="368"/>
      <c r="AH11" s="368"/>
      <c r="AI11" s="369" t="str">
        <f t="shared" si="1"/>
        <v/>
      </c>
      <c r="AJ11" s="470" t="str">
        <f t="shared" si="2"/>
        <v/>
      </c>
      <c r="AK11" s="340"/>
      <c r="AL11" s="340"/>
      <c r="AM11" s="340"/>
      <c r="AN11" s="340"/>
      <c r="AO11" s="340"/>
      <c r="AP11" s="340"/>
      <c r="AR11" s="312" t="str">
        <f t="shared" si="5"/>
        <v xml:space="preserve"> </v>
      </c>
      <c r="AS11" s="312" t="str">
        <f t="shared" si="6"/>
        <v xml:space="preserve"> </v>
      </c>
      <c r="AT11" s="312" t="str">
        <f t="shared" si="7"/>
        <v xml:space="preserve"> </v>
      </c>
      <c r="AU11" s="312" t="str">
        <f t="shared" si="8"/>
        <v xml:space="preserve"> </v>
      </c>
    </row>
    <row r="12" spans="1:47" s="312" customFormat="1">
      <c r="A12" s="469" t="s">
        <v>200</v>
      </c>
      <c r="B12" s="466" t="s">
        <v>155</v>
      </c>
      <c r="C12" s="329"/>
      <c r="D12" s="329"/>
      <c r="E12" s="329"/>
      <c r="F12" s="329"/>
      <c r="G12" s="329"/>
      <c r="H12" s="329"/>
      <c r="I12" s="329"/>
      <c r="J12" s="329"/>
      <c r="K12" s="330" t="str">
        <f t="shared" si="3"/>
        <v xml:space="preserve"> </v>
      </c>
      <c r="L12" s="331" t="str">
        <f t="shared" si="4"/>
        <v/>
      </c>
      <c r="M12" s="332"/>
      <c r="N12" s="329"/>
      <c r="O12" s="329"/>
      <c r="P12" s="329"/>
      <c r="Q12" s="333"/>
      <c r="R12" s="332"/>
      <c r="S12" s="334"/>
      <c r="T12" s="334"/>
      <c r="U12" s="335"/>
      <c r="V12" s="335"/>
      <c r="W12" s="335"/>
      <c r="X12" s="335"/>
      <c r="Y12" s="335"/>
      <c r="Z12" s="336"/>
      <c r="AA12" s="367"/>
      <c r="AB12" s="368"/>
      <c r="AC12" s="368"/>
      <c r="AD12" s="368"/>
      <c r="AE12" s="368"/>
      <c r="AF12" s="368"/>
      <c r="AG12" s="368"/>
      <c r="AH12" s="368"/>
      <c r="AI12" s="369" t="str">
        <f t="shared" si="1"/>
        <v/>
      </c>
      <c r="AJ12" s="470" t="str">
        <f t="shared" si="2"/>
        <v/>
      </c>
      <c r="AK12" s="340"/>
      <c r="AL12" s="340"/>
      <c r="AM12" s="340"/>
      <c r="AN12" s="340"/>
      <c r="AO12" s="340"/>
      <c r="AP12" s="340"/>
      <c r="AR12" s="312" t="str">
        <f t="shared" si="5"/>
        <v xml:space="preserve"> </v>
      </c>
      <c r="AS12" s="312" t="str">
        <f t="shared" si="6"/>
        <v xml:space="preserve"> </v>
      </c>
      <c r="AT12" s="312" t="str">
        <f t="shared" si="7"/>
        <v xml:space="preserve"> </v>
      </c>
      <c r="AU12" s="312" t="str">
        <f t="shared" si="8"/>
        <v xml:space="preserve"> </v>
      </c>
    </row>
    <row r="13" spans="1:47" s="312" customFormat="1">
      <c r="A13" s="469" t="s">
        <v>143</v>
      </c>
      <c r="B13" s="466" t="s">
        <v>201</v>
      </c>
      <c r="C13" s="329"/>
      <c r="D13" s="329"/>
      <c r="E13" s="329"/>
      <c r="F13" s="329"/>
      <c r="G13" s="329"/>
      <c r="H13" s="329"/>
      <c r="I13" s="329"/>
      <c r="J13" s="329"/>
      <c r="K13" s="330" t="str">
        <f t="shared" si="3"/>
        <v xml:space="preserve"> </v>
      </c>
      <c r="L13" s="331" t="str">
        <f t="shared" si="4"/>
        <v/>
      </c>
      <c r="M13" s="332"/>
      <c r="N13" s="329"/>
      <c r="O13" s="329"/>
      <c r="P13" s="329"/>
      <c r="Q13" s="333"/>
      <c r="R13" s="332"/>
      <c r="S13" s="334"/>
      <c r="T13" s="334"/>
      <c r="U13" s="335"/>
      <c r="V13" s="335"/>
      <c r="W13" s="335"/>
      <c r="X13" s="335"/>
      <c r="Y13" s="335"/>
      <c r="Z13" s="336"/>
      <c r="AA13" s="367"/>
      <c r="AB13" s="368"/>
      <c r="AC13" s="368"/>
      <c r="AD13" s="368"/>
      <c r="AE13" s="368"/>
      <c r="AF13" s="368"/>
      <c r="AG13" s="368"/>
      <c r="AH13" s="368"/>
      <c r="AI13" s="369" t="str">
        <f t="shared" si="1"/>
        <v/>
      </c>
      <c r="AJ13" s="470" t="str">
        <f t="shared" si="2"/>
        <v/>
      </c>
      <c r="AK13" s="340"/>
      <c r="AL13" s="340"/>
      <c r="AM13" s="340"/>
      <c r="AN13" s="340"/>
      <c r="AO13" s="340"/>
      <c r="AP13" s="340"/>
      <c r="AR13" s="312" t="str">
        <f t="shared" si="5"/>
        <v xml:space="preserve"> </v>
      </c>
      <c r="AS13" s="312" t="str">
        <f t="shared" si="6"/>
        <v xml:space="preserve"> </v>
      </c>
      <c r="AT13" s="312" t="str">
        <f t="shared" si="7"/>
        <v xml:space="preserve"> </v>
      </c>
      <c r="AU13" s="312" t="str">
        <f t="shared" si="8"/>
        <v xml:space="preserve"> </v>
      </c>
    </row>
    <row r="14" spans="1:47" s="312" customFormat="1">
      <c r="A14" s="471" t="s">
        <v>202</v>
      </c>
      <c r="B14" s="466" t="s">
        <v>156</v>
      </c>
      <c r="C14" s="329"/>
      <c r="D14" s="329"/>
      <c r="E14" s="329"/>
      <c r="F14" s="329"/>
      <c r="G14" s="329"/>
      <c r="H14" s="329"/>
      <c r="I14" s="329"/>
      <c r="J14" s="329"/>
      <c r="K14" s="330" t="str">
        <f t="shared" si="3"/>
        <v xml:space="preserve"> </v>
      </c>
      <c r="L14" s="331" t="str">
        <f t="shared" si="4"/>
        <v/>
      </c>
      <c r="M14" s="332"/>
      <c r="N14" s="329"/>
      <c r="O14" s="329"/>
      <c r="P14" s="329"/>
      <c r="Q14" s="333"/>
      <c r="R14" s="332"/>
      <c r="S14" s="334"/>
      <c r="T14" s="334"/>
      <c r="U14" s="335"/>
      <c r="V14" s="335"/>
      <c r="W14" s="335"/>
      <c r="X14" s="335"/>
      <c r="Y14" s="335"/>
      <c r="Z14" s="336"/>
      <c r="AA14" s="367"/>
      <c r="AB14" s="368"/>
      <c r="AC14" s="368"/>
      <c r="AD14" s="368"/>
      <c r="AE14" s="368"/>
      <c r="AF14" s="368"/>
      <c r="AG14" s="368"/>
      <c r="AH14" s="368"/>
      <c r="AI14" s="369" t="str">
        <f t="shared" si="1"/>
        <v/>
      </c>
      <c r="AJ14" s="470" t="str">
        <f t="shared" si="2"/>
        <v/>
      </c>
      <c r="AK14" s="340"/>
      <c r="AL14" s="340"/>
      <c r="AM14" s="340"/>
      <c r="AN14" s="340"/>
      <c r="AO14" s="340"/>
      <c r="AP14" s="340"/>
      <c r="AR14" s="312" t="str">
        <f t="shared" si="5"/>
        <v xml:space="preserve"> </v>
      </c>
      <c r="AS14" s="312" t="str">
        <f t="shared" si="6"/>
        <v xml:space="preserve"> </v>
      </c>
      <c r="AT14" s="312" t="str">
        <f t="shared" si="7"/>
        <v xml:space="preserve"> </v>
      </c>
      <c r="AU14" s="312" t="str">
        <f t="shared" si="8"/>
        <v xml:space="preserve"> </v>
      </c>
    </row>
    <row r="15" spans="1:47" s="312" customFormat="1">
      <c r="A15" s="469" t="s">
        <v>137</v>
      </c>
      <c r="B15" s="466" t="s">
        <v>154</v>
      </c>
      <c r="C15" s="329"/>
      <c r="D15" s="329"/>
      <c r="E15" s="329"/>
      <c r="F15" s="329"/>
      <c r="G15" s="329"/>
      <c r="H15" s="329"/>
      <c r="I15" s="329"/>
      <c r="J15" s="329"/>
      <c r="K15" s="330" t="str">
        <f t="shared" si="3"/>
        <v xml:space="preserve"> </v>
      </c>
      <c r="L15" s="331" t="str">
        <f t="shared" si="4"/>
        <v/>
      </c>
      <c r="M15" s="332"/>
      <c r="N15" s="329"/>
      <c r="O15" s="329"/>
      <c r="P15" s="329"/>
      <c r="Q15" s="333"/>
      <c r="R15" s="332"/>
      <c r="S15" s="334"/>
      <c r="T15" s="334"/>
      <c r="U15" s="335"/>
      <c r="V15" s="335"/>
      <c r="W15" s="335"/>
      <c r="X15" s="335"/>
      <c r="Y15" s="335"/>
      <c r="Z15" s="336"/>
      <c r="AA15" s="367"/>
      <c r="AB15" s="368"/>
      <c r="AC15" s="368"/>
      <c r="AD15" s="368"/>
      <c r="AE15" s="368"/>
      <c r="AF15" s="368"/>
      <c r="AG15" s="368"/>
      <c r="AH15" s="368"/>
      <c r="AI15" s="369" t="str">
        <f t="shared" si="1"/>
        <v/>
      </c>
      <c r="AJ15" s="470" t="str">
        <f t="shared" si="2"/>
        <v/>
      </c>
      <c r="AK15" s="340"/>
      <c r="AL15" s="340"/>
      <c r="AM15" s="340"/>
      <c r="AN15" s="340"/>
      <c r="AO15" s="340"/>
      <c r="AP15" s="340"/>
      <c r="AR15" s="312" t="str">
        <f t="shared" si="5"/>
        <v xml:space="preserve"> </v>
      </c>
      <c r="AS15" s="312" t="str">
        <f t="shared" si="6"/>
        <v xml:space="preserve"> </v>
      </c>
      <c r="AT15" s="312" t="str">
        <f t="shared" si="7"/>
        <v xml:space="preserve"> </v>
      </c>
      <c r="AU15" s="312" t="str">
        <f t="shared" si="8"/>
        <v xml:space="preserve"> </v>
      </c>
    </row>
    <row r="16" spans="1:47" s="312" customFormat="1">
      <c r="A16" s="471" t="s">
        <v>141</v>
      </c>
      <c r="B16" s="466" t="s">
        <v>158</v>
      </c>
      <c r="C16" s="329"/>
      <c r="D16" s="329"/>
      <c r="E16" s="329"/>
      <c r="F16" s="329"/>
      <c r="G16" s="329"/>
      <c r="H16" s="329"/>
      <c r="I16" s="329"/>
      <c r="J16" s="329"/>
      <c r="K16" s="330" t="str">
        <f t="shared" si="3"/>
        <v xml:space="preserve"> </v>
      </c>
      <c r="L16" s="331" t="str">
        <f t="shared" si="4"/>
        <v/>
      </c>
      <c r="M16" s="332"/>
      <c r="N16" s="329"/>
      <c r="O16" s="329"/>
      <c r="P16" s="329"/>
      <c r="Q16" s="333"/>
      <c r="R16" s="332"/>
      <c r="S16" s="334"/>
      <c r="T16" s="334"/>
      <c r="U16" s="335"/>
      <c r="V16" s="335"/>
      <c r="W16" s="335"/>
      <c r="X16" s="335"/>
      <c r="Y16" s="335"/>
      <c r="Z16" s="336"/>
      <c r="AA16" s="367"/>
      <c r="AB16" s="368"/>
      <c r="AC16" s="368"/>
      <c r="AD16" s="368"/>
      <c r="AE16" s="368"/>
      <c r="AF16" s="368"/>
      <c r="AG16" s="368"/>
      <c r="AH16" s="368"/>
      <c r="AI16" s="369" t="str">
        <f t="shared" si="1"/>
        <v/>
      </c>
      <c r="AJ16" s="470" t="str">
        <f t="shared" si="2"/>
        <v/>
      </c>
      <c r="AK16" s="340"/>
      <c r="AL16" s="340"/>
      <c r="AM16" s="340"/>
      <c r="AN16" s="340"/>
      <c r="AO16" s="340"/>
      <c r="AP16" s="340"/>
      <c r="AR16" s="312" t="str">
        <f t="shared" si="5"/>
        <v xml:space="preserve"> </v>
      </c>
      <c r="AS16" s="312" t="str">
        <f t="shared" si="6"/>
        <v xml:space="preserve"> </v>
      </c>
      <c r="AT16" s="312" t="str">
        <f t="shared" si="7"/>
        <v xml:space="preserve"> </v>
      </c>
      <c r="AU16" s="312" t="str">
        <f t="shared" si="8"/>
        <v xml:space="preserve"> </v>
      </c>
    </row>
    <row r="17" spans="1:58" s="312" customFormat="1">
      <c r="A17" s="469" t="s">
        <v>140</v>
      </c>
      <c r="B17" s="466" t="s">
        <v>157</v>
      </c>
      <c r="C17" s="329"/>
      <c r="D17" s="329"/>
      <c r="E17" s="329"/>
      <c r="F17" s="329"/>
      <c r="G17" s="329"/>
      <c r="H17" s="329"/>
      <c r="I17" s="329"/>
      <c r="J17" s="329"/>
      <c r="K17" s="330" t="str">
        <f t="shared" si="3"/>
        <v xml:space="preserve"> </v>
      </c>
      <c r="L17" s="331" t="str">
        <f t="shared" si="4"/>
        <v/>
      </c>
      <c r="M17" s="332"/>
      <c r="N17" s="329"/>
      <c r="O17" s="329"/>
      <c r="P17" s="329"/>
      <c r="Q17" s="333"/>
      <c r="R17" s="332"/>
      <c r="S17" s="334"/>
      <c r="T17" s="334"/>
      <c r="U17" s="335"/>
      <c r="V17" s="335"/>
      <c r="W17" s="335"/>
      <c r="X17" s="335"/>
      <c r="Y17" s="335"/>
      <c r="Z17" s="336"/>
      <c r="AA17" s="367"/>
      <c r="AB17" s="368"/>
      <c r="AC17" s="368"/>
      <c r="AD17" s="368"/>
      <c r="AE17" s="368"/>
      <c r="AF17" s="368"/>
      <c r="AG17" s="368"/>
      <c r="AH17" s="368"/>
      <c r="AI17" s="369" t="str">
        <f t="shared" si="1"/>
        <v/>
      </c>
      <c r="AJ17" s="470" t="str">
        <f t="shared" si="2"/>
        <v/>
      </c>
      <c r="AK17" s="340"/>
      <c r="AL17" s="340"/>
      <c r="AM17" s="340"/>
      <c r="AN17" s="340"/>
      <c r="AO17" s="340"/>
      <c r="AP17" s="340"/>
      <c r="AR17" s="312" t="str">
        <f t="shared" si="5"/>
        <v xml:space="preserve"> </v>
      </c>
      <c r="AS17" s="312" t="str">
        <f t="shared" si="6"/>
        <v xml:space="preserve"> </v>
      </c>
      <c r="AT17" s="312" t="str">
        <f t="shared" si="7"/>
        <v xml:space="preserve"> </v>
      </c>
      <c r="AU17" s="312" t="str">
        <f t="shared" si="8"/>
        <v xml:space="preserve"> </v>
      </c>
    </row>
    <row r="18" spans="1:58" s="312" customFormat="1">
      <c r="A18" s="471" t="s">
        <v>136</v>
      </c>
      <c r="B18" s="466" t="s">
        <v>153</v>
      </c>
      <c r="C18" s="329"/>
      <c r="D18" s="329"/>
      <c r="E18" s="329"/>
      <c r="F18" s="329"/>
      <c r="G18" s="329"/>
      <c r="H18" s="329"/>
      <c r="I18" s="329"/>
      <c r="J18" s="329"/>
      <c r="K18" s="330" t="str">
        <f t="shared" si="3"/>
        <v xml:space="preserve"> </v>
      </c>
      <c r="L18" s="331" t="str">
        <f t="shared" si="4"/>
        <v/>
      </c>
      <c r="M18" s="332"/>
      <c r="N18" s="329"/>
      <c r="O18" s="329"/>
      <c r="P18" s="329"/>
      <c r="Q18" s="333"/>
      <c r="R18" s="332"/>
      <c r="S18" s="334"/>
      <c r="T18" s="334"/>
      <c r="U18" s="335"/>
      <c r="V18" s="335"/>
      <c r="W18" s="335"/>
      <c r="X18" s="335"/>
      <c r="Y18" s="335"/>
      <c r="Z18" s="336"/>
      <c r="AA18" s="367"/>
      <c r="AB18" s="368"/>
      <c r="AC18" s="368"/>
      <c r="AD18" s="368"/>
      <c r="AE18" s="368"/>
      <c r="AF18" s="368"/>
      <c r="AG18" s="368"/>
      <c r="AH18" s="368"/>
      <c r="AI18" s="369" t="str">
        <f t="shared" si="1"/>
        <v/>
      </c>
      <c r="AJ18" s="470" t="str">
        <f t="shared" si="2"/>
        <v/>
      </c>
      <c r="AK18" s="340"/>
      <c r="AL18" s="340"/>
      <c r="AM18" s="340"/>
      <c r="AN18" s="340"/>
      <c r="AO18" s="340"/>
      <c r="AP18" s="340"/>
      <c r="AR18" s="312" t="str">
        <f t="shared" si="5"/>
        <v xml:space="preserve"> </v>
      </c>
      <c r="AS18" s="312" t="str">
        <f t="shared" si="6"/>
        <v xml:space="preserve"> </v>
      </c>
      <c r="AT18" s="312" t="str">
        <f t="shared" si="7"/>
        <v xml:space="preserve"> </v>
      </c>
      <c r="AU18" s="312" t="str">
        <f t="shared" si="8"/>
        <v xml:space="preserve"> </v>
      </c>
    </row>
    <row r="19" spans="1:58" s="312" customFormat="1">
      <c r="A19" s="469" t="s">
        <v>142</v>
      </c>
      <c r="B19" s="466" t="s">
        <v>159</v>
      </c>
      <c r="C19" s="329"/>
      <c r="D19" s="329"/>
      <c r="E19" s="329"/>
      <c r="F19" s="329"/>
      <c r="G19" s="329"/>
      <c r="H19" s="329"/>
      <c r="I19" s="329"/>
      <c r="J19" s="329"/>
      <c r="K19" s="330" t="str">
        <f t="shared" si="3"/>
        <v xml:space="preserve"> </v>
      </c>
      <c r="L19" s="331" t="str">
        <f t="shared" si="4"/>
        <v/>
      </c>
      <c r="M19" s="332"/>
      <c r="N19" s="329"/>
      <c r="O19" s="329"/>
      <c r="P19" s="329"/>
      <c r="Q19" s="333"/>
      <c r="R19" s="332"/>
      <c r="S19" s="334"/>
      <c r="T19" s="334"/>
      <c r="U19" s="335"/>
      <c r="V19" s="335"/>
      <c r="W19" s="335"/>
      <c r="X19" s="335"/>
      <c r="Y19" s="335"/>
      <c r="Z19" s="336"/>
      <c r="AA19" s="367"/>
      <c r="AB19" s="368"/>
      <c r="AC19" s="368"/>
      <c r="AD19" s="368"/>
      <c r="AE19" s="368"/>
      <c r="AF19" s="368"/>
      <c r="AG19" s="368"/>
      <c r="AH19" s="368"/>
      <c r="AI19" s="369" t="str">
        <f t="shared" si="1"/>
        <v/>
      </c>
      <c r="AJ19" s="470" t="str">
        <f t="shared" si="2"/>
        <v/>
      </c>
      <c r="AK19" s="340"/>
      <c r="AL19" s="340"/>
      <c r="AM19" s="340"/>
      <c r="AN19" s="340"/>
      <c r="AO19" s="340"/>
      <c r="AP19" s="340"/>
      <c r="AR19" s="312" t="str">
        <f t="shared" si="5"/>
        <v xml:space="preserve"> </v>
      </c>
      <c r="AS19" s="312" t="str">
        <f t="shared" si="6"/>
        <v xml:space="preserve"> </v>
      </c>
      <c r="AT19" s="312" t="str">
        <f t="shared" si="7"/>
        <v xml:space="preserve"> </v>
      </c>
      <c r="AU19" s="312" t="str">
        <f t="shared" si="8"/>
        <v xml:space="preserve"> </v>
      </c>
    </row>
    <row r="20" spans="1:58" s="312" customFormat="1" ht="12.75" customHeight="1">
      <c r="A20" s="469" t="s">
        <v>135</v>
      </c>
      <c r="B20" s="466" t="s">
        <v>203</v>
      </c>
      <c r="C20" s="329"/>
      <c r="D20" s="329"/>
      <c r="E20" s="329"/>
      <c r="F20" s="329"/>
      <c r="G20" s="329"/>
      <c r="H20" s="329"/>
      <c r="I20" s="329"/>
      <c r="J20" s="329"/>
      <c r="K20" s="330" t="str">
        <f t="shared" si="3"/>
        <v xml:space="preserve"> </v>
      </c>
      <c r="L20" s="331" t="str">
        <f t="shared" si="4"/>
        <v/>
      </c>
      <c r="M20" s="332"/>
      <c r="N20" s="329"/>
      <c r="O20" s="329"/>
      <c r="P20" s="329"/>
      <c r="Q20" s="333"/>
      <c r="R20" s="332"/>
      <c r="S20" s="334"/>
      <c r="T20" s="334"/>
      <c r="U20" s="335"/>
      <c r="V20" s="335"/>
      <c r="W20" s="335"/>
      <c r="X20" s="335"/>
      <c r="Y20" s="335"/>
      <c r="Z20" s="336"/>
      <c r="AA20" s="367"/>
      <c r="AB20" s="368"/>
      <c r="AC20" s="368"/>
      <c r="AD20" s="368"/>
      <c r="AE20" s="368"/>
      <c r="AF20" s="368"/>
      <c r="AG20" s="368"/>
      <c r="AH20" s="368"/>
      <c r="AI20" s="369" t="str">
        <f t="shared" si="1"/>
        <v/>
      </c>
      <c r="AJ20" s="470" t="str">
        <f t="shared" si="2"/>
        <v/>
      </c>
      <c r="AK20" s="340"/>
      <c r="AL20" s="340"/>
      <c r="AM20" s="340"/>
      <c r="AN20" s="340"/>
      <c r="AO20" s="340"/>
      <c r="AP20" s="340"/>
      <c r="AR20" s="312" t="str">
        <f t="shared" si="5"/>
        <v xml:space="preserve"> </v>
      </c>
      <c r="AS20" s="312" t="str">
        <f t="shared" si="6"/>
        <v xml:space="preserve"> </v>
      </c>
      <c r="AT20" s="312" t="str">
        <f t="shared" si="7"/>
        <v xml:space="preserve"> </v>
      </c>
      <c r="AU20" s="312" t="str">
        <f t="shared" si="8"/>
        <v xml:space="preserve"> </v>
      </c>
    </row>
    <row r="21" spans="1:58" s="312" customFormat="1" ht="12.75" customHeight="1">
      <c r="A21" s="469" t="s">
        <v>146</v>
      </c>
      <c r="B21" s="466" t="s">
        <v>161</v>
      </c>
      <c r="C21" s="329"/>
      <c r="D21" s="329"/>
      <c r="E21" s="329"/>
      <c r="F21" s="329"/>
      <c r="G21" s="329"/>
      <c r="H21" s="329"/>
      <c r="I21" s="329"/>
      <c r="J21" s="329"/>
      <c r="K21" s="330" t="str">
        <f t="shared" si="3"/>
        <v xml:space="preserve"> </v>
      </c>
      <c r="L21" s="331" t="str">
        <f t="shared" si="4"/>
        <v/>
      </c>
      <c r="M21" s="332"/>
      <c r="N21" s="329"/>
      <c r="O21" s="329"/>
      <c r="P21" s="329"/>
      <c r="Q21" s="333"/>
      <c r="R21" s="332"/>
      <c r="S21" s="334"/>
      <c r="T21" s="334"/>
      <c r="U21" s="335"/>
      <c r="V21" s="335"/>
      <c r="W21" s="335"/>
      <c r="X21" s="335"/>
      <c r="Y21" s="335"/>
      <c r="Z21" s="336"/>
      <c r="AA21" s="367"/>
      <c r="AB21" s="368"/>
      <c r="AC21" s="368"/>
      <c r="AD21" s="368"/>
      <c r="AE21" s="368"/>
      <c r="AF21" s="368"/>
      <c r="AG21" s="368"/>
      <c r="AH21" s="368"/>
      <c r="AI21" s="369" t="str">
        <f t="shared" si="1"/>
        <v/>
      </c>
      <c r="AJ21" s="470" t="str">
        <f t="shared" si="2"/>
        <v/>
      </c>
      <c r="AK21" s="340"/>
      <c r="AL21" s="340"/>
      <c r="AM21" s="340"/>
      <c r="AN21" s="340"/>
      <c r="AO21" s="340"/>
      <c r="AP21" s="340"/>
      <c r="AR21" s="312" t="str">
        <f t="shared" si="5"/>
        <v xml:space="preserve"> </v>
      </c>
      <c r="AS21" s="312" t="str">
        <f t="shared" si="6"/>
        <v xml:space="preserve"> </v>
      </c>
      <c r="AT21" s="312" t="str">
        <f t="shared" si="7"/>
        <v xml:space="preserve"> </v>
      </c>
      <c r="AU21" s="312" t="str">
        <f t="shared" si="8"/>
        <v xml:space="preserve"> </v>
      </c>
    </row>
    <row r="22" spans="1:58" s="312" customFormat="1" ht="12.75" customHeight="1">
      <c r="A22" s="469" t="s">
        <v>144</v>
      </c>
      <c r="B22" s="466" t="s">
        <v>204</v>
      </c>
      <c r="C22" s="329"/>
      <c r="D22" s="329"/>
      <c r="E22" s="329"/>
      <c r="F22" s="329"/>
      <c r="G22" s="329"/>
      <c r="H22" s="329"/>
      <c r="I22" s="329"/>
      <c r="J22" s="329"/>
      <c r="K22" s="330" t="str">
        <f t="shared" si="3"/>
        <v xml:space="preserve"> </v>
      </c>
      <c r="L22" s="331" t="str">
        <f t="shared" si="4"/>
        <v/>
      </c>
      <c r="M22" s="332"/>
      <c r="N22" s="329"/>
      <c r="O22" s="329"/>
      <c r="P22" s="329"/>
      <c r="Q22" s="333"/>
      <c r="R22" s="332"/>
      <c r="S22" s="334"/>
      <c r="T22" s="334"/>
      <c r="U22" s="335"/>
      <c r="V22" s="335"/>
      <c r="W22" s="335"/>
      <c r="X22" s="335"/>
      <c r="Y22" s="335"/>
      <c r="Z22" s="336"/>
      <c r="AA22" s="367"/>
      <c r="AB22" s="368"/>
      <c r="AC22" s="368"/>
      <c r="AD22" s="368"/>
      <c r="AE22" s="368"/>
      <c r="AF22" s="368"/>
      <c r="AG22" s="368"/>
      <c r="AH22" s="368"/>
      <c r="AI22" s="369" t="str">
        <f t="shared" si="1"/>
        <v/>
      </c>
      <c r="AJ22" s="470" t="str">
        <f t="shared" si="2"/>
        <v/>
      </c>
      <c r="AK22" s="340"/>
      <c r="AL22" s="340"/>
      <c r="AM22" s="340"/>
      <c r="AN22" s="340"/>
      <c r="AO22" s="340"/>
      <c r="AP22" s="340"/>
      <c r="AR22" s="312" t="str">
        <f t="shared" si="5"/>
        <v xml:space="preserve"> </v>
      </c>
      <c r="AS22" s="312" t="str">
        <f t="shared" si="6"/>
        <v xml:space="preserve"> </v>
      </c>
      <c r="AT22" s="312" t="str">
        <f t="shared" si="7"/>
        <v xml:space="preserve"> </v>
      </c>
      <c r="AU22" s="312" t="str">
        <f t="shared" si="8"/>
        <v xml:space="preserve"> </v>
      </c>
    </row>
    <row r="23" spans="1:58" s="312" customFormat="1" ht="12.75" customHeight="1">
      <c r="A23" s="469" t="s">
        <v>147</v>
      </c>
      <c r="B23" s="466" t="s">
        <v>162</v>
      </c>
      <c r="C23" s="329"/>
      <c r="D23" s="329"/>
      <c r="E23" s="329"/>
      <c r="F23" s="329"/>
      <c r="G23" s="329"/>
      <c r="H23" s="329"/>
      <c r="I23" s="329"/>
      <c r="J23" s="329"/>
      <c r="K23" s="330" t="str">
        <f t="shared" si="3"/>
        <v xml:space="preserve"> </v>
      </c>
      <c r="L23" s="331" t="str">
        <f t="shared" si="4"/>
        <v/>
      </c>
      <c r="M23" s="332"/>
      <c r="N23" s="329"/>
      <c r="O23" s="329"/>
      <c r="P23" s="329"/>
      <c r="Q23" s="333"/>
      <c r="R23" s="332"/>
      <c r="S23" s="334"/>
      <c r="T23" s="334"/>
      <c r="U23" s="335"/>
      <c r="V23" s="335"/>
      <c r="W23" s="335"/>
      <c r="X23" s="335"/>
      <c r="Y23" s="335"/>
      <c r="Z23" s="336"/>
      <c r="AA23" s="367"/>
      <c r="AB23" s="368"/>
      <c r="AC23" s="368"/>
      <c r="AD23" s="368"/>
      <c r="AE23" s="368"/>
      <c r="AF23" s="368"/>
      <c r="AG23" s="368"/>
      <c r="AH23" s="368"/>
      <c r="AI23" s="369" t="str">
        <f t="shared" si="1"/>
        <v/>
      </c>
      <c r="AJ23" s="470" t="str">
        <f t="shared" si="2"/>
        <v/>
      </c>
      <c r="AK23" s="340"/>
      <c r="AL23" s="340"/>
      <c r="AM23" s="340"/>
      <c r="AN23" s="340"/>
      <c r="AO23" s="340"/>
      <c r="AP23" s="340"/>
      <c r="AR23" s="312" t="str">
        <f t="shared" si="5"/>
        <v xml:space="preserve"> </v>
      </c>
      <c r="AS23" s="312" t="str">
        <f t="shared" si="6"/>
        <v xml:space="preserve"> </v>
      </c>
      <c r="AT23" s="312" t="str">
        <f t="shared" si="7"/>
        <v xml:space="preserve"> </v>
      </c>
      <c r="AU23" s="312" t="str">
        <f t="shared" si="8"/>
        <v xml:space="preserve"> </v>
      </c>
    </row>
    <row r="24" spans="1:58" s="312" customFormat="1" ht="12.75" customHeight="1">
      <c r="A24" s="469" t="s">
        <v>191</v>
      </c>
      <c r="B24" s="466" t="s">
        <v>190</v>
      </c>
      <c r="C24" s="329"/>
      <c r="D24" s="329"/>
      <c r="E24" s="329"/>
      <c r="F24" s="329"/>
      <c r="G24" s="329"/>
      <c r="H24" s="329"/>
      <c r="I24" s="329"/>
      <c r="J24" s="329"/>
      <c r="K24" s="330" t="str">
        <f t="shared" si="3"/>
        <v xml:space="preserve"> </v>
      </c>
      <c r="L24" s="331" t="str">
        <f t="shared" si="4"/>
        <v/>
      </c>
      <c r="M24" s="332"/>
      <c r="N24" s="329"/>
      <c r="O24" s="329"/>
      <c r="P24" s="329"/>
      <c r="Q24" s="333"/>
      <c r="R24" s="332"/>
      <c r="S24" s="334"/>
      <c r="T24" s="334"/>
      <c r="U24" s="335"/>
      <c r="V24" s="335"/>
      <c r="W24" s="335"/>
      <c r="X24" s="335"/>
      <c r="Y24" s="335"/>
      <c r="Z24" s="336"/>
      <c r="AA24" s="367"/>
      <c r="AB24" s="368"/>
      <c r="AC24" s="368"/>
      <c r="AD24" s="368"/>
      <c r="AE24" s="368"/>
      <c r="AF24" s="368"/>
      <c r="AG24" s="368"/>
      <c r="AH24" s="368"/>
      <c r="AI24" s="369" t="str">
        <f t="shared" si="1"/>
        <v/>
      </c>
      <c r="AJ24" s="470" t="str">
        <f t="shared" si="2"/>
        <v/>
      </c>
      <c r="AK24" s="340"/>
      <c r="AL24" s="340"/>
      <c r="AM24" s="340"/>
      <c r="AN24" s="340"/>
      <c r="AO24" s="340"/>
      <c r="AP24" s="340"/>
      <c r="AR24" s="312" t="str">
        <f t="shared" si="5"/>
        <v xml:space="preserve"> </v>
      </c>
      <c r="AS24" s="312" t="str">
        <f t="shared" si="6"/>
        <v xml:space="preserve"> </v>
      </c>
      <c r="AT24" s="312" t="str">
        <f t="shared" si="7"/>
        <v xml:space="preserve"> </v>
      </c>
      <c r="AU24" s="312" t="str">
        <f t="shared" si="8"/>
        <v xml:space="preserve"> </v>
      </c>
    </row>
    <row r="25" spans="1:58" s="312" customFormat="1" ht="12.75" customHeight="1">
      <c r="A25" s="472" t="s">
        <v>145</v>
      </c>
      <c r="B25" s="467" t="s">
        <v>160</v>
      </c>
      <c r="C25" s="329"/>
      <c r="D25" s="329"/>
      <c r="E25" s="329"/>
      <c r="F25" s="329"/>
      <c r="G25" s="329"/>
      <c r="H25" s="329"/>
      <c r="I25" s="329"/>
      <c r="J25" s="329"/>
      <c r="K25" s="330" t="str">
        <f t="shared" si="3"/>
        <v xml:space="preserve"> </v>
      </c>
      <c r="L25" s="331" t="str">
        <f t="shared" si="4"/>
        <v/>
      </c>
      <c r="M25" s="332"/>
      <c r="N25" s="329"/>
      <c r="O25" s="329"/>
      <c r="P25" s="329"/>
      <c r="Q25" s="333"/>
      <c r="R25" s="332"/>
      <c r="S25" s="334"/>
      <c r="T25" s="334"/>
      <c r="U25" s="335"/>
      <c r="V25" s="335"/>
      <c r="W25" s="335"/>
      <c r="X25" s="335"/>
      <c r="Y25" s="335"/>
      <c r="Z25" s="336"/>
      <c r="AA25" s="367"/>
      <c r="AB25" s="368"/>
      <c r="AC25" s="368"/>
      <c r="AD25" s="368"/>
      <c r="AE25" s="368"/>
      <c r="AF25" s="368"/>
      <c r="AG25" s="368"/>
      <c r="AH25" s="368"/>
      <c r="AI25" s="369" t="str">
        <f t="shared" si="1"/>
        <v/>
      </c>
      <c r="AJ25" s="470" t="str">
        <f t="shared" si="2"/>
        <v/>
      </c>
      <c r="AK25" s="340"/>
      <c r="AL25" s="340"/>
      <c r="AM25" s="340"/>
      <c r="AN25" s="340"/>
      <c r="AO25" s="340"/>
      <c r="AP25" s="340"/>
      <c r="AR25" s="312" t="str">
        <f t="shared" si="5"/>
        <v xml:space="preserve"> </v>
      </c>
      <c r="AS25" s="312" t="str">
        <f t="shared" si="6"/>
        <v xml:space="preserve"> </v>
      </c>
      <c r="AT25" s="312" t="str">
        <f t="shared" si="7"/>
        <v xml:space="preserve"> </v>
      </c>
      <c r="AU25" s="312" t="str">
        <f t="shared" si="8"/>
        <v xml:space="preserve"> </v>
      </c>
    </row>
    <row r="26" spans="1:58" s="312" customFormat="1" ht="9" customHeight="1" thickBot="1">
      <c r="A26" s="473"/>
      <c r="B26" s="474"/>
      <c r="C26" s="475"/>
      <c r="D26" s="475"/>
      <c r="E26" s="475"/>
      <c r="F26" s="475"/>
      <c r="G26" s="475"/>
      <c r="H26" s="475"/>
      <c r="I26" s="475"/>
      <c r="J26" s="475"/>
      <c r="K26" s="476" t="str">
        <f>IF(COUNT(AR26:AU26)&gt;0,AVERAGE(AR26:AU26)," ")</f>
        <v xml:space="preserve"> </v>
      </c>
      <c r="L26" s="477"/>
      <c r="M26" s="478"/>
      <c r="N26" s="479"/>
      <c r="O26" s="480"/>
      <c r="P26" s="480"/>
      <c r="Q26" s="481"/>
      <c r="R26" s="482"/>
      <c r="S26" s="483"/>
      <c r="T26" s="484"/>
      <c r="U26" s="484"/>
      <c r="V26" s="484"/>
      <c r="W26" s="484"/>
      <c r="X26" s="484"/>
      <c r="Y26" s="484"/>
      <c r="Z26" s="485"/>
      <c r="AA26" s="486"/>
      <c r="AB26" s="487"/>
      <c r="AC26" s="487"/>
      <c r="AD26" s="487"/>
      <c r="AE26" s="487"/>
      <c r="AF26" s="487"/>
      <c r="AG26" s="487"/>
      <c r="AH26" s="488"/>
      <c r="AI26" s="489"/>
      <c r="AJ26" s="490"/>
      <c r="AK26" s="358"/>
      <c r="AL26" s="358"/>
      <c r="AM26" s="358"/>
      <c r="AN26" s="358"/>
      <c r="AO26" s="358"/>
      <c r="AP26" s="358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8" s="312" customFormat="1" ht="6.75" customHeight="1" thickTop="1">
      <c r="A27" s="450"/>
      <c r="Q27" s="359"/>
    </row>
    <row r="28" spans="1:58" s="312" customFormat="1" ht="21" customHeight="1" thickBot="1">
      <c r="A28" s="451"/>
      <c r="B28" s="399"/>
      <c r="C28" s="399"/>
      <c r="D28" s="399"/>
      <c r="E28" s="399"/>
      <c r="Q28" s="359"/>
    </row>
    <row r="29" spans="1:58" s="312" customFormat="1" ht="12" thickTop="1">
      <c r="A29" s="502" t="s">
        <v>195</v>
      </c>
      <c r="B29" s="504" t="s">
        <v>196</v>
      </c>
      <c r="C29" s="494" t="s">
        <v>210</v>
      </c>
      <c r="D29" s="492"/>
      <c r="E29" s="492"/>
      <c r="F29" s="492"/>
      <c r="G29" s="492"/>
      <c r="H29" s="492"/>
      <c r="I29" s="492"/>
      <c r="J29" s="492"/>
      <c r="K29" s="494" t="s">
        <v>126</v>
      </c>
      <c r="L29" s="492"/>
      <c r="M29" s="492"/>
      <c r="N29" s="491" t="s">
        <v>211</v>
      </c>
      <c r="O29" s="492"/>
      <c r="P29" s="492"/>
      <c r="Q29" s="492"/>
      <c r="R29" s="492"/>
      <c r="S29" s="492"/>
      <c r="T29" s="492"/>
      <c r="U29" s="493"/>
      <c r="V29" s="491" t="s">
        <v>125</v>
      </c>
      <c r="W29" s="492"/>
      <c r="X29" s="492"/>
      <c r="Y29" s="492"/>
      <c r="Z29" s="492"/>
      <c r="AA29" s="492"/>
      <c r="AB29" s="492"/>
      <c r="AC29" s="493"/>
      <c r="AD29" s="362"/>
      <c r="AE29" s="362"/>
      <c r="AF29" s="362"/>
      <c r="AG29" s="362"/>
      <c r="AH29" s="362"/>
      <c r="AI29" s="362"/>
      <c r="AJ29" s="362"/>
      <c r="AK29" s="362"/>
      <c r="AL29" s="319"/>
      <c r="AM29" s="319"/>
      <c r="AN29" s="319"/>
      <c r="AO29" s="319"/>
      <c r="AP29" s="319"/>
      <c r="AQ29" s="319"/>
      <c r="AR29" s="319"/>
      <c r="AS29" s="319"/>
      <c r="AT29" s="319"/>
      <c r="AU29" s="319"/>
      <c r="AV29" s="319"/>
      <c r="AW29" s="319"/>
      <c r="AX29" s="319"/>
    </row>
    <row r="30" spans="1:58" s="312" customFormat="1" ht="12" thickBot="1">
      <c r="A30" s="503"/>
      <c r="B30" s="498"/>
      <c r="C30" s="364">
        <v>22</v>
      </c>
      <c r="D30" s="365">
        <v>1</v>
      </c>
      <c r="E30" s="365">
        <v>4</v>
      </c>
      <c r="F30" s="365">
        <v>7</v>
      </c>
      <c r="G30" s="365">
        <v>10</v>
      </c>
      <c r="H30" s="365">
        <v>13</v>
      </c>
      <c r="I30" s="365">
        <v>16</v>
      </c>
      <c r="J30" s="365">
        <v>19</v>
      </c>
      <c r="K30" s="365" t="s">
        <v>47</v>
      </c>
      <c r="L30" s="365" t="s">
        <v>47</v>
      </c>
      <c r="M30" s="366" t="s">
        <v>47</v>
      </c>
      <c r="N30" s="364">
        <v>22</v>
      </c>
      <c r="O30" s="365">
        <v>1</v>
      </c>
      <c r="P30" s="365">
        <v>4</v>
      </c>
      <c r="Q30" s="365">
        <v>7</v>
      </c>
      <c r="R30" s="365">
        <v>10</v>
      </c>
      <c r="S30" s="365">
        <v>13</v>
      </c>
      <c r="T30" s="365">
        <v>16</v>
      </c>
      <c r="U30" s="365">
        <v>19</v>
      </c>
      <c r="V30" s="365">
        <v>22</v>
      </c>
      <c r="W30" s="365">
        <v>1</v>
      </c>
      <c r="X30" s="365">
        <v>4</v>
      </c>
      <c r="Y30" s="365">
        <v>7</v>
      </c>
      <c r="Z30" s="365">
        <v>10</v>
      </c>
      <c r="AA30" s="365">
        <v>13</v>
      </c>
      <c r="AB30" s="365">
        <v>16</v>
      </c>
      <c r="AC30" s="366">
        <v>19</v>
      </c>
      <c r="AD30" s="319"/>
      <c r="AE30" s="319"/>
      <c r="AF30" s="319"/>
      <c r="AG30" s="319"/>
      <c r="AH30" s="319"/>
      <c r="AI30" s="319"/>
      <c r="AJ30" s="319"/>
      <c r="AK30" s="319"/>
      <c r="AL30" s="319"/>
      <c r="AM30" s="319"/>
      <c r="AN30" s="319"/>
      <c r="AO30" s="319"/>
      <c r="AP30" s="319"/>
      <c r="AQ30" s="319"/>
      <c r="AR30" s="319"/>
      <c r="AS30" s="319"/>
      <c r="AT30" s="319"/>
      <c r="AU30" s="319"/>
      <c r="AV30" s="319"/>
      <c r="AW30" s="319"/>
      <c r="AX30" s="319"/>
      <c r="AY30" s="319"/>
      <c r="AZ30" s="319"/>
      <c r="BA30" s="319"/>
      <c r="BB30" s="319"/>
      <c r="BC30" s="319"/>
      <c r="BD30" s="319"/>
      <c r="BE30" s="319"/>
      <c r="BF30" s="319"/>
    </row>
    <row r="31" spans="1:58" ht="13.5" thickTop="1">
      <c r="A31" s="401" t="s">
        <v>130</v>
      </c>
      <c r="B31" s="465" t="s">
        <v>197</v>
      </c>
      <c r="C31" s="367"/>
      <c r="D31" s="368"/>
      <c r="E31" s="368"/>
      <c r="F31" s="368"/>
      <c r="G31" s="368"/>
      <c r="H31" s="368"/>
      <c r="I31" s="368"/>
      <c r="J31" s="368"/>
      <c r="K31" s="329"/>
      <c r="L31" s="329"/>
      <c r="M31" s="371"/>
      <c r="N31" s="372"/>
      <c r="O31" s="372"/>
      <c r="P31" s="372"/>
      <c r="Q31" s="372"/>
      <c r="R31" s="372"/>
      <c r="S31" s="372"/>
      <c r="T31" s="372"/>
      <c r="U31" s="372"/>
      <c r="V31" s="373"/>
      <c r="W31" s="374"/>
      <c r="X31" s="374"/>
      <c r="Y31" s="374"/>
      <c r="Z31" s="374"/>
      <c r="AA31" s="374"/>
      <c r="AB31" s="374"/>
      <c r="AC31" s="375"/>
      <c r="AD31" s="376"/>
      <c r="AE31" s="376"/>
      <c r="AF31" s="376"/>
      <c r="AG31" s="376"/>
      <c r="AH31" s="376"/>
      <c r="AI31" s="376"/>
      <c r="AJ31" s="376"/>
      <c r="AK31" s="376"/>
      <c r="AL31" s="376"/>
      <c r="AM31" s="376"/>
      <c r="AN31" s="376"/>
      <c r="AO31" s="376"/>
      <c r="AP31" s="376"/>
      <c r="AQ31" s="377"/>
      <c r="AR31" s="376"/>
      <c r="AS31" s="376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</row>
    <row r="32" spans="1:58">
      <c r="A32" s="401" t="s">
        <v>129</v>
      </c>
      <c r="B32" s="466" t="s">
        <v>148</v>
      </c>
      <c r="C32" s="367"/>
      <c r="D32" s="368"/>
      <c r="E32" s="368"/>
      <c r="F32" s="368"/>
      <c r="G32" s="368"/>
      <c r="H32" s="368"/>
      <c r="I32" s="368"/>
      <c r="J32" s="368"/>
      <c r="K32" s="329"/>
      <c r="L32" s="329"/>
      <c r="M32" s="371"/>
      <c r="N32" s="372"/>
      <c r="O32" s="372"/>
      <c r="P32" s="372"/>
      <c r="Q32" s="372"/>
      <c r="R32" s="372"/>
      <c r="S32" s="372"/>
      <c r="T32" s="372"/>
      <c r="U32" s="372"/>
      <c r="V32" s="373"/>
      <c r="W32" s="374"/>
      <c r="X32" s="374"/>
      <c r="Y32" s="374"/>
      <c r="Z32" s="374"/>
      <c r="AA32" s="374"/>
      <c r="AB32" s="374"/>
      <c r="AC32" s="375"/>
      <c r="AD32" s="376"/>
      <c r="AE32" s="376"/>
      <c r="AF32" s="376"/>
      <c r="AG32" s="376"/>
      <c r="AH32" s="376"/>
      <c r="AI32" s="376"/>
      <c r="AJ32" s="376"/>
      <c r="AK32" s="376"/>
      <c r="AL32" s="376"/>
      <c r="AM32" s="376"/>
      <c r="AN32" s="376"/>
      <c r="AO32" s="376"/>
      <c r="AP32" s="376"/>
      <c r="AQ32" s="377"/>
      <c r="AR32" s="376"/>
      <c r="AS32" s="376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</row>
    <row r="33" spans="1:58">
      <c r="A33" s="402" t="s">
        <v>134</v>
      </c>
      <c r="B33" s="466" t="s">
        <v>152</v>
      </c>
      <c r="C33" s="367"/>
      <c r="D33" s="368"/>
      <c r="E33" s="368"/>
      <c r="F33" s="368"/>
      <c r="G33" s="368"/>
      <c r="H33" s="368"/>
      <c r="I33" s="368"/>
      <c r="J33" s="368"/>
      <c r="K33" s="329"/>
      <c r="L33" s="329"/>
      <c r="M33" s="371"/>
      <c r="N33" s="372"/>
      <c r="O33" s="372"/>
      <c r="P33" s="372"/>
      <c r="Q33" s="372"/>
      <c r="R33" s="372"/>
      <c r="S33" s="372"/>
      <c r="T33" s="372"/>
      <c r="U33" s="372"/>
      <c r="V33" s="373"/>
      <c r="W33" s="374"/>
      <c r="X33" s="374"/>
      <c r="Y33" s="374"/>
      <c r="Z33" s="374"/>
      <c r="AA33" s="374"/>
      <c r="AB33" s="374"/>
      <c r="AC33" s="375"/>
      <c r="AD33" s="376"/>
      <c r="AE33" s="376"/>
      <c r="AF33" s="376"/>
      <c r="AG33" s="376"/>
      <c r="AH33" s="376"/>
      <c r="AI33" s="376"/>
      <c r="AJ33" s="376"/>
      <c r="AK33" s="376"/>
      <c r="AL33" s="376"/>
      <c r="AM33" s="376"/>
      <c r="AN33" s="376"/>
      <c r="AO33" s="376"/>
      <c r="AP33" s="376"/>
      <c r="AQ33" s="377"/>
      <c r="AR33" s="376"/>
      <c r="AS33" s="376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</row>
    <row r="34" spans="1:58">
      <c r="A34" s="401" t="s">
        <v>133</v>
      </c>
      <c r="B34" s="466" t="s">
        <v>151</v>
      </c>
      <c r="C34" s="367"/>
      <c r="D34" s="368"/>
      <c r="E34" s="368"/>
      <c r="F34" s="368"/>
      <c r="G34" s="368"/>
      <c r="H34" s="368"/>
      <c r="I34" s="368"/>
      <c r="J34" s="368"/>
      <c r="K34" s="329"/>
      <c r="L34" s="329"/>
      <c r="M34" s="371"/>
      <c r="N34" s="372"/>
      <c r="O34" s="372"/>
      <c r="P34" s="372"/>
      <c r="Q34" s="372"/>
      <c r="R34" s="372"/>
      <c r="S34" s="372"/>
      <c r="T34" s="372"/>
      <c r="U34" s="372"/>
      <c r="V34" s="373"/>
      <c r="W34" s="374"/>
      <c r="X34" s="374"/>
      <c r="Y34" s="374"/>
      <c r="Z34" s="374"/>
      <c r="AA34" s="374"/>
      <c r="AB34" s="374"/>
      <c r="AC34" s="375"/>
      <c r="AD34" s="376"/>
      <c r="AE34" s="376"/>
      <c r="AF34" s="376"/>
      <c r="AG34" s="376"/>
      <c r="AH34" s="376"/>
      <c r="AI34" s="376"/>
      <c r="AJ34" s="376"/>
      <c r="AK34" s="376"/>
      <c r="AL34" s="376"/>
      <c r="AM34" s="376"/>
      <c r="AN34" s="379"/>
      <c r="AO34" s="376"/>
      <c r="AP34" s="376"/>
      <c r="AQ34" s="377"/>
      <c r="AR34" s="376"/>
      <c r="AS34" s="376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</row>
    <row r="35" spans="1:58">
      <c r="A35" s="401" t="s">
        <v>198</v>
      </c>
      <c r="B35" s="466" t="s">
        <v>199</v>
      </c>
      <c r="C35" s="367"/>
      <c r="D35" s="368"/>
      <c r="E35" s="368"/>
      <c r="F35" s="368"/>
      <c r="G35" s="368"/>
      <c r="H35" s="368"/>
      <c r="I35" s="368"/>
      <c r="J35" s="368"/>
      <c r="K35" s="329"/>
      <c r="L35" s="329"/>
      <c r="M35" s="371"/>
      <c r="N35" s="372"/>
      <c r="O35" s="372"/>
      <c r="P35" s="372"/>
      <c r="Q35" s="372"/>
      <c r="R35" s="372"/>
      <c r="S35" s="372"/>
      <c r="T35" s="372"/>
      <c r="U35" s="372"/>
      <c r="V35" s="373"/>
      <c r="W35" s="374"/>
      <c r="X35" s="374"/>
      <c r="Y35" s="374"/>
      <c r="Z35" s="374"/>
      <c r="AA35" s="374"/>
      <c r="AB35" s="374"/>
      <c r="AC35" s="375"/>
      <c r="AD35" s="376"/>
      <c r="AE35" s="376"/>
      <c r="AF35" s="376"/>
      <c r="AG35" s="376"/>
      <c r="AH35" s="376"/>
      <c r="AI35" s="376"/>
      <c r="AJ35" s="376"/>
      <c r="AK35" s="376"/>
      <c r="AL35" s="376"/>
      <c r="AM35" s="376"/>
      <c r="AN35" s="376"/>
      <c r="AO35" s="376"/>
      <c r="AP35" s="376"/>
      <c r="AQ35" s="377"/>
      <c r="AR35" s="376"/>
      <c r="AS35" s="376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</row>
    <row r="36" spans="1:58">
      <c r="A36" s="401" t="s">
        <v>131</v>
      </c>
      <c r="B36" s="466" t="s">
        <v>149</v>
      </c>
      <c r="C36" s="367"/>
      <c r="D36" s="368"/>
      <c r="E36" s="368"/>
      <c r="F36" s="368"/>
      <c r="G36" s="368"/>
      <c r="H36" s="368"/>
      <c r="I36" s="368"/>
      <c r="J36" s="368"/>
      <c r="K36" s="329"/>
      <c r="L36" s="329"/>
      <c r="M36" s="371"/>
      <c r="N36" s="372"/>
      <c r="O36" s="372"/>
      <c r="P36" s="372"/>
      <c r="Q36" s="372"/>
      <c r="R36" s="372"/>
      <c r="S36" s="372"/>
      <c r="T36" s="372"/>
      <c r="U36" s="372"/>
      <c r="V36" s="373"/>
      <c r="W36" s="374"/>
      <c r="X36" s="374"/>
      <c r="Y36" s="374"/>
      <c r="Z36" s="374"/>
      <c r="AA36" s="374"/>
      <c r="AB36" s="374"/>
      <c r="AC36" s="375"/>
      <c r="AD36" s="376"/>
      <c r="AE36" s="376"/>
      <c r="AF36" s="376"/>
      <c r="AG36" s="376"/>
      <c r="AH36" s="376"/>
      <c r="AI36" s="376"/>
      <c r="AJ36" s="376"/>
      <c r="AK36" s="376"/>
      <c r="AL36" s="376"/>
      <c r="AM36" s="376"/>
      <c r="AN36" s="376"/>
      <c r="AO36" s="376"/>
      <c r="AP36" s="376"/>
      <c r="AQ36" s="377"/>
      <c r="AR36" s="376"/>
      <c r="AS36" s="376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</row>
    <row r="37" spans="1:58">
      <c r="A37" s="401" t="s">
        <v>132</v>
      </c>
      <c r="B37" s="466" t="s">
        <v>150</v>
      </c>
      <c r="C37" s="367"/>
      <c r="D37" s="368"/>
      <c r="E37" s="368"/>
      <c r="F37" s="368"/>
      <c r="G37" s="368"/>
      <c r="H37" s="368"/>
      <c r="I37" s="368"/>
      <c r="J37" s="368"/>
      <c r="K37" s="329"/>
      <c r="L37" s="329"/>
      <c r="M37" s="371"/>
      <c r="N37" s="372"/>
      <c r="O37" s="372"/>
      <c r="P37" s="372"/>
      <c r="Q37" s="372"/>
      <c r="R37" s="372"/>
      <c r="S37" s="372"/>
      <c r="T37" s="372"/>
      <c r="U37" s="372"/>
      <c r="V37" s="373"/>
      <c r="W37" s="374"/>
      <c r="X37" s="374"/>
      <c r="Y37" s="374"/>
      <c r="Z37" s="374"/>
      <c r="AA37" s="374"/>
      <c r="AB37" s="374"/>
      <c r="AC37" s="375"/>
      <c r="AD37" s="376"/>
      <c r="AE37" s="376"/>
      <c r="AF37" s="376"/>
      <c r="AG37" s="376"/>
      <c r="AH37" s="376"/>
      <c r="AI37" s="376"/>
      <c r="AJ37" s="376"/>
      <c r="AK37" s="376"/>
      <c r="AL37" s="376"/>
      <c r="AM37" s="376"/>
      <c r="AN37" s="376"/>
      <c r="AO37" s="376"/>
      <c r="AP37" s="376"/>
      <c r="AQ37" s="377"/>
      <c r="AR37" s="376"/>
      <c r="AS37" s="376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</row>
    <row r="38" spans="1:58">
      <c r="A38" s="401" t="s">
        <v>192</v>
      </c>
      <c r="B38" s="466" t="s">
        <v>189</v>
      </c>
      <c r="C38" s="367"/>
      <c r="D38" s="368"/>
      <c r="E38" s="368"/>
      <c r="F38" s="368"/>
      <c r="G38" s="368"/>
      <c r="H38" s="368"/>
      <c r="I38" s="368"/>
      <c r="J38" s="368"/>
      <c r="K38" s="329"/>
      <c r="L38" s="329"/>
      <c r="M38" s="371"/>
      <c r="N38" s="372"/>
      <c r="O38" s="372"/>
      <c r="P38" s="372"/>
      <c r="Q38" s="372"/>
      <c r="R38" s="372"/>
      <c r="S38" s="372"/>
      <c r="T38" s="372"/>
      <c r="U38" s="372"/>
      <c r="V38" s="373"/>
      <c r="W38" s="374"/>
      <c r="X38" s="374"/>
      <c r="Y38" s="374"/>
      <c r="Z38" s="374"/>
      <c r="AA38" s="374"/>
      <c r="AB38" s="374"/>
      <c r="AC38" s="375"/>
      <c r="AD38" s="376"/>
      <c r="AE38" s="376"/>
      <c r="AF38" s="376"/>
      <c r="AG38" s="376"/>
      <c r="AH38" s="376"/>
      <c r="AI38" s="376"/>
      <c r="AJ38" s="376"/>
      <c r="AK38" s="376"/>
      <c r="AL38" s="376"/>
      <c r="AM38" s="376"/>
      <c r="AN38" s="376"/>
      <c r="AO38" s="376"/>
      <c r="AP38" s="376"/>
      <c r="AQ38" s="377"/>
      <c r="AR38" s="376"/>
      <c r="AS38" s="376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</row>
    <row r="39" spans="1:58">
      <c r="A39" s="401" t="s">
        <v>200</v>
      </c>
      <c r="B39" s="466" t="s">
        <v>155</v>
      </c>
      <c r="C39" s="367"/>
      <c r="D39" s="368"/>
      <c r="E39" s="368"/>
      <c r="F39" s="368"/>
      <c r="G39" s="368"/>
      <c r="H39" s="368"/>
      <c r="I39" s="368"/>
      <c r="J39" s="368"/>
      <c r="K39" s="329"/>
      <c r="L39" s="329"/>
      <c r="M39" s="371"/>
      <c r="N39" s="372"/>
      <c r="O39" s="372"/>
      <c r="P39" s="372"/>
      <c r="Q39" s="372"/>
      <c r="R39" s="372"/>
      <c r="S39" s="372"/>
      <c r="T39" s="372"/>
      <c r="U39" s="372"/>
      <c r="V39" s="373"/>
      <c r="W39" s="374"/>
      <c r="X39" s="374"/>
      <c r="Y39" s="374"/>
      <c r="Z39" s="374"/>
      <c r="AA39" s="374"/>
      <c r="AB39" s="374"/>
      <c r="AC39" s="375"/>
      <c r="AD39" s="376"/>
      <c r="AE39" s="376"/>
      <c r="AF39" s="376"/>
      <c r="AG39" s="376"/>
      <c r="AH39" s="376"/>
      <c r="AI39" s="376"/>
      <c r="AJ39" s="376"/>
      <c r="AK39" s="376"/>
      <c r="AL39" s="376"/>
      <c r="AM39" s="376"/>
      <c r="AN39" s="376"/>
      <c r="AO39" s="376"/>
      <c r="AP39" s="376"/>
      <c r="AQ39" s="377"/>
      <c r="AR39" s="376"/>
      <c r="AS39" s="376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</row>
    <row r="40" spans="1:58">
      <c r="A40" s="401" t="s">
        <v>143</v>
      </c>
      <c r="B40" s="466" t="s">
        <v>201</v>
      </c>
      <c r="C40" s="367"/>
      <c r="D40" s="368"/>
      <c r="E40" s="368"/>
      <c r="F40" s="368"/>
      <c r="G40" s="368"/>
      <c r="H40" s="368"/>
      <c r="I40" s="368"/>
      <c r="J40" s="368"/>
      <c r="K40" s="329"/>
      <c r="L40" s="329"/>
      <c r="M40" s="371"/>
      <c r="N40" s="372"/>
      <c r="O40" s="372"/>
      <c r="P40" s="372"/>
      <c r="Q40" s="372"/>
      <c r="R40" s="372"/>
      <c r="S40" s="372"/>
      <c r="T40" s="372"/>
      <c r="U40" s="372"/>
      <c r="V40" s="373"/>
      <c r="W40" s="374"/>
      <c r="X40" s="374"/>
      <c r="Y40" s="374"/>
      <c r="Z40" s="374"/>
      <c r="AA40" s="374"/>
      <c r="AB40" s="374"/>
      <c r="AC40" s="375"/>
      <c r="AD40" s="376"/>
      <c r="AE40" s="376"/>
      <c r="AF40" s="376"/>
      <c r="AG40" s="376"/>
      <c r="AH40" s="376"/>
      <c r="AI40" s="376"/>
      <c r="AJ40" s="376"/>
      <c r="AK40" s="376"/>
      <c r="AL40" s="376"/>
      <c r="AM40" s="376"/>
      <c r="AN40" s="376"/>
      <c r="AO40" s="376"/>
      <c r="AP40" s="376"/>
      <c r="AQ40" s="377"/>
      <c r="AR40" s="376"/>
      <c r="AS40" s="376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</row>
    <row r="41" spans="1:58">
      <c r="A41" s="402" t="s">
        <v>202</v>
      </c>
      <c r="B41" s="466" t="s">
        <v>156</v>
      </c>
      <c r="C41" s="367"/>
      <c r="D41" s="368"/>
      <c r="E41" s="368"/>
      <c r="F41" s="368"/>
      <c r="G41" s="368"/>
      <c r="H41" s="368"/>
      <c r="I41" s="368"/>
      <c r="J41" s="368"/>
      <c r="K41" s="329"/>
      <c r="L41" s="329"/>
      <c r="M41" s="371"/>
      <c r="N41" s="372"/>
      <c r="O41" s="372"/>
      <c r="P41" s="372"/>
      <c r="Q41" s="372"/>
      <c r="R41" s="372"/>
      <c r="S41" s="372"/>
      <c r="T41" s="372"/>
      <c r="U41" s="372"/>
      <c r="V41" s="373"/>
      <c r="W41" s="374"/>
      <c r="X41" s="374"/>
      <c r="Y41" s="374"/>
      <c r="Z41" s="374"/>
      <c r="AA41" s="374"/>
      <c r="AB41" s="374"/>
      <c r="AC41" s="375"/>
      <c r="AD41" s="376"/>
      <c r="AE41" s="376"/>
      <c r="AF41" s="376"/>
      <c r="AG41" s="376"/>
      <c r="AH41" s="376"/>
      <c r="AI41" s="376"/>
      <c r="AJ41" s="376"/>
      <c r="AK41" s="376"/>
      <c r="AL41" s="376"/>
      <c r="AM41" s="376"/>
      <c r="AN41" s="376"/>
      <c r="AO41" s="376"/>
      <c r="AP41" s="376"/>
      <c r="AQ41" s="377"/>
      <c r="AR41" s="376"/>
      <c r="AS41" s="376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</row>
    <row r="42" spans="1:58">
      <c r="A42" s="401" t="s">
        <v>137</v>
      </c>
      <c r="B42" s="466" t="s">
        <v>154</v>
      </c>
      <c r="C42" s="367"/>
      <c r="D42" s="368"/>
      <c r="E42" s="368"/>
      <c r="F42" s="368"/>
      <c r="G42" s="368"/>
      <c r="H42" s="368"/>
      <c r="I42" s="368"/>
      <c r="J42" s="368"/>
      <c r="K42" s="329"/>
      <c r="L42" s="329"/>
      <c r="M42" s="371"/>
      <c r="N42" s="372"/>
      <c r="O42" s="372"/>
      <c r="P42" s="372"/>
      <c r="Q42" s="372"/>
      <c r="R42" s="372"/>
      <c r="S42" s="372"/>
      <c r="T42" s="372"/>
      <c r="U42" s="372"/>
      <c r="V42" s="373"/>
      <c r="W42" s="374"/>
      <c r="X42" s="374"/>
      <c r="Y42" s="374"/>
      <c r="Z42" s="374"/>
      <c r="AA42" s="374"/>
      <c r="AB42" s="374"/>
      <c r="AC42" s="375"/>
      <c r="AD42" s="376"/>
      <c r="AE42" s="376"/>
      <c r="AF42" s="376"/>
      <c r="AG42" s="376"/>
      <c r="AH42" s="376"/>
      <c r="AI42" s="376"/>
      <c r="AJ42" s="376"/>
      <c r="AK42" s="376"/>
      <c r="AL42" s="376"/>
      <c r="AM42" s="376"/>
      <c r="AN42" s="376"/>
      <c r="AO42" s="376"/>
      <c r="AP42" s="376"/>
      <c r="AQ42" s="377"/>
      <c r="AR42" s="376"/>
      <c r="AS42" s="376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</row>
    <row r="43" spans="1:58">
      <c r="A43" s="402" t="s">
        <v>141</v>
      </c>
      <c r="B43" s="466" t="s">
        <v>158</v>
      </c>
      <c r="C43" s="367"/>
      <c r="D43" s="368"/>
      <c r="E43" s="368"/>
      <c r="F43" s="368"/>
      <c r="G43" s="368"/>
      <c r="H43" s="368"/>
      <c r="I43" s="368"/>
      <c r="J43" s="368"/>
      <c r="K43" s="329"/>
      <c r="L43" s="329"/>
      <c r="M43" s="371"/>
      <c r="N43" s="372"/>
      <c r="O43" s="372"/>
      <c r="P43" s="372"/>
      <c r="Q43" s="372"/>
      <c r="R43" s="372"/>
      <c r="S43" s="372"/>
      <c r="T43" s="372"/>
      <c r="U43" s="372"/>
      <c r="V43" s="373"/>
      <c r="W43" s="374"/>
      <c r="X43" s="374"/>
      <c r="Y43" s="374"/>
      <c r="Z43" s="374"/>
      <c r="AA43" s="374"/>
      <c r="AB43" s="374"/>
      <c r="AC43" s="375"/>
      <c r="AD43" s="376"/>
      <c r="AE43" s="376"/>
      <c r="AF43" s="376"/>
      <c r="AG43" s="376"/>
      <c r="AH43" s="376"/>
      <c r="AI43" s="376"/>
      <c r="AJ43" s="376"/>
      <c r="AK43" s="376"/>
      <c r="AL43" s="376"/>
      <c r="AM43" s="376"/>
      <c r="AN43" s="376"/>
      <c r="AO43" s="376"/>
      <c r="AP43" s="376"/>
      <c r="AQ43" s="377"/>
      <c r="AR43" s="376"/>
      <c r="AS43" s="376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</row>
    <row r="44" spans="1:58">
      <c r="A44" s="401" t="s">
        <v>140</v>
      </c>
      <c r="B44" s="466" t="s">
        <v>157</v>
      </c>
      <c r="C44" s="367"/>
      <c r="D44" s="368"/>
      <c r="E44" s="368"/>
      <c r="F44" s="368"/>
      <c r="G44" s="368"/>
      <c r="H44" s="368"/>
      <c r="I44" s="368"/>
      <c r="J44" s="368"/>
      <c r="K44" s="329"/>
      <c r="L44" s="329"/>
      <c r="M44" s="371"/>
      <c r="N44" s="372"/>
      <c r="O44" s="372"/>
      <c r="P44" s="372"/>
      <c r="Q44" s="372"/>
      <c r="R44" s="372"/>
      <c r="S44" s="372"/>
      <c r="T44" s="372"/>
      <c r="U44" s="372"/>
      <c r="V44" s="373"/>
      <c r="W44" s="374"/>
      <c r="X44" s="374"/>
      <c r="Y44" s="374"/>
      <c r="Z44" s="374"/>
      <c r="AA44" s="374"/>
      <c r="AB44" s="374"/>
      <c r="AC44" s="375"/>
      <c r="AD44" s="376"/>
      <c r="AE44" s="376"/>
      <c r="AF44" s="376"/>
      <c r="AG44" s="376"/>
      <c r="AH44" s="376"/>
      <c r="AI44" s="376"/>
      <c r="AJ44" s="376"/>
      <c r="AK44" s="376"/>
      <c r="AL44" s="376"/>
      <c r="AM44" s="376"/>
      <c r="AN44" s="376"/>
      <c r="AO44" s="376"/>
      <c r="AP44" s="376"/>
      <c r="AQ44" s="377"/>
      <c r="AR44" s="376"/>
      <c r="AS44" s="376"/>
      <c r="AT44" s="377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</row>
    <row r="45" spans="1:58">
      <c r="A45" s="402" t="s">
        <v>136</v>
      </c>
      <c r="B45" s="466" t="s">
        <v>153</v>
      </c>
      <c r="C45" s="367"/>
      <c r="D45" s="368"/>
      <c r="E45" s="368"/>
      <c r="F45" s="368"/>
      <c r="G45" s="368"/>
      <c r="H45" s="368"/>
      <c r="I45" s="368"/>
      <c r="J45" s="368"/>
      <c r="K45" s="329"/>
      <c r="L45" s="329"/>
      <c r="M45" s="371"/>
      <c r="N45" s="372"/>
      <c r="O45" s="372"/>
      <c r="P45" s="372"/>
      <c r="Q45" s="372"/>
      <c r="R45" s="372"/>
      <c r="S45" s="372"/>
      <c r="T45" s="372"/>
      <c r="U45" s="372"/>
      <c r="V45" s="373"/>
      <c r="W45" s="374"/>
      <c r="X45" s="374"/>
      <c r="Y45" s="374"/>
      <c r="Z45" s="374"/>
      <c r="AA45" s="374"/>
      <c r="AB45" s="374"/>
      <c r="AC45" s="375"/>
      <c r="AD45" s="376"/>
      <c r="AE45" s="376"/>
      <c r="AF45" s="376"/>
      <c r="AG45" s="376"/>
      <c r="AH45" s="376"/>
      <c r="AI45" s="376"/>
      <c r="AJ45" s="376"/>
      <c r="AK45" s="376"/>
      <c r="AL45" s="376"/>
      <c r="AM45" s="376"/>
      <c r="AN45" s="376"/>
      <c r="AO45" s="376"/>
      <c r="AP45" s="376"/>
      <c r="AQ45" s="377"/>
      <c r="AR45" s="376"/>
      <c r="AS45" s="376"/>
      <c r="AT45" s="377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</row>
    <row r="46" spans="1:58">
      <c r="A46" s="401" t="s">
        <v>142</v>
      </c>
      <c r="B46" s="466" t="s">
        <v>159</v>
      </c>
      <c r="C46" s="367"/>
      <c r="D46" s="368"/>
      <c r="E46" s="368"/>
      <c r="F46" s="368"/>
      <c r="G46" s="368"/>
      <c r="H46" s="368"/>
      <c r="I46" s="368"/>
      <c r="J46" s="368"/>
      <c r="K46" s="329"/>
      <c r="L46" s="329"/>
      <c r="M46" s="371"/>
      <c r="N46" s="372"/>
      <c r="O46" s="372"/>
      <c r="P46" s="372"/>
      <c r="Q46" s="372"/>
      <c r="R46" s="372"/>
      <c r="S46" s="372"/>
      <c r="T46" s="372"/>
      <c r="U46" s="372"/>
      <c r="V46" s="373"/>
      <c r="W46" s="374"/>
      <c r="X46" s="374"/>
      <c r="Y46" s="374"/>
      <c r="Z46" s="374"/>
      <c r="AA46" s="374"/>
      <c r="AB46" s="374"/>
      <c r="AC46" s="375"/>
      <c r="AD46" s="376"/>
      <c r="AE46" s="376"/>
      <c r="AF46" s="376"/>
      <c r="AG46" s="376"/>
      <c r="AH46" s="376"/>
      <c r="AI46" s="376"/>
      <c r="AJ46" s="376"/>
      <c r="AK46" s="376"/>
      <c r="AL46" s="376"/>
      <c r="AM46" s="376"/>
      <c r="AN46" s="376"/>
      <c r="AO46" s="376"/>
      <c r="AP46" s="376"/>
      <c r="AQ46" s="377"/>
      <c r="AR46" s="376"/>
      <c r="AS46" s="376"/>
      <c r="AT46" s="377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</row>
    <row r="47" spans="1:58">
      <c r="A47" s="401" t="s">
        <v>135</v>
      </c>
      <c r="B47" s="466" t="s">
        <v>203</v>
      </c>
      <c r="C47" s="367"/>
      <c r="D47" s="368"/>
      <c r="E47" s="368"/>
      <c r="F47" s="368"/>
      <c r="G47" s="368"/>
      <c r="H47" s="368"/>
      <c r="I47" s="368"/>
      <c r="J47" s="368"/>
      <c r="K47" s="329"/>
      <c r="L47" s="329"/>
      <c r="M47" s="371"/>
      <c r="N47" s="372"/>
      <c r="O47" s="372"/>
      <c r="P47" s="372"/>
      <c r="Q47" s="372"/>
      <c r="R47" s="372"/>
      <c r="S47" s="372"/>
      <c r="T47" s="372"/>
      <c r="U47" s="372"/>
      <c r="V47" s="373"/>
      <c r="W47" s="374"/>
      <c r="X47" s="374"/>
      <c r="Y47" s="374"/>
      <c r="Z47" s="374"/>
      <c r="AA47" s="374"/>
      <c r="AB47" s="374"/>
      <c r="AC47" s="375"/>
      <c r="AD47" s="376"/>
      <c r="AE47" s="376"/>
      <c r="AF47" s="376"/>
      <c r="AG47" s="376"/>
      <c r="AH47" s="376"/>
      <c r="AI47" s="376"/>
      <c r="AJ47" s="376"/>
      <c r="AK47" s="376"/>
      <c r="AL47" s="376"/>
      <c r="AM47" s="376"/>
      <c r="AN47" s="376"/>
      <c r="AO47" s="376"/>
      <c r="AP47" s="376"/>
      <c r="AQ47" s="377"/>
      <c r="AR47" s="376"/>
      <c r="AS47" s="376"/>
      <c r="AT47" s="377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</row>
    <row r="48" spans="1:58">
      <c r="A48" s="401" t="s">
        <v>146</v>
      </c>
      <c r="B48" s="466" t="s">
        <v>161</v>
      </c>
      <c r="C48" s="367"/>
      <c r="D48" s="368"/>
      <c r="E48" s="368"/>
      <c r="F48" s="368"/>
      <c r="G48" s="368"/>
      <c r="H48" s="368"/>
      <c r="I48" s="368"/>
      <c r="J48" s="368"/>
      <c r="K48" s="329"/>
      <c r="L48" s="329"/>
      <c r="M48" s="371"/>
      <c r="N48" s="372"/>
      <c r="O48" s="372"/>
      <c r="P48" s="372"/>
      <c r="Q48" s="372"/>
      <c r="R48" s="372"/>
      <c r="S48" s="372"/>
      <c r="T48" s="372"/>
      <c r="U48" s="372"/>
      <c r="V48" s="373"/>
      <c r="W48" s="374"/>
      <c r="X48" s="374"/>
      <c r="Y48" s="374"/>
      <c r="Z48" s="374"/>
      <c r="AA48" s="374"/>
      <c r="AB48" s="374"/>
      <c r="AC48" s="375"/>
      <c r="AD48" s="376"/>
      <c r="AE48" s="376"/>
      <c r="AF48" s="376"/>
      <c r="AG48" s="376"/>
      <c r="AH48" s="376"/>
      <c r="AI48" s="376"/>
      <c r="AJ48" s="376"/>
      <c r="AK48" s="376"/>
      <c r="AL48" s="376"/>
      <c r="AM48" s="376"/>
      <c r="AN48" s="376"/>
      <c r="AO48" s="376"/>
      <c r="AP48" s="376"/>
      <c r="AQ48" s="377"/>
      <c r="AR48" s="376"/>
      <c r="AS48" s="376"/>
      <c r="AT48" s="377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</row>
    <row r="49" spans="1:58">
      <c r="A49" s="401" t="s">
        <v>144</v>
      </c>
      <c r="B49" s="466" t="s">
        <v>204</v>
      </c>
      <c r="C49" s="367"/>
      <c r="D49" s="368"/>
      <c r="E49" s="368"/>
      <c r="F49" s="368"/>
      <c r="G49" s="368"/>
      <c r="H49" s="368"/>
      <c r="I49" s="368"/>
      <c r="J49" s="368"/>
      <c r="K49" s="329"/>
      <c r="L49" s="329"/>
      <c r="M49" s="371"/>
      <c r="N49" s="372"/>
      <c r="O49" s="372"/>
      <c r="P49" s="372"/>
      <c r="Q49" s="372"/>
      <c r="R49" s="372"/>
      <c r="S49" s="372"/>
      <c r="T49" s="372"/>
      <c r="U49" s="372"/>
      <c r="V49" s="373"/>
      <c r="W49" s="374"/>
      <c r="X49" s="374"/>
      <c r="Y49" s="374"/>
      <c r="Z49" s="374"/>
      <c r="AA49" s="374"/>
      <c r="AB49" s="374"/>
      <c r="AC49" s="375"/>
      <c r="AD49" s="376"/>
      <c r="AE49" s="376"/>
      <c r="AF49" s="376"/>
      <c r="AG49" s="376"/>
      <c r="AH49" s="376"/>
      <c r="AI49" s="376"/>
      <c r="AJ49" s="376"/>
      <c r="AK49" s="376"/>
      <c r="AL49" s="376"/>
      <c r="AM49" s="376"/>
      <c r="AN49" s="376"/>
      <c r="AO49" s="376"/>
      <c r="AP49" s="376"/>
      <c r="AQ49" s="377"/>
      <c r="AR49" s="376"/>
      <c r="AS49" s="376"/>
      <c r="AT49" s="377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</row>
    <row r="50" spans="1:58">
      <c r="A50" s="401" t="s">
        <v>147</v>
      </c>
      <c r="B50" s="466" t="s">
        <v>162</v>
      </c>
      <c r="C50" s="367"/>
      <c r="D50" s="368"/>
      <c r="E50" s="368"/>
      <c r="F50" s="368"/>
      <c r="G50" s="368"/>
      <c r="H50" s="368"/>
      <c r="I50" s="368"/>
      <c r="J50" s="368"/>
      <c r="K50" s="329"/>
      <c r="L50" s="329"/>
      <c r="M50" s="371"/>
      <c r="N50" s="372"/>
      <c r="O50" s="372"/>
      <c r="P50" s="372"/>
      <c r="Q50" s="372"/>
      <c r="R50" s="372"/>
      <c r="S50" s="372"/>
      <c r="T50" s="372"/>
      <c r="U50" s="372"/>
      <c r="V50" s="373"/>
      <c r="W50" s="374"/>
      <c r="X50" s="374"/>
      <c r="Y50" s="374"/>
      <c r="Z50" s="374"/>
      <c r="AA50" s="374"/>
      <c r="AB50" s="374"/>
      <c r="AC50" s="375"/>
      <c r="AD50" s="376"/>
      <c r="AE50" s="376"/>
      <c r="AF50" s="376"/>
      <c r="AG50" s="376"/>
      <c r="AH50" s="376"/>
      <c r="AI50" s="376"/>
      <c r="AJ50" s="376"/>
      <c r="AK50" s="376"/>
      <c r="AL50" s="376"/>
      <c r="AM50" s="376"/>
      <c r="AN50" s="376"/>
      <c r="AO50" s="376"/>
      <c r="AP50" s="376"/>
      <c r="AQ50" s="377"/>
      <c r="AR50" s="376"/>
      <c r="AS50" s="376"/>
      <c r="AT50" s="377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</row>
    <row r="51" spans="1:58" ht="12.75" customHeight="1">
      <c r="A51" s="401" t="s">
        <v>191</v>
      </c>
      <c r="B51" s="466" t="s">
        <v>190</v>
      </c>
      <c r="C51" s="367"/>
      <c r="D51" s="368"/>
      <c r="E51" s="368"/>
      <c r="F51" s="368"/>
      <c r="G51" s="368"/>
      <c r="H51" s="368"/>
      <c r="I51" s="368"/>
      <c r="J51" s="368"/>
      <c r="K51" s="329"/>
      <c r="L51" s="329"/>
      <c r="M51" s="371"/>
      <c r="N51" s="372"/>
      <c r="O51" s="372"/>
      <c r="P51" s="372"/>
      <c r="Q51" s="372"/>
      <c r="R51" s="372"/>
      <c r="S51" s="372"/>
      <c r="T51" s="372"/>
      <c r="U51" s="372"/>
      <c r="V51" s="373"/>
      <c r="W51" s="374"/>
      <c r="X51" s="374"/>
      <c r="Y51" s="374"/>
      <c r="Z51" s="374"/>
      <c r="AA51" s="374"/>
      <c r="AB51" s="374"/>
      <c r="AC51" s="375"/>
      <c r="AD51" s="380"/>
      <c r="AE51" s="376"/>
      <c r="AF51" s="376"/>
      <c r="AG51" s="376"/>
      <c r="AH51" s="376"/>
      <c r="AI51" s="376"/>
      <c r="AJ51" s="376"/>
      <c r="AK51" s="376"/>
      <c r="AL51" s="376"/>
      <c r="AM51" s="376"/>
      <c r="AN51" s="376"/>
      <c r="AO51" s="376"/>
      <c r="AP51" s="376"/>
      <c r="AQ51" s="377"/>
      <c r="AR51" s="376"/>
      <c r="AS51" s="376"/>
      <c r="AT51" s="377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</row>
    <row r="52" spans="1:58" ht="12.75" customHeight="1">
      <c r="A52" s="461" t="s">
        <v>145</v>
      </c>
      <c r="B52" s="467" t="s">
        <v>160</v>
      </c>
      <c r="C52" s="367"/>
      <c r="D52" s="368"/>
      <c r="E52" s="368"/>
      <c r="F52" s="368"/>
      <c r="G52" s="368"/>
      <c r="H52" s="368"/>
      <c r="I52" s="368"/>
      <c r="J52" s="368"/>
      <c r="K52" s="329"/>
      <c r="L52" s="329"/>
      <c r="M52" s="371"/>
      <c r="N52" s="372"/>
      <c r="O52" s="372"/>
      <c r="P52" s="372"/>
      <c r="Q52" s="372"/>
      <c r="R52" s="372"/>
      <c r="S52" s="372"/>
      <c r="T52" s="372"/>
      <c r="U52" s="372"/>
      <c r="V52" s="373"/>
      <c r="W52" s="374"/>
      <c r="X52" s="374"/>
      <c r="Y52" s="374"/>
      <c r="Z52" s="374"/>
      <c r="AA52" s="374"/>
      <c r="AB52" s="374"/>
      <c r="AC52" s="375"/>
      <c r="AD52" s="380"/>
      <c r="AE52" s="376"/>
      <c r="AF52" s="376"/>
      <c r="AG52" s="376"/>
      <c r="AH52" s="376"/>
      <c r="AI52" s="376"/>
      <c r="AJ52" s="376"/>
      <c r="AK52" s="376"/>
      <c r="AL52" s="376"/>
      <c r="AM52" s="376"/>
      <c r="AN52" s="376"/>
      <c r="AO52" s="376"/>
      <c r="AP52" s="376"/>
      <c r="AQ52" s="377"/>
      <c r="AR52" s="376"/>
      <c r="AS52" s="376"/>
      <c r="AT52" s="377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</row>
    <row r="53" spans="1:58" ht="10.5" customHeight="1" thickBot="1">
      <c r="A53" s="415"/>
      <c r="B53" s="415"/>
      <c r="C53" s="381"/>
      <c r="D53" s="382"/>
      <c r="E53" s="382"/>
      <c r="F53" s="382"/>
      <c r="G53" s="382"/>
      <c r="H53" s="382"/>
      <c r="I53" s="382"/>
      <c r="J53" s="382"/>
      <c r="K53" s="384"/>
      <c r="L53" s="384"/>
      <c r="M53" s="384"/>
      <c r="N53" s="385"/>
      <c r="O53" s="386"/>
      <c r="P53" s="385"/>
      <c r="Q53" s="385"/>
      <c r="R53" s="385"/>
      <c r="S53" s="385"/>
      <c r="T53" s="385"/>
      <c r="U53" s="385"/>
      <c r="V53" s="387"/>
      <c r="W53" s="387"/>
      <c r="X53" s="387"/>
      <c r="Y53" s="387"/>
      <c r="Z53" s="387"/>
      <c r="AA53" s="388"/>
      <c r="AB53" s="388"/>
      <c r="AC53" s="389"/>
      <c r="AD53" s="390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</row>
    <row r="54" spans="1:58">
      <c r="B54" s="306"/>
      <c r="K54" s="306"/>
      <c r="Q54" s="306"/>
      <c r="R54" s="306"/>
      <c r="S54" s="391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8" s="312" customFormat="1" ht="15" hidden="1" customHeight="1">
      <c r="A55" s="453" t="s">
        <v>105</v>
      </c>
      <c r="B55" s="359" t="str">
        <f t="shared" ref="B55:I57" si="9">IF(COUNT(N31)&gt;0,N31,"")</f>
        <v/>
      </c>
      <c r="C55" s="359" t="str">
        <f t="shared" si="9"/>
        <v/>
      </c>
      <c r="D55" s="359" t="str">
        <f t="shared" si="9"/>
        <v/>
      </c>
      <c r="E55" s="359" t="str">
        <f t="shared" si="9"/>
        <v/>
      </c>
      <c r="F55" s="359" t="str">
        <f t="shared" si="9"/>
        <v/>
      </c>
      <c r="G55" s="359" t="str">
        <f t="shared" si="9"/>
        <v/>
      </c>
      <c r="H55" s="359" t="str">
        <f t="shared" si="9"/>
        <v/>
      </c>
      <c r="I55" s="359" t="str">
        <f t="shared" si="9"/>
        <v/>
      </c>
      <c r="K55" s="394"/>
      <c r="L55" s="359"/>
      <c r="M55" s="394"/>
      <c r="N55" s="394"/>
      <c r="O55" s="394"/>
      <c r="P55" s="394"/>
      <c r="Q55" s="359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394"/>
    </row>
    <row r="56" spans="1:58" s="312" customFormat="1" ht="15" hidden="1" customHeight="1">
      <c r="A56" s="454" t="s">
        <v>106</v>
      </c>
      <c r="B56" s="359" t="str">
        <f t="shared" si="9"/>
        <v/>
      </c>
      <c r="C56" s="359" t="str">
        <f t="shared" si="9"/>
        <v/>
      </c>
      <c r="D56" s="359" t="str">
        <f t="shared" si="9"/>
        <v/>
      </c>
      <c r="E56" s="359" t="str">
        <f t="shared" si="9"/>
        <v/>
      </c>
      <c r="F56" s="359" t="str">
        <f t="shared" si="9"/>
        <v/>
      </c>
      <c r="G56" s="359" t="str">
        <f t="shared" si="9"/>
        <v/>
      </c>
      <c r="H56" s="359" t="str">
        <f t="shared" si="9"/>
        <v/>
      </c>
      <c r="I56" s="359" t="str">
        <f t="shared" si="9"/>
        <v/>
      </c>
      <c r="K56" s="394"/>
      <c r="L56" s="340"/>
      <c r="M56" s="394"/>
      <c r="N56" s="394"/>
      <c r="O56" s="394"/>
      <c r="P56" s="394"/>
      <c r="Q56" s="340"/>
      <c r="R56" s="394"/>
      <c r="S56" s="394"/>
      <c r="T56" s="394"/>
      <c r="U56" s="394"/>
      <c r="V56" s="394"/>
      <c r="W56" s="394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394"/>
      <c r="AM56" s="394"/>
      <c r="AN56" s="394"/>
      <c r="AO56" s="394"/>
      <c r="AP56" s="394"/>
    </row>
    <row r="57" spans="1:58" s="312" customFormat="1" ht="15" hidden="1" customHeight="1">
      <c r="A57" s="453" t="s">
        <v>107</v>
      </c>
      <c r="B57" s="359" t="str">
        <f t="shared" si="9"/>
        <v/>
      </c>
      <c r="C57" s="359" t="str">
        <f t="shared" si="9"/>
        <v/>
      </c>
      <c r="D57" s="359" t="str">
        <f t="shared" si="9"/>
        <v/>
      </c>
      <c r="E57" s="359" t="str">
        <f t="shared" si="9"/>
        <v/>
      </c>
      <c r="F57" s="359" t="str">
        <f t="shared" si="9"/>
        <v/>
      </c>
      <c r="G57" s="359" t="str">
        <f t="shared" si="9"/>
        <v/>
      </c>
      <c r="H57" s="359" t="str">
        <f t="shared" si="9"/>
        <v/>
      </c>
      <c r="I57" s="359" t="str">
        <f t="shared" si="9"/>
        <v/>
      </c>
      <c r="K57" s="394"/>
      <c r="L57" s="340"/>
      <c r="M57" s="394"/>
      <c r="N57" s="394"/>
      <c r="O57" s="394"/>
      <c r="P57" s="394"/>
      <c r="Q57" s="340"/>
      <c r="R57" s="394"/>
      <c r="S57" s="394"/>
      <c r="T57" s="394"/>
      <c r="U57" s="394"/>
      <c r="V57" s="394"/>
      <c r="W57" s="394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394"/>
      <c r="AM57" s="394"/>
      <c r="AN57" s="394"/>
      <c r="AO57" s="394"/>
      <c r="AP57" s="394"/>
    </row>
    <row r="58" spans="1:58" s="312" customFormat="1" ht="15" hidden="1" customHeight="1">
      <c r="A58" s="454" t="s">
        <v>108</v>
      </c>
      <c r="B58" s="359" t="str">
        <f t="shared" ref="B58:I58" si="10">IF(COUNT(N35)&gt;0,N35,"")</f>
        <v/>
      </c>
      <c r="C58" s="359" t="str">
        <f t="shared" si="10"/>
        <v/>
      </c>
      <c r="D58" s="359" t="str">
        <f t="shared" si="10"/>
        <v/>
      </c>
      <c r="E58" s="359" t="str">
        <f t="shared" si="10"/>
        <v/>
      </c>
      <c r="F58" s="359" t="str">
        <f t="shared" si="10"/>
        <v/>
      </c>
      <c r="G58" s="359" t="str">
        <f t="shared" si="10"/>
        <v/>
      </c>
      <c r="H58" s="359" t="str">
        <f t="shared" si="10"/>
        <v/>
      </c>
      <c r="I58" s="359" t="str">
        <f t="shared" si="10"/>
        <v/>
      </c>
      <c r="K58" s="394"/>
      <c r="L58" s="359"/>
      <c r="M58" s="394"/>
      <c r="N58" s="394"/>
      <c r="O58" s="394"/>
      <c r="P58" s="394"/>
      <c r="Q58" s="359"/>
      <c r="R58" s="394"/>
      <c r="S58" s="394"/>
      <c r="T58" s="394"/>
      <c r="U58" s="394"/>
      <c r="V58" s="394"/>
      <c r="W58" s="394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394"/>
      <c r="AM58" s="394"/>
      <c r="AN58" s="394"/>
      <c r="AO58" s="394"/>
      <c r="AP58" s="394"/>
    </row>
    <row r="59" spans="1:58" s="312" customFormat="1" ht="15" hidden="1" customHeight="1">
      <c r="A59" s="453" t="s">
        <v>109</v>
      </c>
      <c r="B59" s="359" t="str">
        <f t="shared" ref="B59:I59" si="11">IF(COUNT(N39)&gt;0,N39,"")</f>
        <v/>
      </c>
      <c r="C59" s="359" t="str">
        <f t="shared" si="11"/>
        <v/>
      </c>
      <c r="D59" s="359" t="str">
        <f t="shared" si="11"/>
        <v/>
      </c>
      <c r="E59" s="359" t="str">
        <f t="shared" si="11"/>
        <v/>
      </c>
      <c r="F59" s="359" t="str">
        <f t="shared" si="11"/>
        <v/>
      </c>
      <c r="G59" s="359" t="str">
        <f t="shared" si="11"/>
        <v/>
      </c>
      <c r="H59" s="359" t="str">
        <f t="shared" si="11"/>
        <v/>
      </c>
      <c r="I59" s="359" t="str">
        <f t="shared" si="11"/>
        <v/>
      </c>
      <c r="K59" s="394"/>
      <c r="L59" s="359"/>
      <c r="M59" s="394"/>
      <c r="N59" s="394"/>
      <c r="O59" s="394"/>
      <c r="P59" s="394"/>
      <c r="Q59" s="359"/>
      <c r="R59" s="394"/>
      <c r="S59" s="394"/>
      <c r="T59" s="394"/>
      <c r="U59" s="394"/>
      <c r="V59" s="394"/>
      <c r="W59" s="394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394"/>
      <c r="AM59" s="394"/>
      <c r="AN59" s="394"/>
      <c r="AO59" s="394"/>
      <c r="AP59" s="394"/>
    </row>
    <row r="60" spans="1:58" s="312" customFormat="1" ht="15" hidden="1" customHeight="1">
      <c r="A60" s="453" t="s">
        <v>110</v>
      </c>
      <c r="B60" s="359" t="str">
        <f t="shared" ref="B60:I61" si="12">IF(COUNT(N44)&gt;0,N44,"")</f>
        <v/>
      </c>
      <c r="C60" s="359" t="str">
        <f t="shared" si="12"/>
        <v/>
      </c>
      <c r="D60" s="359" t="str">
        <f t="shared" si="12"/>
        <v/>
      </c>
      <c r="E60" s="359" t="str">
        <f t="shared" si="12"/>
        <v/>
      </c>
      <c r="F60" s="359" t="str">
        <f t="shared" si="12"/>
        <v/>
      </c>
      <c r="G60" s="359" t="str">
        <f t="shared" si="12"/>
        <v/>
      </c>
      <c r="H60" s="359" t="str">
        <f t="shared" si="12"/>
        <v/>
      </c>
      <c r="I60" s="359" t="str">
        <f t="shared" si="12"/>
        <v/>
      </c>
      <c r="K60" s="394"/>
      <c r="L60" s="359"/>
      <c r="M60" s="394"/>
      <c r="N60" s="394"/>
      <c r="O60" s="394"/>
      <c r="P60" s="394"/>
      <c r="Q60" s="359"/>
      <c r="R60" s="394"/>
      <c r="S60" s="394"/>
      <c r="T60" s="394"/>
      <c r="U60" s="394"/>
      <c r="V60" s="394"/>
      <c r="W60" s="394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394"/>
      <c r="AM60" s="394"/>
      <c r="AN60" s="394"/>
      <c r="AO60" s="394"/>
      <c r="AP60" s="394"/>
    </row>
    <row r="61" spans="1:58" s="312" customFormat="1" ht="15" hidden="1" customHeight="1">
      <c r="A61" s="453" t="s">
        <v>111</v>
      </c>
      <c r="B61" s="359" t="str">
        <f t="shared" si="12"/>
        <v/>
      </c>
      <c r="C61" s="359" t="str">
        <f t="shared" si="12"/>
        <v/>
      </c>
      <c r="D61" s="359" t="str">
        <f t="shared" si="12"/>
        <v/>
      </c>
      <c r="E61" s="359" t="str">
        <f t="shared" si="12"/>
        <v/>
      </c>
      <c r="F61" s="359" t="str">
        <f t="shared" si="12"/>
        <v/>
      </c>
      <c r="G61" s="359" t="str">
        <f t="shared" si="12"/>
        <v/>
      </c>
      <c r="H61" s="359" t="str">
        <f t="shared" si="12"/>
        <v/>
      </c>
      <c r="I61" s="359" t="str">
        <f t="shared" si="12"/>
        <v/>
      </c>
      <c r="K61" s="394"/>
      <c r="L61" s="359"/>
      <c r="M61" s="394"/>
      <c r="N61" s="394"/>
      <c r="O61" s="394"/>
      <c r="P61" s="394"/>
      <c r="Q61" s="359"/>
      <c r="R61" s="394"/>
      <c r="S61" s="394"/>
      <c r="T61" s="394"/>
      <c r="U61" s="394"/>
      <c r="V61" s="394"/>
      <c r="W61" s="394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394"/>
      <c r="AM61" s="394"/>
      <c r="AN61" s="394"/>
      <c r="AO61" s="394"/>
      <c r="AP61" s="394"/>
    </row>
    <row r="62" spans="1:58" hidden="1">
      <c r="A62" s="455"/>
      <c r="B62" s="396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8" hidden="1">
      <c r="A63" s="455"/>
      <c r="B63" s="396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8" hidden="1">
      <c r="A64" s="455"/>
      <c r="B64" s="396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455"/>
      <c r="B65" s="396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455"/>
      <c r="B66" s="396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455"/>
      <c r="B67" s="396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455"/>
      <c r="B68" s="396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455"/>
      <c r="B69" s="396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455"/>
      <c r="B70" s="396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455"/>
      <c r="B71" s="396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455"/>
      <c r="B72" s="396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455"/>
      <c r="B73" s="396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455"/>
      <c r="B74" s="396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455"/>
      <c r="B75" s="396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455"/>
      <c r="B76" s="396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455"/>
      <c r="B77" s="396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456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14">
    <mergeCell ref="D1:W1"/>
    <mergeCell ref="X1:Z1"/>
    <mergeCell ref="N2:R2"/>
    <mergeCell ref="S2:Z2"/>
    <mergeCell ref="N29:U29"/>
    <mergeCell ref="K29:M29"/>
    <mergeCell ref="V29:AC29"/>
    <mergeCell ref="A2:A3"/>
    <mergeCell ref="B2:B3"/>
    <mergeCell ref="C2:M2"/>
    <mergeCell ref="AA2:AJ2"/>
    <mergeCell ref="A29:A30"/>
    <mergeCell ref="B29:B30"/>
    <mergeCell ref="C29:J29"/>
  </mergeCells>
  <phoneticPr fontId="0" type="noConversion"/>
  <printOptions horizontalCentered="1"/>
  <pageMargins left="0.15" right="0.15" top="0.15" bottom="0.15" header="0" footer="0.1"/>
  <pageSetup paperSize="9" orientation="landscape" horizont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108"/>
  <sheetViews>
    <sheetView showGridLines="0" zoomScaleNormal="100" workbookViewId="0">
      <selection activeCell="M21" sqref="M21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6" width="6.83203125" style="306" customWidth="1"/>
    <col min="17" max="17" width="6.83203125" style="391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49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Q3" s="318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332" t="str">
        <f>IF(COUNT(AP31)&gt;0,AP31,"")</f>
        <v/>
      </c>
      <c r="N4" s="329"/>
      <c r="O4" s="329"/>
      <c r="P4" s="329"/>
      <c r="Q4" s="333"/>
      <c r="R4" s="332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332" t="str">
        <f>IF(COUNT(AP32)&gt;0,AP32,"")</f>
        <v/>
      </c>
      <c r="N5" s="329"/>
      <c r="O5" s="329"/>
      <c r="P5" s="329"/>
      <c r="Q5" s="333"/>
      <c r="R5" s="332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332" t="str">
        <f t="shared" ref="M6:M25" si="3">IF(COUNT(AP33)&gt;0,AP33,"")</f>
        <v/>
      </c>
      <c r="N6" s="329"/>
      <c r="O6" s="329"/>
      <c r="P6" s="329"/>
      <c r="Q6" s="333"/>
      <c r="R6" s="332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332" t="str">
        <f t="shared" si="3"/>
        <v/>
      </c>
      <c r="N7" s="329"/>
      <c r="O7" s="329"/>
      <c r="P7" s="329"/>
      <c r="Q7" s="333"/>
      <c r="R7" s="332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332" t="str">
        <f t="shared" si="3"/>
        <v/>
      </c>
      <c r="N8" s="329"/>
      <c r="O8" s="329"/>
      <c r="P8" s="329"/>
      <c r="Q8" s="333"/>
      <c r="R8" s="332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332" t="str">
        <f t="shared" si="3"/>
        <v/>
      </c>
      <c r="N9" s="329"/>
      <c r="O9" s="329"/>
      <c r="P9" s="329"/>
      <c r="Q9" s="333"/>
      <c r="R9" s="332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332" t="str">
        <f t="shared" si="3"/>
        <v/>
      </c>
      <c r="N10" s="329"/>
      <c r="O10" s="329"/>
      <c r="P10" s="329"/>
      <c r="Q10" s="333"/>
      <c r="R10" s="332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332" t="str">
        <f t="shared" si="3"/>
        <v/>
      </c>
      <c r="N11" s="329"/>
      <c r="O11" s="329"/>
      <c r="P11" s="329"/>
      <c r="Q11" s="333"/>
      <c r="R11" s="332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332" t="str">
        <f t="shared" si="3"/>
        <v/>
      </c>
      <c r="N12" s="329"/>
      <c r="O12" s="329"/>
      <c r="P12" s="329"/>
      <c r="Q12" s="333"/>
      <c r="R12" s="332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332" t="str">
        <f t="shared" si="3"/>
        <v/>
      </c>
      <c r="N13" s="329"/>
      <c r="O13" s="329"/>
      <c r="P13" s="329"/>
      <c r="Q13" s="333"/>
      <c r="R13" s="332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332" t="str">
        <f t="shared" si="3"/>
        <v/>
      </c>
      <c r="N14" s="329"/>
      <c r="O14" s="329"/>
      <c r="P14" s="329"/>
      <c r="Q14" s="333"/>
      <c r="R14" s="332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332" t="str">
        <f t="shared" si="3"/>
        <v/>
      </c>
      <c r="N15" s="329"/>
      <c r="O15" s="329"/>
      <c r="P15" s="329"/>
      <c r="Q15" s="333"/>
      <c r="R15" s="332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332" t="str">
        <f t="shared" si="3"/>
        <v/>
      </c>
      <c r="N16" s="329"/>
      <c r="O16" s="329"/>
      <c r="P16" s="329"/>
      <c r="Q16" s="333"/>
      <c r="R16" s="332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332" t="str">
        <f t="shared" si="3"/>
        <v/>
      </c>
      <c r="N17" s="329"/>
      <c r="O17" s="329"/>
      <c r="P17" s="329"/>
      <c r="Q17" s="333"/>
      <c r="R17" s="332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332" t="str">
        <f t="shared" si="3"/>
        <v/>
      </c>
      <c r="N18" s="329"/>
      <c r="O18" s="329"/>
      <c r="P18" s="329"/>
      <c r="Q18" s="333"/>
      <c r="R18" s="332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332" t="str">
        <f t="shared" si="3"/>
        <v/>
      </c>
      <c r="N19" s="329"/>
      <c r="O19" s="329"/>
      <c r="P19" s="329"/>
      <c r="Q19" s="333"/>
      <c r="R19" s="332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332" t="str">
        <f t="shared" si="3"/>
        <v/>
      </c>
      <c r="N20" s="329"/>
      <c r="O20" s="329"/>
      <c r="P20" s="329"/>
      <c r="Q20" s="333"/>
      <c r="R20" s="332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332" t="str">
        <f t="shared" si="3"/>
        <v/>
      </c>
      <c r="N21" s="329"/>
      <c r="O21" s="329"/>
      <c r="P21" s="329"/>
      <c r="Q21" s="333"/>
      <c r="R21" s="332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332" t="str">
        <f t="shared" si="3"/>
        <v/>
      </c>
      <c r="N22" s="329"/>
      <c r="O22" s="329"/>
      <c r="P22" s="329"/>
      <c r="Q22" s="333"/>
      <c r="R22" s="332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332" t="str">
        <f t="shared" si="3"/>
        <v/>
      </c>
      <c r="N23" s="329"/>
      <c r="O23" s="329"/>
      <c r="P23" s="329"/>
      <c r="Q23" s="333"/>
      <c r="R23" s="332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332" t="str">
        <f t="shared" si="3"/>
        <v/>
      </c>
      <c r="N24" s="329"/>
      <c r="O24" s="329"/>
      <c r="P24" s="329"/>
      <c r="Q24" s="333"/>
      <c r="R24" s="332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332" t="str">
        <f t="shared" si="3"/>
        <v/>
      </c>
      <c r="N25" s="329"/>
      <c r="O25" s="329"/>
      <c r="P25" s="329"/>
      <c r="Q25" s="333"/>
      <c r="R25" s="332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04"/>
      <c r="M26" s="348"/>
      <c r="N26" s="349"/>
      <c r="O26" s="350"/>
      <c r="P26" s="350"/>
      <c r="Q26" s="405"/>
      <c r="R26" s="406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58"/>
      <c r="AL26" s="358"/>
      <c r="AM26" s="358"/>
      <c r="AN26" s="358"/>
      <c r="AO26" s="358"/>
      <c r="AP26" s="358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>
      <c r="Q27" s="407"/>
    </row>
    <row r="28" spans="1:59" s="312" customFormat="1" ht="21" customHeight="1" thickBot="1">
      <c r="A28" s="360" t="s">
        <v>164</v>
      </c>
      <c r="B28" s="361"/>
      <c r="C28" s="361"/>
      <c r="D28" s="361"/>
      <c r="E28" s="361"/>
      <c r="Q28" s="407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382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Q54" s="306"/>
      <c r="R54" s="306"/>
      <c r="S54" s="391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K55" s="394"/>
      <c r="L55" s="394"/>
      <c r="M55" s="394"/>
      <c r="N55" s="394"/>
      <c r="O55" s="394"/>
      <c r="P55" s="394"/>
      <c r="Q55" s="358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394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58"/>
      <c r="R56" s="394"/>
      <c r="S56" s="394"/>
      <c r="T56" s="394"/>
      <c r="U56" s="394"/>
      <c r="V56" s="394"/>
      <c r="W56" s="394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394"/>
      <c r="AM56" s="394"/>
      <c r="AN56" s="394"/>
      <c r="AO56" s="394"/>
      <c r="AP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58"/>
      <c r="R57" s="394"/>
      <c r="S57" s="394"/>
      <c r="T57" s="394"/>
      <c r="U57" s="394"/>
      <c r="V57" s="394"/>
      <c r="W57" s="394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394"/>
      <c r="AM57" s="394"/>
      <c r="AN57" s="394"/>
      <c r="AO57" s="394"/>
      <c r="AP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K58" s="394"/>
      <c r="L58" s="394"/>
      <c r="M58" s="394"/>
      <c r="N58" s="394"/>
      <c r="O58" s="394"/>
      <c r="P58" s="394"/>
      <c r="Q58" s="358"/>
      <c r="R58" s="394"/>
      <c r="S58" s="394"/>
      <c r="T58" s="394"/>
      <c r="U58" s="394"/>
      <c r="V58" s="394"/>
      <c r="W58" s="394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394"/>
      <c r="AM58" s="394"/>
      <c r="AN58" s="394"/>
      <c r="AO58" s="394"/>
      <c r="AP58" s="394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K59" s="394"/>
      <c r="L59" s="394"/>
      <c r="M59" s="394"/>
      <c r="N59" s="394"/>
      <c r="O59" s="394"/>
      <c r="P59" s="394"/>
      <c r="Q59" s="358"/>
      <c r="R59" s="394"/>
      <c r="S59" s="394"/>
      <c r="T59" s="394"/>
      <c r="U59" s="394"/>
      <c r="V59" s="394"/>
      <c r="W59" s="394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394"/>
      <c r="AM59" s="394"/>
      <c r="AN59" s="394"/>
      <c r="AO59" s="394"/>
      <c r="AP59" s="394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K60" s="394"/>
      <c r="L60" s="394"/>
      <c r="M60" s="394"/>
      <c r="N60" s="394"/>
      <c r="O60" s="394"/>
      <c r="P60" s="394"/>
      <c r="Q60" s="358"/>
      <c r="R60" s="394"/>
      <c r="S60" s="394"/>
      <c r="T60" s="394"/>
      <c r="U60" s="394"/>
      <c r="V60" s="394"/>
      <c r="W60" s="394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394"/>
      <c r="AM60" s="394"/>
      <c r="AN60" s="394"/>
      <c r="AO60" s="394"/>
      <c r="AP60" s="394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K61" s="394"/>
      <c r="L61" s="394"/>
      <c r="M61" s="394"/>
      <c r="N61" s="394"/>
      <c r="O61" s="394"/>
      <c r="P61" s="394"/>
      <c r="Q61" s="358"/>
      <c r="R61" s="394"/>
      <c r="S61" s="394"/>
      <c r="T61" s="394"/>
      <c r="U61" s="394"/>
      <c r="V61" s="394"/>
      <c r="W61" s="394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394"/>
      <c r="AM61" s="394"/>
      <c r="AN61" s="394"/>
      <c r="AO61" s="394"/>
      <c r="AP61" s="394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3" width="5.83203125" style="306" customWidth="1"/>
    <col min="4" max="10" width="5.83203125" style="391" customWidth="1"/>
    <col min="11" max="11" width="5.83203125" style="407" customWidth="1"/>
    <col min="12" max="13" width="5.83203125" style="391" customWidth="1"/>
    <col min="14" max="17" width="6.83203125" style="391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6" t="s">
        <v>50</v>
      </c>
      <c r="E1" s="516"/>
      <c r="F1" s="516"/>
      <c r="G1" s="516"/>
      <c r="H1" s="516"/>
      <c r="I1" s="516"/>
      <c r="J1" s="516"/>
      <c r="K1" s="516"/>
      <c r="L1" s="516"/>
      <c r="M1" s="516"/>
      <c r="N1" s="516"/>
      <c r="O1" s="516"/>
      <c r="P1" s="516"/>
      <c r="Q1" s="516"/>
      <c r="R1" s="516"/>
      <c r="S1" s="516"/>
      <c r="T1" s="516"/>
      <c r="U1" s="516"/>
      <c r="V1" s="516"/>
      <c r="W1" s="516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442" customFormat="1" ht="12" thickBot="1">
      <c r="A2" s="313"/>
      <c r="B2" s="313"/>
      <c r="C2" s="439" t="s">
        <v>37</v>
      </c>
      <c r="D2" s="440"/>
      <c r="E2" s="440"/>
      <c r="F2" s="440"/>
      <c r="G2" s="440"/>
      <c r="H2" s="440"/>
      <c r="I2" s="440"/>
      <c r="J2" s="441"/>
      <c r="K2" s="439" t="s">
        <v>37</v>
      </c>
      <c r="L2" s="440"/>
      <c r="M2" s="441"/>
      <c r="N2" s="517" t="s">
        <v>40</v>
      </c>
      <c r="O2" s="518"/>
      <c r="P2" s="518"/>
      <c r="Q2" s="518"/>
      <c r="R2" s="518"/>
      <c r="S2" s="517" t="s">
        <v>83</v>
      </c>
      <c r="T2" s="518"/>
      <c r="U2" s="518"/>
      <c r="V2" s="518"/>
      <c r="W2" s="518"/>
      <c r="X2" s="518"/>
      <c r="Y2" s="518"/>
      <c r="Z2" s="519"/>
      <c r="AA2" s="517" t="s">
        <v>127</v>
      </c>
      <c r="AB2" s="518"/>
      <c r="AC2" s="518"/>
      <c r="AD2" s="518"/>
      <c r="AE2" s="518"/>
      <c r="AF2" s="518"/>
      <c r="AG2" s="518"/>
      <c r="AH2" s="519"/>
      <c r="AI2" s="317"/>
      <c r="AJ2" s="318"/>
      <c r="AK2" s="319"/>
      <c r="AL2" s="318"/>
      <c r="AM2" s="318"/>
      <c r="AN2" s="318"/>
      <c r="AO2" s="318"/>
      <c r="AP2" s="318"/>
    </row>
    <row r="3" spans="1:47" s="44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443"/>
      <c r="AK3" s="319"/>
      <c r="AL3" s="319"/>
      <c r="AM3" s="319"/>
      <c r="AN3" s="319"/>
      <c r="AO3" s="319"/>
      <c r="AP3" s="319"/>
      <c r="AQ3" s="35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444" t="str">
        <f>IF(COUNT(L31,M31,N31)&gt;0,MIN(L31,M31,N31),"")</f>
        <v/>
      </c>
      <c r="M4" s="445" t="str">
        <f>IF(COUNT(AP31)&gt;0,AP31,"")</f>
        <v/>
      </c>
      <c r="N4" s="329"/>
      <c r="O4" s="329"/>
      <c r="P4" s="329"/>
      <c r="Q4" s="333"/>
      <c r="R4" s="445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444" t="str">
        <f>IF(COUNT(L32,M32,N32)&gt;0,MIN(L32,M32,N32),"")</f>
        <v/>
      </c>
      <c r="M5" s="445" t="str">
        <f>IF(COUNT(AP32)&gt;0,AP32,"")</f>
        <v/>
      </c>
      <c r="N5" s="329"/>
      <c r="O5" s="329"/>
      <c r="P5" s="329"/>
      <c r="Q5" s="333"/>
      <c r="R5" s="445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444" t="str">
        <f t="shared" ref="L6:L25" si="2">IF(COUNT(L33,M33,N33)&gt;0,MIN(L33,M33,N33),"")</f>
        <v/>
      </c>
      <c r="M6" s="445" t="str">
        <f t="shared" ref="M6:M25" si="3">IF(COUNT(AP33)&gt;0,AP33,"")</f>
        <v/>
      </c>
      <c r="N6" s="329"/>
      <c r="O6" s="329"/>
      <c r="P6" s="329"/>
      <c r="Q6" s="333"/>
      <c r="R6" s="445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444" t="str">
        <f t="shared" si="2"/>
        <v/>
      </c>
      <c r="M7" s="445" t="str">
        <f t="shared" si="3"/>
        <v/>
      </c>
      <c r="N7" s="329"/>
      <c r="O7" s="329"/>
      <c r="P7" s="329"/>
      <c r="Q7" s="333"/>
      <c r="R7" s="445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444" t="str">
        <f t="shared" si="2"/>
        <v/>
      </c>
      <c r="M8" s="445" t="str">
        <f t="shared" si="3"/>
        <v/>
      </c>
      <c r="N8" s="329"/>
      <c r="O8" s="329"/>
      <c r="P8" s="329"/>
      <c r="Q8" s="333"/>
      <c r="R8" s="445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444" t="str">
        <f t="shared" si="2"/>
        <v/>
      </c>
      <c r="M9" s="445" t="str">
        <f t="shared" si="3"/>
        <v/>
      </c>
      <c r="N9" s="329"/>
      <c r="O9" s="329"/>
      <c r="P9" s="329"/>
      <c r="Q9" s="333"/>
      <c r="R9" s="445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444" t="str">
        <f t="shared" si="2"/>
        <v/>
      </c>
      <c r="M10" s="445" t="str">
        <f t="shared" si="3"/>
        <v/>
      </c>
      <c r="N10" s="329"/>
      <c r="O10" s="329"/>
      <c r="P10" s="329"/>
      <c r="Q10" s="333"/>
      <c r="R10" s="445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444" t="str">
        <f t="shared" si="2"/>
        <v/>
      </c>
      <c r="M11" s="445" t="str">
        <f t="shared" si="3"/>
        <v/>
      </c>
      <c r="N11" s="329"/>
      <c r="O11" s="329"/>
      <c r="P11" s="329"/>
      <c r="Q11" s="333"/>
      <c r="R11" s="445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444" t="str">
        <f t="shared" si="2"/>
        <v/>
      </c>
      <c r="M12" s="445" t="str">
        <f t="shared" si="3"/>
        <v/>
      </c>
      <c r="N12" s="329"/>
      <c r="O12" s="329"/>
      <c r="P12" s="329"/>
      <c r="Q12" s="333"/>
      <c r="R12" s="445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444" t="str">
        <f t="shared" si="2"/>
        <v/>
      </c>
      <c r="M13" s="445" t="str">
        <f t="shared" si="3"/>
        <v/>
      </c>
      <c r="N13" s="329"/>
      <c r="O13" s="329"/>
      <c r="P13" s="329"/>
      <c r="Q13" s="333"/>
      <c r="R13" s="445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444" t="str">
        <f t="shared" si="2"/>
        <v/>
      </c>
      <c r="M14" s="445" t="str">
        <f t="shared" si="3"/>
        <v/>
      </c>
      <c r="N14" s="329"/>
      <c r="O14" s="329"/>
      <c r="P14" s="329"/>
      <c r="Q14" s="333"/>
      <c r="R14" s="445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444" t="str">
        <f t="shared" si="2"/>
        <v/>
      </c>
      <c r="M15" s="445" t="str">
        <f t="shared" si="3"/>
        <v/>
      </c>
      <c r="N15" s="329"/>
      <c r="O15" s="329"/>
      <c r="P15" s="329"/>
      <c r="Q15" s="333"/>
      <c r="R15" s="445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444" t="str">
        <f t="shared" si="2"/>
        <v/>
      </c>
      <c r="M16" s="445" t="str">
        <f t="shared" si="3"/>
        <v/>
      </c>
      <c r="N16" s="329"/>
      <c r="O16" s="329"/>
      <c r="P16" s="329"/>
      <c r="Q16" s="333"/>
      <c r="R16" s="445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444" t="str">
        <f t="shared" si="2"/>
        <v/>
      </c>
      <c r="M17" s="445" t="str">
        <f t="shared" si="3"/>
        <v/>
      </c>
      <c r="N17" s="329"/>
      <c r="O17" s="329"/>
      <c r="P17" s="329"/>
      <c r="Q17" s="333"/>
      <c r="R17" s="445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444" t="str">
        <f t="shared" si="2"/>
        <v/>
      </c>
      <c r="M18" s="445" t="str">
        <f t="shared" si="3"/>
        <v/>
      </c>
      <c r="N18" s="329"/>
      <c r="O18" s="329"/>
      <c r="P18" s="329"/>
      <c r="Q18" s="333"/>
      <c r="R18" s="445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444" t="str">
        <f t="shared" si="2"/>
        <v/>
      </c>
      <c r="M19" s="445" t="str">
        <f t="shared" si="3"/>
        <v/>
      </c>
      <c r="N19" s="329"/>
      <c r="O19" s="329"/>
      <c r="P19" s="329"/>
      <c r="Q19" s="333"/>
      <c r="R19" s="445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444" t="str">
        <f t="shared" si="2"/>
        <v/>
      </c>
      <c r="M20" s="445" t="str">
        <f t="shared" si="3"/>
        <v/>
      </c>
      <c r="N20" s="329"/>
      <c r="O20" s="329"/>
      <c r="P20" s="329"/>
      <c r="Q20" s="333"/>
      <c r="R20" s="445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444" t="str">
        <f t="shared" si="2"/>
        <v/>
      </c>
      <c r="M21" s="445" t="str">
        <f t="shared" si="3"/>
        <v/>
      </c>
      <c r="N21" s="329"/>
      <c r="O21" s="329"/>
      <c r="P21" s="329"/>
      <c r="Q21" s="333"/>
      <c r="R21" s="445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444" t="str">
        <f t="shared" si="2"/>
        <v/>
      </c>
      <c r="M22" s="445" t="str">
        <f t="shared" si="3"/>
        <v/>
      </c>
      <c r="N22" s="329"/>
      <c r="O22" s="329"/>
      <c r="P22" s="329"/>
      <c r="Q22" s="333"/>
      <c r="R22" s="445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444" t="str">
        <f t="shared" si="2"/>
        <v/>
      </c>
      <c r="M23" s="445" t="str">
        <f t="shared" si="3"/>
        <v/>
      </c>
      <c r="N23" s="329"/>
      <c r="O23" s="329"/>
      <c r="P23" s="329"/>
      <c r="Q23" s="333"/>
      <c r="R23" s="445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444" t="str">
        <f t="shared" si="2"/>
        <v/>
      </c>
      <c r="M24" s="445" t="str">
        <f t="shared" si="3"/>
        <v/>
      </c>
      <c r="N24" s="329"/>
      <c r="O24" s="329"/>
      <c r="P24" s="329"/>
      <c r="Q24" s="333"/>
      <c r="R24" s="445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444" t="str">
        <f t="shared" si="2"/>
        <v/>
      </c>
      <c r="M25" s="445" t="str">
        <f t="shared" si="3"/>
        <v/>
      </c>
      <c r="N25" s="329"/>
      <c r="O25" s="329"/>
      <c r="P25" s="329"/>
      <c r="Q25" s="333"/>
      <c r="R25" s="445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46"/>
      <c r="M26" s="447"/>
      <c r="N26" s="349"/>
      <c r="O26" s="350"/>
      <c r="P26" s="350"/>
      <c r="Q26" s="405"/>
      <c r="R26" s="406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58"/>
      <c r="AL26" s="358"/>
      <c r="AM26" s="358"/>
      <c r="AN26" s="358"/>
      <c r="AO26" s="358"/>
      <c r="AP26" s="358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>
      <c r="Q27" s="407"/>
    </row>
    <row r="28" spans="1:59" s="312" customFormat="1" ht="21" customHeight="1" thickBot="1">
      <c r="A28" s="360" t="s">
        <v>164</v>
      </c>
      <c r="B28" s="361"/>
      <c r="C28" s="361"/>
      <c r="D28" s="361"/>
      <c r="E28" s="361"/>
      <c r="F28" s="407"/>
      <c r="G28" s="407"/>
      <c r="H28" s="407"/>
      <c r="I28" s="407"/>
      <c r="J28" s="407"/>
      <c r="K28" s="407"/>
      <c r="L28" s="407"/>
      <c r="M28" s="407"/>
      <c r="N28" s="407"/>
      <c r="O28" s="407"/>
      <c r="P28" s="407"/>
      <c r="Q28" s="407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382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91"/>
      <c r="R54" s="391"/>
      <c r="S54" s="391"/>
      <c r="T54" s="306"/>
      <c r="U54" s="306"/>
      <c r="V54" s="306"/>
      <c r="W54" s="391"/>
      <c r="X54" s="391"/>
      <c r="Y54" s="306"/>
      <c r="Z54" s="391"/>
      <c r="AA54" s="391"/>
      <c r="AB54" s="306"/>
      <c r="AC54" s="306"/>
      <c r="AD54" s="306"/>
      <c r="AE54" s="392"/>
      <c r="AF54" s="448"/>
      <c r="AG54" s="448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K55" s="394"/>
      <c r="L55" s="394"/>
      <c r="M55" s="394"/>
      <c r="N55" s="394"/>
      <c r="O55" s="394"/>
      <c r="P55" s="394"/>
      <c r="Q55" s="358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AB55" s="394"/>
      <c r="AC55" s="394"/>
      <c r="AD55" s="394"/>
      <c r="AE55" s="394"/>
      <c r="AF55" s="394"/>
      <c r="AG55" s="394"/>
      <c r="AH55" s="394"/>
      <c r="AI55" s="394"/>
      <c r="AJ55" s="394"/>
      <c r="AK55" s="394"/>
      <c r="AL55" s="394"/>
      <c r="AM55" s="394"/>
      <c r="AN55" s="394"/>
      <c r="AO55" s="394"/>
      <c r="AP55" s="394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58"/>
      <c r="R56" s="394"/>
      <c r="S56" s="394"/>
      <c r="T56" s="394"/>
      <c r="U56" s="394"/>
      <c r="V56" s="394"/>
      <c r="W56" s="394"/>
      <c r="X56" s="394"/>
      <c r="Y56" s="394"/>
      <c r="Z56" s="394"/>
      <c r="AA56" s="394"/>
      <c r="AB56" s="394"/>
      <c r="AC56" s="394"/>
      <c r="AD56" s="394"/>
      <c r="AE56" s="394"/>
      <c r="AF56" s="394"/>
      <c r="AG56" s="394"/>
      <c r="AH56" s="394"/>
      <c r="AI56" s="394"/>
      <c r="AJ56" s="394"/>
      <c r="AK56" s="394"/>
      <c r="AL56" s="394"/>
      <c r="AM56" s="394"/>
      <c r="AN56" s="394"/>
      <c r="AO56" s="394"/>
      <c r="AP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58"/>
      <c r="R57" s="394"/>
      <c r="S57" s="394"/>
      <c r="T57" s="394"/>
      <c r="U57" s="394"/>
      <c r="V57" s="394"/>
      <c r="W57" s="394"/>
      <c r="X57" s="394"/>
      <c r="Y57" s="394"/>
      <c r="Z57" s="394"/>
      <c r="AA57" s="394"/>
      <c r="AB57" s="394"/>
      <c r="AC57" s="394"/>
      <c r="AD57" s="394"/>
      <c r="AE57" s="394"/>
      <c r="AF57" s="394"/>
      <c r="AG57" s="394"/>
      <c r="AH57" s="394"/>
      <c r="AI57" s="394"/>
      <c r="AJ57" s="394"/>
      <c r="AK57" s="394"/>
      <c r="AL57" s="394"/>
      <c r="AM57" s="394"/>
      <c r="AN57" s="394"/>
      <c r="AO57" s="394"/>
      <c r="AP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K58" s="394"/>
      <c r="L58" s="394"/>
      <c r="M58" s="394"/>
      <c r="N58" s="394"/>
      <c r="O58" s="394"/>
      <c r="P58" s="394"/>
      <c r="Q58" s="358"/>
      <c r="R58" s="394"/>
      <c r="S58" s="394"/>
      <c r="T58" s="394"/>
      <c r="U58" s="394"/>
      <c r="V58" s="394"/>
      <c r="W58" s="394"/>
      <c r="X58" s="394"/>
      <c r="Y58" s="394"/>
      <c r="Z58" s="394"/>
      <c r="AA58" s="394"/>
      <c r="AB58" s="394"/>
      <c r="AC58" s="394"/>
      <c r="AD58" s="394"/>
      <c r="AE58" s="394"/>
      <c r="AF58" s="394"/>
      <c r="AG58" s="394"/>
      <c r="AH58" s="394"/>
      <c r="AI58" s="394"/>
      <c r="AJ58" s="394"/>
      <c r="AK58" s="394"/>
      <c r="AL58" s="394"/>
      <c r="AM58" s="394"/>
      <c r="AN58" s="394"/>
      <c r="AO58" s="394"/>
      <c r="AP58" s="394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K59" s="394"/>
      <c r="L59" s="394"/>
      <c r="M59" s="394"/>
      <c r="N59" s="394"/>
      <c r="O59" s="394"/>
      <c r="P59" s="394"/>
      <c r="Q59" s="358"/>
      <c r="R59" s="394"/>
      <c r="S59" s="394"/>
      <c r="T59" s="394"/>
      <c r="U59" s="394"/>
      <c r="V59" s="394"/>
      <c r="W59" s="394"/>
      <c r="X59" s="394"/>
      <c r="Y59" s="394"/>
      <c r="Z59" s="394"/>
      <c r="AA59" s="394"/>
      <c r="AB59" s="394"/>
      <c r="AC59" s="394"/>
      <c r="AD59" s="394"/>
      <c r="AE59" s="394"/>
      <c r="AF59" s="394"/>
      <c r="AG59" s="394"/>
      <c r="AH59" s="394"/>
      <c r="AI59" s="394"/>
      <c r="AJ59" s="394"/>
      <c r="AK59" s="394"/>
      <c r="AL59" s="394"/>
      <c r="AM59" s="394"/>
      <c r="AN59" s="394"/>
      <c r="AO59" s="394"/>
      <c r="AP59" s="394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K60" s="394"/>
      <c r="L60" s="394"/>
      <c r="M60" s="394"/>
      <c r="N60" s="394"/>
      <c r="O60" s="394"/>
      <c r="P60" s="394"/>
      <c r="Q60" s="358"/>
      <c r="R60" s="394"/>
      <c r="S60" s="394"/>
      <c r="T60" s="394"/>
      <c r="U60" s="394"/>
      <c r="V60" s="394"/>
      <c r="W60" s="394"/>
      <c r="X60" s="394"/>
      <c r="Y60" s="394"/>
      <c r="Z60" s="394"/>
      <c r="AA60" s="394"/>
      <c r="AB60" s="394"/>
      <c r="AC60" s="394"/>
      <c r="AD60" s="394"/>
      <c r="AE60" s="394"/>
      <c r="AF60" s="394"/>
      <c r="AG60" s="394"/>
      <c r="AH60" s="394"/>
      <c r="AI60" s="394"/>
      <c r="AJ60" s="394"/>
      <c r="AK60" s="394"/>
      <c r="AL60" s="394"/>
      <c r="AM60" s="394"/>
      <c r="AN60" s="394"/>
      <c r="AO60" s="394"/>
      <c r="AP60" s="394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K61" s="394"/>
      <c r="L61" s="394"/>
      <c r="M61" s="394"/>
      <c r="N61" s="394"/>
      <c r="O61" s="394"/>
      <c r="P61" s="394"/>
      <c r="Q61" s="358"/>
      <c r="R61" s="394"/>
      <c r="S61" s="394"/>
      <c r="T61" s="394"/>
      <c r="U61" s="394"/>
      <c r="V61" s="394"/>
      <c r="W61" s="394"/>
      <c r="X61" s="394"/>
      <c r="Y61" s="394"/>
      <c r="Z61" s="394"/>
      <c r="AA61" s="394"/>
      <c r="AB61" s="394"/>
      <c r="AC61" s="394"/>
      <c r="AD61" s="394"/>
      <c r="AE61" s="394"/>
      <c r="AF61" s="394"/>
      <c r="AG61" s="394"/>
      <c r="AH61" s="394"/>
      <c r="AI61" s="394"/>
      <c r="AJ61" s="394"/>
      <c r="AK61" s="394"/>
      <c r="AL61" s="394"/>
      <c r="AM61" s="394"/>
      <c r="AN61" s="394"/>
      <c r="AO61" s="394"/>
      <c r="AP61" s="394"/>
    </row>
    <row r="62" spans="1:59" hidden="1">
      <c r="A62" s="390"/>
      <c r="B62" s="392"/>
      <c r="C62" s="392"/>
      <c r="K62" s="391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91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91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91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91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91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91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91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91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91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91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91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91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91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91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91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91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91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91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91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91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91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91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91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91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91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91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91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91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91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91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91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91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91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91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91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91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91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91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91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91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91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91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91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91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91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G108"/>
  <sheetViews>
    <sheetView showGridLines="0" zoomScaleNormal="100" workbookViewId="0">
      <selection activeCell="A10" sqref="A10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6" t="s">
        <v>51</v>
      </c>
      <c r="E1" s="516"/>
      <c r="F1" s="516"/>
      <c r="G1" s="516"/>
      <c r="H1" s="516"/>
      <c r="I1" s="516"/>
      <c r="J1" s="516"/>
      <c r="K1" s="516"/>
      <c r="L1" s="516"/>
      <c r="M1" s="516"/>
      <c r="N1" s="516"/>
      <c r="O1" s="516"/>
      <c r="P1" s="516"/>
      <c r="Q1" s="516"/>
      <c r="R1" s="516"/>
      <c r="S1" s="516"/>
      <c r="T1" s="516"/>
      <c r="U1" s="516"/>
      <c r="V1" s="516"/>
      <c r="W1" s="516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433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433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433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433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433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433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433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433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433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433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433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433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433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433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433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433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433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433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433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433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433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433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434" t="str">
        <f>IF(COUNT(AR26:AU26)&gt;0,AVERAGE(AR26:AU26)," ")</f>
        <v xml:space="preserve"> </v>
      </c>
      <c r="L26" s="438"/>
      <c r="M26" s="436"/>
      <c r="N26" s="437"/>
      <c r="O26" s="437"/>
      <c r="P26" s="437"/>
      <c r="Q26" s="405"/>
      <c r="R26" s="406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58"/>
      <c r="AL26" s="358"/>
      <c r="AM26" s="358"/>
      <c r="AN26" s="358"/>
      <c r="AO26" s="358"/>
      <c r="AP26" s="358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382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N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40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40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N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N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N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N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G108"/>
  <sheetViews>
    <sheetView showGridLines="0" topLeftCell="P1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52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433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433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433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433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433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433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433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433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433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433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433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433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433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433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433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433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433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433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433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433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433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433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434" t="str">
        <f>IF(COUNT(AR26:AU26)&gt;0,AVERAGE(AR26:AU26)," ")</f>
        <v xml:space="preserve"> </v>
      </c>
      <c r="L26" s="438"/>
      <c r="M26" s="436"/>
      <c r="N26" s="437"/>
      <c r="O26" s="437"/>
      <c r="P26" s="437"/>
      <c r="Q26" s="405"/>
      <c r="R26" s="406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58"/>
      <c r="AL26" s="358"/>
      <c r="AM26" s="358"/>
      <c r="AN26" s="358"/>
      <c r="AO26" s="358"/>
      <c r="AP26" s="358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382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N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40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40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N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N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N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N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53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433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433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433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433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433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433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433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433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433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433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433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433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433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433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433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433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433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433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433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433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433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433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434" t="str">
        <f>IF(COUNT(AR26:AU26)&gt;0,AVERAGE(AR26:AU26)," ")</f>
        <v xml:space="preserve"> </v>
      </c>
      <c r="L26" s="435"/>
      <c r="M26" s="436"/>
      <c r="N26" s="437"/>
      <c r="O26" s="437"/>
      <c r="P26" s="437"/>
      <c r="Q26" s="405"/>
      <c r="R26" s="406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58"/>
      <c r="AL26" s="358"/>
      <c r="AM26" s="358"/>
      <c r="AN26" s="358"/>
      <c r="AO26" s="358"/>
      <c r="AP26" s="358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382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54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193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55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193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56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04"/>
      <c r="M26" s="432"/>
      <c r="N26" s="350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193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57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58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59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31"/>
      <c r="M26" s="423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M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40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40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M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M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M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M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Q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37" width="6.83203125" style="378" hidden="1" customWidth="1"/>
    <col min="38" max="40" width="6" style="378" hidden="1" customWidth="1"/>
    <col min="41" max="41" width="6" style="390" hidden="1" customWidth="1"/>
    <col min="42" max="16384" width="6" style="378" hidden="1"/>
  </cols>
  <sheetData>
    <row r="1" spans="1:52" s="312" customFormat="1" ht="24" customHeight="1" thickBot="1">
      <c r="A1" s="306"/>
      <c r="B1" s="307"/>
      <c r="C1" s="308"/>
      <c r="D1" s="511" t="s">
        <v>60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  <c r="AZ1" s="394"/>
    </row>
    <row r="2" spans="1:52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  <c r="AZ2" s="394"/>
    </row>
    <row r="3" spans="1:52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  <c r="AZ3" s="394"/>
    </row>
    <row r="4" spans="1:52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  <c r="AZ4" s="394"/>
    </row>
    <row r="5" spans="1:52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  <c r="AZ5" s="394"/>
    </row>
    <row r="6" spans="1:52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  <c r="AZ6" s="394"/>
    </row>
    <row r="7" spans="1:52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  <c r="AZ7" s="394"/>
    </row>
    <row r="8" spans="1:52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  <c r="AZ8" s="394"/>
    </row>
    <row r="9" spans="1:52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  <c r="AZ9" s="394"/>
    </row>
    <row r="10" spans="1:52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  <c r="AZ10" s="394"/>
    </row>
    <row r="11" spans="1:52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  <c r="AZ11" s="394"/>
    </row>
    <row r="12" spans="1:52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  <c r="AZ12" s="394"/>
    </row>
    <row r="13" spans="1:52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  <c r="AZ13" s="394"/>
    </row>
    <row r="14" spans="1:52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  <c r="AZ14" s="394"/>
    </row>
    <row r="15" spans="1:52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  <c r="AZ15" s="394"/>
    </row>
    <row r="16" spans="1:52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  <c r="AZ16" s="394"/>
    </row>
    <row r="17" spans="1:6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  <c r="AZ17" s="394"/>
    </row>
    <row r="18" spans="1:6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  <c r="AZ18" s="394"/>
    </row>
    <row r="19" spans="1:6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  <c r="AZ19" s="394"/>
    </row>
    <row r="20" spans="1:6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  <c r="AZ20" s="394"/>
    </row>
    <row r="21" spans="1:6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  <c r="AZ21" s="394"/>
    </row>
    <row r="22" spans="1:6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  <c r="AZ22" s="394"/>
    </row>
    <row r="23" spans="1:6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  <c r="AZ23" s="394"/>
    </row>
    <row r="24" spans="1:6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  <c r="AZ24" s="394"/>
    </row>
    <row r="25" spans="1:6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  <c r="AZ25" s="394"/>
    </row>
    <row r="26" spans="1:6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  <c r="AZ26" s="394"/>
    </row>
    <row r="27" spans="1:69" s="312" customFormat="1" ht="6.75" customHeight="1">
      <c r="AZ27" s="394"/>
    </row>
    <row r="28" spans="1:69" s="312" customFormat="1" ht="21" customHeight="1" thickBot="1">
      <c r="A28" s="360" t="s">
        <v>164</v>
      </c>
      <c r="B28" s="361"/>
      <c r="C28" s="361"/>
      <c r="D28" s="361"/>
      <c r="E28" s="361"/>
      <c r="AO28" s="394"/>
    </row>
    <row r="29" spans="1:6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  <c r="BI29" s="394"/>
    </row>
    <row r="30" spans="1:6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  <c r="BQ30" s="394"/>
    </row>
    <row r="31" spans="1:6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Q31" s="390"/>
    </row>
    <row r="32" spans="1:6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Q32" s="390"/>
    </row>
    <row r="33" spans="1:6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Q33" s="390"/>
    </row>
    <row r="34" spans="1:6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Q34" s="390"/>
    </row>
    <row r="35" spans="1:6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Q35" s="390"/>
    </row>
    <row r="36" spans="1:6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Q36" s="390"/>
    </row>
    <row r="37" spans="1:6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Q37" s="390"/>
    </row>
    <row r="38" spans="1:6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Q38" s="390"/>
    </row>
    <row r="39" spans="1:6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Q39" s="390"/>
    </row>
    <row r="40" spans="1:6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Q40" s="390"/>
    </row>
    <row r="41" spans="1:6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Q41" s="390"/>
    </row>
    <row r="42" spans="1:6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Q42" s="390"/>
    </row>
    <row r="43" spans="1:6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Q43" s="390"/>
    </row>
    <row r="44" spans="1:6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  <c r="BQ44" s="390"/>
    </row>
    <row r="45" spans="1:6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  <c r="BQ45" s="390"/>
    </row>
    <row r="46" spans="1:6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  <c r="BQ46" s="390"/>
    </row>
    <row r="47" spans="1:6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  <c r="BQ47" s="390"/>
    </row>
    <row r="48" spans="1:6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  <c r="BQ48" s="390"/>
    </row>
    <row r="49" spans="1:6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  <c r="BQ49" s="390"/>
    </row>
    <row r="50" spans="1:6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  <c r="BQ50" s="390"/>
    </row>
    <row r="51" spans="1:6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  <c r="BQ51" s="390"/>
    </row>
    <row r="52" spans="1:6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  <c r="BQ52" s="390"/>
    </row>
    <row r="53" spans="1:6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P53" s="390"/>
    </row>
    <row r="54" spans="1:6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  <c r="AO54" s="378"/>
      <c r="AW54" s="390"/>
    </row>
    <row r="55" spans="1:6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AZ55" s="394"/>
    </row>
    <row r="56" spans="1:6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  <c r="AZ56" s="394"/>
    </row>
    <row r="57" spans="1:6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  <c r="AZ57" s="394"/>
    </row>
    <row r="58" spans="1:6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AZ58" s="394"/>
    </row>
    <row r="59" spans="1:6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AZ59" s="394"/>
    </row>
    <row r="60" spans="1:6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AZ60" s="394"/>
    </row>
    <row r="61" spans="1:6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AZ61" s="394"/>
    </row>
    <row r="62" spans="1:6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6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6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61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430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P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40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40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P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P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P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P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62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37" width="6" style="378" hidden="1" customWidth="1"/>
    <col min="38" max="38" width="9.6640625" style="378" hidden="1" customWidth="1"/>
    <col min="39" max="16384" width="6" style="378" hidden="1"/>
  </cols>
  <sheetData>
    <row r="1" spans="1:52" s="312" customFormat="1" ht="24" customHeight="1" thickBot="1">
      <c r="A1" s="306"/>
      <c r="B1" s="307"/>
      <c r="C1" s="308"/>
      <c r="D1" s="511" t="s">
        <v>63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52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  <c r="AQ2" s="359"/>
    </row>
    <row r="3" spans="1:52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52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  <c r="AW4" s="359"/>
      <c r="AX4" s="359"/>
      <c r="AY4" s="359"/>
      <c r="AZ4" s="359"/>
    </row>
    <row r="5" spans="1:52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52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52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52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52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52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52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52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52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52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52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52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427"/>
      <c r="S26" s="352"/>
      <c r="T26" s="353"/>
      <c r="U26" s="353"/>
      <c r="V26" s="353"/>
      <c r="W26" s="353"/>
      <c r="X26" s="353"/>
      <c r="Y26" s="353"/>
      <c r="Z26" s="428"/>
      <c r="AA26" s="355"/>
      <c r="AB26" s="356"/>
      <c r="AC26" s="356"/>
      <c r="AD26" s="356"/>
      <c r="AE26" s="356"/>
      <c r="AF26" s="356"/>
      <c r="AG26" s="356"/>
      <c r="AH26" s="357"/>
      <c r="AI26" s="306"/>
      <c r="AK26" s="429"/>
      <c r="AL26" s="429"/>
      <c r="AM26" s="429"/>
      <c r="AN26" s="429"/>
      <c r="AO26" s="429"/>
      <c r="AP26" s="429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382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64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>
      <c r="F27" s="359"/>
    </row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P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40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40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P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P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P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P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8" s="312" customFormat="1" ht="24" customHeight="1" thickBot="1">
      <c r="A1" s="306"/>
      <c r="B1" s="307"/>
      <c r="C1" s="308"/>
      <c r="D1" s="511" t="s">
        <v>65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8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8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8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  <c r="AV4" s="359"/>
    </row>
    <row r="5" spans="1:48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  <c r="AV5" s="359"/>
    </row>
    <row r="6" spans="1:48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  <c r="AV6" s="359"/>
    </row>
    <row r="7" spans="1:48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  <c r="AV7" s="359"/>
    </row>
    <row r="8" spans="1:48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  <c r="AV8" s="359"/>
    </row>
    <row r="9" spans="1:48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  <c r="AV9" s="359"/>
    </row>
    <row r="10" spans="1:48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  <c r="AV10" s="359"/>
    </row>
    <row r="11" spans="1:48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  <c r="AV11" s="359"/>
    </row>
    <row r="12" spans="1:48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  <c r="AV12" s="359"/>
    </row>
    <row r="13" spans="1:48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  <c r="AV13" s="359"/>
    </row>
    <row r="14" spans="1:48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  <c r="AV14" s="359"/>
    </row>
    <row r="15" spans="1:48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  <c r="AV15" s="359"/>
    </row>
    <row r="16" spans="1:48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  <c r="AV16" s="359"/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  <c r="AV17" s="359"/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  <c r="AV18" s="359"/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  <c r="AV19" s="359"/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  <c r="AV20" s="359"/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  <c r="AV21" s="359"/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  <c r="AV22" s="359"/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  <c r="AV23" s="359"/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  <c r="AV24" s="359"/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  <c r="AV25" s="359"/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66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67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68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190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8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1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1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>A25</f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>IF(COUNT(C52,D52,E52,F52,G52,H52,I52,B52)&gt;3,AVERAGE(C52,D52,E52,F52,G52,H52,I52,B52),"")</f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BG108"/>
  <sheetViews>
    <sheetView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69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20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/>
      <c r="N4" s="329"/>
      <c r="O4" s="424"/>
      <c r="P4" s="424"/>
      <c r="Q4" s="425"/>
      <c r="R4" s="42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/>
      <c r="N5" s="329"/>
      <c r="O5" s="424"/>
      <c r="P5" s="424"/>
      <c r="Q5" s="425"/>
      <c r="R5" s="42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/>
      <c r="N6" s="329"/>
      <c r="O6" s="424"/>
      <c r="P6" s="424"/>
      <c r="Q6" s="425"/>
      <c r="R6" s="42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3">IF(COUNT(D6,H6)=2,AVERAGE(D6,H6)," ")</f>
        <v xml:space="preserve"> </v>
      </c>
      <c r="AS6" s="312" t="str">
        <f t="shared" ref="AS6:AS25" si="4">IF(COUNT(E6,I6)=2,AVERAGE(E6,I6)," ")</f>
        <v xml:space="preserve"> </v>
      </c>
      <c r="AT6" s="312" t="str">
        <f t="shared" ref="AT6:AT25" si="5">IF(COUNT(F6,J6)=2,AVERAGE(F6,J6)," ")</f>
        <v xml:space="preserve"> </v>
      </c>
      <c r="AU6" s="312" t="str">
        <f t="shared" ref="AU6:AU25" si="6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/>
      <c r="N7" s="329"/>
      <c r="O7" s="424"/>
      <c r="P7" s="424"/>
      <c r="Q7" s="425"/>
      <c r="R7" s="42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3"/>
        <v xml:space="preserve"> </v>
      </c>
      <c r="AS7" s="312" t="str">
        <f t="shared" si="4"/>
        <v xml:space="preserve"> </v>
      </c>
      <c r="AT7" s="312" t="str">
        <f t="shared" si="5"/>
        <v xml:space="preserve"> </v>
      </c>
      <c r="AU7" s="312" t="str">
        <f t="shared" si="6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/>
      <c r="N8" s="329"/>
      <c r="O8" s="424"/>
      <c r="P8" s="424"/>
      <c r="Q8" s="425"/>
      <c r="R8" s="42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3"/>
        <v xml:space="preserve"> </v>
      </c>
      <c r="AS8" s="312" t="str">
        <f t="shared" si="4"/>
        <v xml:space="preserve"> </v>
      </c>
      <c r="AT8" s="312" t="str">
        <f t="shared" si="5"/>
        <v xml:space="preserve"> </v>
      </c>
      <c r="AU8" s="312" t="str">
        <f t="shared" si="6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/>
      <c r="N9" s="329"/>
      <c r="O9" s="424"/>
      <c r="P9" s="424"/>
      <c r="Q9" s="425"/>
      <c r="R9" s="42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3"/>
        <v xml:space="preserve"> </v>
      </c>
      <c r="AS9" s="312" t="str">
        <f t="shared" si="4"/>
        <v xml:space="preserve"> </v>
      </c>
      <c r="AT9" s="312" t="str">
        <f t="shared" si="5"/>
        <v xml:space="preserve"> </v>
      </c>
      <c r="AU9" s="312" t="str">
        <f t="shared" si="6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/>
      <c r="N10" s="329"/>
      <c r="O10" s="424"/>
      <c r="P10" s="424"/>
      <c r="Q10" s="425"/>
      <c r="R10" s="42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3"/>
        <v xml:space="preserve"> </v>
      </c>
      <c r="AS10" s="312" t="str">
        <f t="shared" si="4"/>
        <v xml:space="preserve"> </v>
      </c>
      <c r="AT10" s="312" t="str">
        <f t="shared" si="5"/>
        <v xml:space="preserve"> </v>
      </c>
      <c r="AU10" s="312" t="str">
        <f t="shared" si="6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/>
      <c r="N11" s="329"/>
      <c r="O11" s="424"/>
      <c r="P11" s="424"/>
      <c r="Q11" s="425"/>
      <c r="R11" s="42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3"/>
        <v xml:space="preserve"> </v>
      </c>
      <c r="AS11" s="312" t="str">
        <f t="shared" si="4"/>
        <v xml:space="preserve"> </v>
      </c>
      <c r="AT11" s="312" t="str">
        <f t="shared" si="5"/>
        <v xml:space="preserve"> </v>
      </c>
      <c r="AU11" s="312" t="str">
        <f t="shared" si="6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/>
      <c r="N12" s="329"/>
      <c r="O12" s="424"/>
      <c r="P12" s="424"/>
      <c r="Q12" s="425"/>
      <c r="R12" s="42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3"/>
        <v xml:space="preserve"> </v>
      </c>
      <c r="AS12" s="312" t="str">
        <f t="shared" si="4"/>
        <v xml:space="preserve"> </v>
      </c>
      <c r="AT12" s="312" t="str">
        <f t="shared" si="5"/>
        <v xml:space="preserve"> </v>
      </c>
      <c r="AU12" s="312" t="str">
        <f t="shared" si="6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/>
      <c r="N13" s="329"/>
      <c r="O13" s="424"/>
      <c r="P13" s="424"/>
      <c r="Q13" s="425"/>
      <c r="R13" s="42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3"/>
        <v xml:space="preserve"> </v>
      </c>
      <c r="AS13" s="312" t="str">
        <f t="shared" si="4"/>
        <v xml:space="preserve"> </v>
      </c>
      <c r="AT13" s="312" t="str">
        <f t="shared" si="5"/>
        <v xml:space="preserve"> </v>
      </c>
      <c r="AU13" s="312" t="str">
        <f t="shared" si="6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/>
      <c r="N14" s="329"/>
      <c r="O14" s="424"/>
      <c r="P14" s="424"/>
      <c r="Q14" s="425"/>
      <c r="R14" s="42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3"/>
        <v xml:space="preserve"> </v>
      </c>
      <c r="AS14" s="312" t="str">
        <f t="shared" si="4"/>
        <v xml:space="preserve"> </v>
      </c>
      <c r="AT14" s="312" t="str">
        <f t="shared" si="5"/>
        <v xml:space="preserve"> </v>
      </c>
      <c r="AU14" s="312" t="str">
        <f t="shared" si="6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/>
      <c r="N15" s="329"/>
      <c r="O15" s="424"/>
      <c r="P15" s="424"/>
      <c r="Q15" s="425"/>
      <c r="R15" s="42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3"/>
        <v xml:space="preserve"> </v>
      </c>
      <c r="AS15" s="312" t="str">
        <f t="shared" si="4"/>
        <v xml:space="preserve"> </v>
      </c>
      <c r="AT15" s="312" t="str">
        <f t="shared" si="5"/>
        <v xml:space="preserve"> </v>
      </c>
      <c r="AU15" s="312" t="str">
        <f t="shared" si="6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/>
      <c r="N16" s="329"/>
      <c r="O16" s="424"/>
      <c r="P16" s="424"/>
      <c r="Q16" s="425"/>
      <c r="R16" s="42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3"/>
        <v xml:space="preserve"> </v>
      </c>
      <c r="AS16" s="312" t="str">
        <f t="shared" si="4"/>
        <v xml:space="preserve"> </v>
      </c>
      <c r="AT16" s="312" t="str">
        <f t="shared" si="5"/>
        <v xml:space="preserve"> </v>
      </c>
      <c r="AU16" s="312" t="str">
        <f t="shared" si="6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/>
      <c r="N17" s="329"/>
      <c r="O17" s="424"/>
      <c r="P17" s="424"/>
      <c r="Q17" s="425"/>
      <c r="R17" s="42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3"/>
        <v xml:space="preserve"> </v>
      </c>
      <c r="AS17" s="312" t="str">
        <f t="shared" si="4"/>
        <v xml:space="preserve"> </v>
      </c>
      <c r="AT17" s="312" t="str">
        <f t="shared" si="5"/>
        <v xml:space="preserve"> </v>
      </c>
      <c r="AU17" s="312" t="str">
        <f t="shared" si="6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/>
      <c r="N18" s="329"/>
      <c r="O18" s="424"/>
      <c r="P18" s="424"/>
      <c r="Q18" s="425"/>
      <c r="R18" s="42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3"/>
        <v xml:space="preserve"> </v>
      </c>
      <c r="AS18" s="312" t="str">
        <f t="shared" si="4"/>
        <v xml:space="preserve"> </v>
      </c>
      <c r="AT18" s="312" t="str">
        <f t="shared" si="5"/>
        <v xml:space="preserve"> </v>
      </c>
      <c r="AU18" s="312" t="str">
        <f t="shared" si="6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/>
      <c r="N19" s="329"/>
      <c r="O19" s="424"/>
      <c r="P19" s="424"/>
      <c r="Q19" s="425"/>
      <c r="R19" s="42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3"/>
        <v xml:space="preserve"> </v>
      </c>
      <c r="AS19" s="312" t="str">
        <f t="shared" si="4"/>
        <v xml:space="preserve"> </v>
      </c>
      <c r="AT19" s="312" t="str">
        <f t="shared" si="5"/>
        <v xml:space="preserve"> </v>
      </c>
      <c r="AU19" s="312" t="str">
        <f t="shared" si="6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/>
      <c r="N20" s="329"/>
      <c r="O20" s="424"/>
      <c r="P20" s="424"/>
      <c r="Q20" s="425"/>
      <c r="R20" s="42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3"/>
        <v xml:space="preserve"> </v>
      </c>
      <c r="AS20" s="312" t="str">
        <f t="shared" si="4"/>
        <v xml:space="preserve"> </v>
      </c>
      <c r="AT20" s="312" t="str">
        <f t="shared" si="5"/>
        <v xml:space="preserve"> </v>
      </c>
      <c r="AU20" s="312" t="str">
        <f t="shared" si="6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/>
      <c r="N21" s="329"/>
      <c r="O21" s="424"/>
      <c r="P21" s="424"/>
      <c r="Q21" s="425"/>
      <c r="R21" s="42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3"/>
        <v xml:space="preserve"> </v>
      </c>
      <c r="AS21" s="312" t="str">
        <f t="shared" si="4"/>
        <v xml:space="preserve"> </v>
      </c>
      <c r="AT21" s="312" t="str">
        <f t="shared" si="5"/>
        <v xml:space="preserve"> </v>
      </c>
      <c r="AU21" s="312" t="str">
        <f t="shared" si="6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/>
      <c r="N22" s="329"/>
      <c r="O22" s="424"/>
      <c r="P22" s="424"/>
      <c r="Q22" s="425"/>
      <c r="R22" s="42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3"/>
        <v xml:space="preserve"> </v>
      </c>
      <c r="AS22" s="312" t="str">
        <f t="shared" si="4"/>
        <v xml:space="preserve"> </v>
      </c>
      <c r="AT22" s="312" t="str">
        <f t="shared" si="5"/>
        <v xml:space="preserve"> </v>
      </c>
      <c r="AU22" s="312" t="str">
        <f t="shared" si="6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/>
      <c r="N23" s="329"/>
      <c r="O23" s="424"/>
      <c r="P23" s="424"/>
      <c r="Q23" s="425"/>
      <c r="R23" s="42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3"/>
        <v xml:space="preserve"> </v>
      </c>
      <c r="AS23" s="312" t="str">
        <f t="shared" si="4"/>
        <v xml:space="preserve"> </v>
      </c>
      <c r="AT23" s="312" t="str">
        <f t="shared" si="5"/>
        <v xml:space="preserve"> </v>
      </c>
      <c r="AU23" s="312" t="str">
        <f t="shared" si="6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/>
      <c r="N24" s="329"/>
      <c r="O24" s="424"/>
      <c r="P24" s="424"/>
      <c r="Q24" s="425"/>
      <c r="R24" s="42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3"/>
        <v xml:space="preserve"> </v>
      </c>
      <c r="AS24" s="312" t="str">
        <f t="shared" si="4"/>
        <v xml:space="preserve"> </v>
      </c>
      <c r="AT24" s="312" t="str">
        <f t="shared" si="5"/>
        <v xml:space="preserve"> </v>
      </c>
      <c r="AU24" s="312" t="str">
        <f t="shared" si="6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/>
      <c r="N25" s="329"/>
      <c r="O25" s="424"/>
      <c r="P25" s="424"/>
      <c r="Q25" s="425"/>
      <c r="R25" s="42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3"/>
        <v xml:space="preserve"> </v>
      </c>
      <c r="AS25" s="312" t="str">
        <f t="shared" si="4"/>
        <v xml:space="preserve"> </v>
      </c>
      <c r="AT25" s="312" t="str">
        <f t="shared" si="5"/>
        <v xml:space="preserve"> </v>
      </c>
      <c r="AU25" s="312" t="str">
        <f t="shared" si="6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7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8">IF(COUNT(C32,D32,E32,F32,G32,H32,I32,B32)&gt;3,AVERAGE(C32,D32,E32,F32,G32,H32,I32,B32),"")</f>
        <v/>
      </c>
      <c r="K32" s="370" t="str">
        <f t="shared" ref="K32:K52" si="9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7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8"/>
        <v/>
      </c>
      <c r="K33" s="370" t="str">
        <f t="shared" si="9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7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8"/>
        <v/>
      </c>
      <c r="K34" s="370" t="str">
        <f t="shared" si="9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7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8"/>
        <v/>
      </c>
      <c r="K35" s="370" t="str">
        <f t="shared" si="9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7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8"/>
        <v/>
      </c>
      <c r="K36" s="370" t="str">
        <f t="shared" si="9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7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8"/>
        <v/>
      </c>
      <c r="K37" s="370" t="str">
        <f t="shared" si="9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7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8"/>
        <v/>
      </c>
      <c r="K38" s="370" t="str">
        <f t="shared" si="9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7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8"/>
        <v/>
      </c>
      <c r="K39" s="370" t="str">
        <f t="shared" si="9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7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8"/>
        <v/>
      </c>
      <c r="K40" s="370" t="str">
        <f t="shared" si="9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7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8"/>
        <v/>
      </c>
      <c r="K41" s="370" t="str">
        <f t="shared" si="9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7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8"/>
        <v/>
      </c>
      <c r="K42" s="370" t="str">
        <f t="shared" si="9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7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8"/>
        <v/>
      </c>
      <c r="K43" s="370" t="str">
        <f t="shared" si="9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7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8"/>
        <v/>
      </c>
      <c r="K44" s="370" t="str">
        <f t="shared" si="9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7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8"/>
        <v/>
      </c>
      <c r="K45" s="370" t="str">
        <f t="shared" si="9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7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8"/>
        <v/>
      </c>
      <c r="K46" s="370" t="str">
        <f t="shared" si="9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7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8"/>
        <v/>
      </c>
      <c r="K47" s="370" t="str">
        <f t="shared" si="9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7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8"/>
        <v/>
      </c>
      <c r="K48" s="370" t="str">
        <f t="shared" si="9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7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8"/>
        <v/>
      </c>
      <c r="K49" s="370" t="str">
        <f t="shared" si="9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7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8"/>
        <v/>
      </c>
      <c r="K50" s="370" t="str">
        <f t="shared" si="9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7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8"/>
        <v/>
      </c>
      <c r="K51" s="370" t="str">
        <f t="shared" si="9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7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8"/>
        <v/>
      </c>
      <c r="K52" s="370" t="str">
        <f t="shared" si="9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0">IF(COUNT(O31)&gt;0,O31,"")</f>
        <v/>
      </c>
      <c r="C55" s="359" t="str">
        <f t="shared" si="10"/>
        <v/>
      </c>
      <c r="D55" s="359" t="str">
        <f t="shared" si="10"/>
        <v/>
      </c>
      <c r="E55" s="359" t="str">
        <f t="shared" si="10"/>
        <v/>
      </c>
      <c r="F55" s="359" t="str">
        <f t="shared" si="10"/>
        <v/>
      </c>
      <c r="G55" s="359" t="str">
        <f t="shared" si="10"/>
        <v/>
      </c>
      <c r="H55" s="359" t="str">
        <f t="shared" si="10"/>
        <v/>
      </c>
      <c r="I55" s="359" t="str">
        <f t="shared" si="10"/>
        <v/>
      </c>
    </row>
    <row r="56" spans="1:59" s="312" customFormat="1" hidden="1">
      <c r="A56" s="395" t="s">
        <v>106</v>
      </c>
      <c r="B56" s="359" t="str">
        <f t="shared" si="10"/>
        <v/>
      </c>
      <c r="C56" s="359" t="str">
        <f t="shared" si="10"/>
        <v/>
      </c>
      <c r="D56" s="359" t="str">
        <f t="shared" si="10"/>
        <v/>
      </c>
      <c r="E56" s="359" t="str">
        <f t="shared" si="10"/>
        <v/>
      </c>
      <c r="F56" s="359" t="str">
        <f t="shared" si="10"/>
        <v/>
      </c>
      <c r="G56" s="359" t="str">
        <f t="shared" si="10"/>
        <v/>
      </c>
      <c r="H56" s="359" t="str">
        <f t="shared" si="10"/>
        <v/>
      </c>
      <c r="I56" s="359" t="str">
        <f t="shared" si="10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0"/>
        <v/>
      </c>
      <c r="C57" s="359" t="str">
        <f t="shared" si="10"/>
        <v/>
      </c>
      <c r="D57" s="359" t="str">
        <f t="shared" si="10"/>
        <v/>
      </c>
      <c r="E57" s="359" t="str">
        <f t="shared" si="10"/>
        <v/>
      </c>
      <c r="F57" s="359" t="str">
        <f t="shared" si="10"/>
        <v/>
      </c>
      <c r="G57" s="359" t="str">
        <f t="shared" si="10"/>
        <v/>
      </c>
      <c r="H57" s="359" t="str">
        <f t="shared" si="10"/>
        <v/>
      </c>
      <c r="I57" s="359" t="str">
        <f t="shared" si="10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1">IF(COUNT(O35)&gt;0,O35,"")</f>
        <v/>
      </c>
      <c r="C58" s="359" t="str">
        <f t="shared" si="11"/>
        <v/>
      </c>
      <c r="D58" s="359" t="str">
        <f t="shared" si="11"/>
        <v/>
      </c>
      <c r="E58" s="359" t="str">
        <f t="shared" si="11"/>
        <v/>
      </c>
      <c r="F58" s="359" t="str">
        <f t="shared" si="11"/>
        <v/>
      </c>
      <c r="G58" s="359" t="str">
        <f t="shared" si="11"/>
        <v/>
      </c>
      <c r="H58" s="359" t="str">
        <f t="shared" si="11"/>
        <v/>
      </c>
      <c r="I58" s="359" t="str">
        <f t="shared" si="11"/>
        <v/>
      </c>
    </row>
    <row r="59" spans="1:59" s="312" customFormat="1" hidden="1">
      <c r="A59" s="393" t="s">
        <v>109</v>
      </c>
      <c r="B59" s="359" t="str">
        <f t="shared" ref="B59:I59" si="12">IF(COUNT(O39)&gt;0,O39,"")</f>
        <v/>
      </c>
      <c r="C59" s="359" t="str">
        <f t="shared" si="12"/>
        <v/>
      </c>
      <c r="D59" s="359" t="str">
        <f t="shared" si="12"/>
        <v/>
      </c>
      <c r="E59" s="359" t="str">
        <f t="shared" si="12"/>
        <v/>
      </c>
      <c r="F59" s="359" t="str">
        <f t="shared" si="12"/>
        <v/>
      </c>
      <c r="G59" s="359" t="str">
        <f t="shared" si="12"/>
        <v/>
      </c>
      <c r="H59" s="359" t="str">
        <f t="shared" si="12"/>
        <v/>
      </c>
      <c r="I59" s="359" t="str">
        <f t="shared" si="12"/>
        <v/>
      </c>
    </row>
    <row r="60" spans="1:59" s="312" customFormat="1" hidden="1">
      <c r="A60" s="393" t="s">
        <v>110</v>
      </c>
      <c r="B60" s="359" t="str">
        <f t="shared" ref="B60:I61" si="13">IF(COUNT(O44)&gt;0,O44,"")</f>
        <v/>
      </c>
      <c r="C60" s="359" t="str">
        <f t="shared" si="13"/>
        <v/>
      </c>
      <c r="D60" s="359" t="str">
        <f t="shared" si="13"/>
        <v/>
      </c>
      <c r="E60" s="359" t="str">
        <f t="shared" si="13"/>
        <v/>
      </c>
      <c r="F60" s="359" t="str">
        <f t="shared" si="13"/>
        <v/>
      </c>
      <c r="G60" s="359" t="str">
        <f t="shared" si="13"/>
        <v/>
      </c>
      <c r="H60" s="359" t="str">
        <f t="shared" si="13"/>
        <v/>
      </c>
      <c r="I60" s="359" t="str">
        <f t="shared" si="13"/>
        <v/>
      </c>
    </row>
    <row r="61" spans="1:59" s="312" customFormat="1" hidden="1">
      <c r="A61" s="393" t="s">
        <v>111</v>
      </c>
      <c r="B61" s="359" t="str">
        <f t="shared" si="13"/>
        <v/>
      </c>
      <c r="C61" s="359" t="str">
        <f t="shared" si="13"/>
        <v/>
      </c>
      <c r="D61" s="359" t="str">
        <f t="shared" si="13"/>
        <v/>
      </c>
      <c r="E61" s="359" t="str">
        <f t="shared" si="13"/>
        <v/>
      </c>
      <c r="F61" s="359" t="str">
        <f t="shared" si="13"/>
        <v/>
      </c>
      <c r="G61" s="359" t="str">
        <f t="shared" si="13"/>
        <v/>
      </c>
      <c r="H61" s="359" t="str">
        <f t="shared" si="13"/>
        <v/>
      </c>
      <c r="I61" s="359" t="str">
        <f t="shared" si="13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70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20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/>
      <c r="N4" s="424"/>
      <c r="O4" s="424"/>
      <c r="P4" s="424"/>
      <c r="Q4" s="425"/>
      <c r="R4" s="42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/>
      <c r="N5" s="424"/>
      <c r="O5" s="424"/>
      <c r="P5" s="424"/>
      <c r="Q5" s="425"/>
      <c r="R5" s="42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/>
      <c r="N6" s="424"/>
      <c r="O6" s="424"/>
      <c r="P6" s="424"/>
      <c r="Q6" s="425"/>
      <c r="R6" s="42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3">IF(COUNT(D6,H6)=2,AVERAGE(D6,H6)," ")</f>
        <v xml:space="preserve"> </v>
      </c>
      <c r="AS6" s="312" t="str">
        <f t="shared" ref="AS6:AS25" si="4">IF(COUNT(E6,I6)=2,AVERAGE(E6,I6)," ")</f>
        <v xml:space="preserve"> </v>
      </c>
      <c r="AT6" s="312" t="str">
        <f t="shared" ref="AT6:AT25" si="5">IF(COUNT(F6,J6)=2,AVERAGE(F6,J6)," ")</f>
        <v xml:space="preserve"> </v>
      </c>
      <c r="AU6" s="312" t="str">
        <f t="shared" ref="AU6:AU25" si="6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/>
      <c r="N7" s="424"/>
      <c r="O7" s="424"/>
      <c r="P7" s="424"/>
      <c r="Q7" s="425"/>
      <c r="R7" s="42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3"/>
        <v xml:space="preserve"> </v>
      </c>
      <c r="AS7" s="312" t="str">
        <f t="shared" si="4"/>
        <v xml:space="preserve"> </v>
      </c>
      <c r="AT7" s="312" t="str">
        <f t="shared" si="5"/>
        <v xml:space="preserve"> </v>
      </c>
      <c r="AU7" s="312" t="str">
        <f t="shared" si="6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/>
      <c r="N8" s="424"/>
      <c r="O8" s="424"/>
      <c r="P8" s="424"/>
      <c r="Q8" s="425"/>
      <c r="R8" s="42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3"/>
        <v xml:space="preserve"> </v>
      </c>
      <c r="AS8" s="312" t="str">
        <f t="shared" si="4"/>
        <v xml:space="preserve"> </v>
      </c>
      <c r="AT8" s="312" t="str">
        <f t="shared" si="5"/>
        <v xml:space="preserve"> </v>
      </c>
      <c r="AU8" s="312" t="str">
        <f t="shared" si="6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/>
      <c r="N9" s="424"/>
      <c r="O9" s="424"/>
      <c r="P9" s="424"/>
      <c r="Q9" s="425"/>
      <c r="R9" s="42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3"/>
        <v xml:space="preserve"> </v>
      </c>
      <c r="AS9" s="312" t="str">
        <f t="shared" si="4"/>
        <v xml:space="preserve"> </v>
      </c>
      <c r="AT9" s="312" t="str">
        <f t="shared" si="5"/>
        <v xml:space="preserve"> </v>
      </c>
      <c r="AU9" s="312" t="str">
        <f t="shared" si="6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/>
      <c r="N10" s="424"/>
      <c r="O10" s="424"/>
      <c r="P10" s="424"/>
      <c r="Q10" s="425"/>
      <c r="R10" s="42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3"/>
        <v xml:space="preserve"> </v>
      </c>
      <c r="AS10" s="312" t="str">
        <f t="shared" si="4"/>
        <v xml:space="preserve"> </v>
      </c>
      <c r="AT10" s="312" t="str">
        <f t="shared" si="5"/>
        <v xml:space="preserve"> </v>
      </c>
      <c r="AU10" s="312" t="str">
        <f t="shared" si="6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/>
      <c r="N11" s="424"/>
      <c r="O11" s="424"/>
      <c r="P11" s="424"/>
      <c r="Q11" s="425"/>
      <c r="R11" s="42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3"/>
        <v xml:space="preserve"> </v>
      </c>
      <c r="AS11" s="312" t="str">
        <f t="shared" si="4"/>
        <v xml:space="preserve"> </v>
      </c>
      <c r="AT11" s="312" t="str">
        <f t="shared" si="5"/>
        <v xml:space="preserve"> </v>
      </c>
      <c r="AU11" s="312" t="str">
        <f t="shared" si="6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/>
      <c r="N12" s="424"/>
      <c r="O12" s="424"/>
      <c r="P12" s="424"/>
      <c r="Q12" s="425"/>
      <c r="R12" s="42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3"/>
        <v xml:space="preserve"> </v>
      </c>
      <c r="AS12" s="312" t="str">
        <f t="shared" si="4"/>
        <v xml:space="preserve"> </v>
      </c>
      <c r="AT12" s="312" t="str">
        <f t="shared" si="5"/>
        <v xml:space="preserve"> </v>
      </c>
      <c r="AU12" s="312" t="str">
        <f t="shared" si="6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/>
      <c r="N13" s="424"/>
      <c r="O13" s="424"/>
      <c r="P13" s="424"/>
      <c r="Q13" s="425"/>
      <c r="R13" s="42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3"/>
        <v xml:space="preserve"> </v>
      </c>
      <c r="AS13" s="312" t="str">
        <f t="shared" si="4"/>
        <v xml:space="preserve"> </v>
      </c>
      <c r="AT13" s="312" t="str">
        <f t="shared" si="5"/>
        <v xml:space="preserve"> </v>
      </c>
      <c r="AU13" s="312" t="str">
        <f t="shared" si="6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/>
      <c r="N14" s="424"/>
      <c r="O14" s="424"/>
      <c r="P14" s="424"/>
      <c r="Q14" s="425"/>
      <c r="R14" s="42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3"/>
        <v xml:space="preserve"> </v>
      </c>
      <c r="AS14" s="312" t="str">
        <f t="shared" si="4"/>
        <v xml:space="preserve"> </v>
      </c>
      <c r="AT14" s="312" t="str">
        <f t="shared" si="5"/>
        <v xml:space="preserve"> </v>
      </c>
      <c r="AU14" s="312" t="str">
        <f t="shared" si="6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/>
      <c r="N15" s="424"/>
      <c r="O15" s="424"/>
      <c r="P15" s="424"/>
      <c r="Q15" s="425"/>
      <c r="R15" s="42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3"/>
        <v xml:space="preserve"> </v>
      </c>
      <c r="AS15" s="312" t="str">
        <f t="shared" si="4"/>
        <v xml:space="preserve"> </v>
      </c>
      <c r="AT15" s="312" t="str">
        <f t="shared" si="5"/>
        <v xml:space="preserve"> </v>
      </c>
      <c r="AU15" s="312" t="str">
        <f t="shared" si="6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/>
      <c r="N16" s="424"/>
      <c r="O16" s="424"/>
      <c r="P16" s="424"/>
      <c r="Q16" s="425"/>
      <c r="R16" s="42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3"/>
        <v xml:space="preserve"> </v>
      </c>
      <c r="AS16" s="312" t="str">
        <f t="shared" si="4"/>
        <v xml:space="preserve"> </v>
      </c>
      <c r="AT16" s="312" t="str">
        <f t="shared" si="5"/>
        <v xml:space="preserve"> </v>
      </c>
      <c r="AU16" s="312" t="str">
        <f t="shared" si="6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/>
      <c r="N17" s="424"/>
      <c r="O17" s="424"/>
      <c r="P17" s="424"/>
      <c r="Q17" s="425"/>
      <c r="R17" s="42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3"/>
        <v xml:space="preserve"> </v>
      </c>
      <c r="AS17" s="312" t="str">
        <f t="shared" si="4"/>
        <v xml:space="preserve"> </v>
      </c>
      <c r="AT17" s="312" t="str">
        <f t="shared" si="5"/>
        <v xml:space="preserve"> </v>
      </c>
      <c r="AU17" s="312" t="str">
        <f t="shared" si="6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/>
      <c r="N18" s="424"/>
      <c r="O18" s="424"/>
      <c r="P18" s="424"/>
      <c r="Q18" s="425"/>
      <c r="R18" s="42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3"/>
        <v xml:space="preserve"> </v>
      </c>
      <c r="AS18" s="312" t="str">
        <f t="shared" si="4"/>
        <v xml:space="preserve"> </v>
      </c>
      <c r="AT18" s="312" t="str">
        <f t="shared" si="5"/>
        <v xml:space="preserve"> </v>
      </c>
      <c r="AU18" s="312" t="str">
        <f t="shared" si="6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/>
      <c r="N19" s="424"/>
      <c r="O19" s="424"/>
      <c r="P19" s="424"/>
      <c r="Q19" s="425"/>
      <c r="R19" s="42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3"/>
        <v xml:space="preserve"> </v>
      </c>
      <c r="AS19" s="312" t="str">
        <f t="shared" si="4"/>
        <v xml:space="preserve"> </v>
      </c>
      <c r="AT19" s="312" t="str">
        <f t="shared" si="5"/>
        <v xml:space="preserve"> </v>
      </c>
      <c r="AU19" s="312" t="str">
        <f t="shared" si="6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/>
      <c r="N20" s="424"/>
      <c r="O20" s="424"/>
      <c r="P20" s="424"/>
      <c r="Q20" s="425"/>
      <c r="R20" s="42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3"/>
        <v xml:space="preserve"> </v>
      </c>
      <c r="AS20" s="312" t="str">
        <f t="shared" si="4"/>
        <v xml:space="preserve"> </v>
      </c>
      <c r="AT20" s="312" t="str">
        <f t="shared" si="5"/>
        <v xml:space="preserve"> </v>
      </c>
      <c r="AU20" s="312" t="str">
        <f t="shared" si="6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/>
      <c r="N21" s="424"/>
      <c r="O21" s="424"/>
      <c r="P21" s="424"/>
      <c r="Q21" s="425"/>
      <c r="R21" s="42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3"/>
        <v xml:space="preserve"> </v>
      </c>
      <c r="AS21" s="312" t="str">
        <f t="shared" si="4"/>
        <v xml:space="preserve"> </v>
      </c>
      <c r="AT21" s="312" t="str">
        <f t="shared" si="5"/>
        <v xml:space="preserve"> </v>
      </c>
      <c r="AU21" s="312" t="str">
        <f t="shared" si="6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/>
      <c r="N22" s="424"/>
      <c r="O22" s="424"/>
      <c r="P22" s="424"/>
      <c r="Q22" s="425"/>
      <c r="R22" s="42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3"/>
        <v xml:space="preserve"> </v>
      </c>
      <c r="AS22" s="312" t="str">
        <f t="shared" si="4"/>
        <v xml:space="preserve"> </v>
      </c>
      <c r="AT22" s="312" t="str">
        <f t="shared" si="5"/>
        <v xml:space="preserve"> </v>
      </c>
      <c r="AU22" s="312" t="str">
        <f t="shared" si="6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/>
      <c r="N23" s="424"/>
      <c r="O23" s="424"/>
      <c r="P23" s="424"/>
      <c r="Q23" s="425"/>
      <c r="R23" s="42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3"/>
        <v xml:space="preserve"> </v>
      </c>
      <c r="AS23" s="312" t="str">
        <f t="shared" si="4"/>
        <v xml:space="preserve"> </v>
      </c>
      <c r="AT23" s="312" t="str">
        <f t="shared" si="5"/>
        <v xml:space="preserve"> </v>
      </c>
      <c r="AU23" s="312" t="str">
        <f t="shared" si="6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/>
      <c r="N24" s="424"/>
      <c r="O24" s="424"/>
      <c r="P24" s="424"/>
      <c r="Q24" s="425"/>
      <c r="R24" s="42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3"/>
        <v xml:space="preserve"> </v>
      </c>
      <c r="AS24" s="312" t="str">
        <f t="shared" si="4"/>
        <v xml:space="preserve"> </v>
      </c>
      <c r="AT24" s="312" t="str">
        <f t="shared" si="5"/>
        <v xml:space="preserve"> </v>
      </c>
      <c r="AU24" s="312" t="str">
        <f t="shared" si="6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/>
      <c r="N25" s="424"/>
      <c r="O25" s="424"/>
      <c r="P25" s="424"/>
      <c r="Q25" s="425"/>
      <c r="R25" s="42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3"/>
        <v xml:space="preserve"> </v>
      </c>
      <c r="AS25" s="312" t="str">
        <f t="shared" si="4"/>
        <v xml:space="preserve"> </v>
      </c>
      <c r="AT25" s="312" t="str">
        <f t="shared" si="5"/>
        <v xml:space="preserve"> </v>
      </c>
      <c r="AU25" s="312" t="str">
        <f t="shared" si="6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351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7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8">IF(COUNT(C32,D32,E32,F32,G32,H32,I32,B32)&gt;3,AVERAGE(C32,D32,E32,F32,G32,H32,I32,B32),"")</f>
        <v/>
      </c>
      <c r="K32" s="370" t="str">
        <f t="shared" ref="K32:K52" si="9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7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8"/>
        <v/>
      </c>
      <c r="K33" s="370" t="str">
        <f t="shared" si="9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7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8"/>
        <v/>
      </c>
      <c r="K34" s="370" t="str">
        <f t="shared" si="9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7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8"/>
        <v/>
      </c>
      <c r="K35" s="370" t="str">
        <f t="shared" si="9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7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8"/>
        <v/>
      </c>
      <c r="K36" s="370" t="str">
        <f t="shared" si="9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7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8"/>
        <v/>
      </c>
      <c r="K37" s="370" t="str">
        <f t="shared" si="9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7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8"/>
        <v/>
      </c>
      <c r="K38" s="370" t="str">
        <f t="shared" si="9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7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8"/>
        <v/>
      </c>
      <c r="K39" s="370" t="str">
        <f t="shared" si="9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7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8"/>
        <v/>
      </c>
      <c r="K40" s="370" t="str">
        <f t="shared" si="9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7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8"/>
        <v/>
      </c>
      <c r="K41" s="370" t="str">
        <f t="shared" si="9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7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8"/>
        <v/>
      </c>
      <c r="K42" s="370" t="str">
        <f t="shared" si="9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7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8"/>
        <v/>
      </c>
      <c r="K43" s="370" t="str">
        <f t="shared" si="9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7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8"/>
        <v/>
      </c>
      <c r="K44" s="370" t="str">
        <f t="shared" si="9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7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8"/>
        <v/>
      </c>
      <c r="K45" s="370" t="str">
        <f t="shared" si="9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7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8"/>
        <v/>
      </c>
      <c r="K46" s="370" t="str">
        <f t="shared" si="9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7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8"/>
        <v/>
      </c>
      <c r="K47" s="370" t="str">
        <f t="shared" si="9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7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8"/>
        <v/>
      </c>
      <c r="K48" s="370" t="str">
        <f t="shared" si="9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7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8"/>
        <v/>
      </c>
      <c r="K49" s="370" t="str">
        <f t="shared" si="9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7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8"/>
        <v/>
      </c>
      <c r="K50" s="370" t="str">
        <f t="shared" si="9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7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8"/>
        <v/>
      </c>
      <c r="K51" s="370" t="str">
        <f t="shared" si="9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7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8"/>
        <v/>
      </c>
      <c r="K52" s="370" t="str">
        <f t="shared" si="9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>
      <c r="A55" s="393" t="s">
        <v>105</v>
      </c>
      <c r="B55" s="359" t="str">
        <f t="shared" ref="B55:I56" si="10">IF(COUNT(O31)&gt;0,O31,"")</f>
        <v/>
      </c>
      <c r="C55" s="359" t="str">
        <f t="shared" si="10"/>
        <v/>
      </c>
      <c r="D55" s="359" t="str">
        <f t="shared" si="10"/>
        <v/>
      </c>
      <c r="E55" s="359" t="str">
        <f t="shared" si="10"/>
        <v/>
      </c>
      <c r="F55" s="359" t="str">
        <f t="shared" si="10"/>
        <v/>
      </c>
      <c r="G55" s="359" t="str">
        <f t="shared" si="10"/>
        <v/>
      </c>
      <c r="H55" s="359" t="str">
        <f t="shared" si="10"/>
        <v/>
      </c>
      <c r="I55" s="359" t="str">
        <f t="shared" si="10"/>
        <v/>
      </c>
      <c r="P55" s="359"/>
      <c r="Q55" s="359"/>
    </row>
    <row r="56" spans="1:59" s="312" customFormat="1">
      <c r="A56" s="395" t="s">
        <v>106</v>
      </c>
      <c r="B56" s="359" t="str">
        <f t="shared" si="10"/>
        <v/>
      </c>
      <c r="C56" s="359" t="str">
        <f t="shared" si="10"/>
        <v/>
      </c>
      <c r="D56" s="359" t="str">
        <f t="shared" si="10"/>
        <v/>
      </c>
      <c r="E56" s="359" t="str">
        <f t="shared" si="10"/>
        <v/>
      </c>
      <c r="F56" s="359" t="str">
        <f t="shared" si="10"/>
        <v/>
      </c>
      <c r="G56" s="359" t="str">
        <f t="shared" si="10"/>
        <v/>
      </c>
      <c r="H56" s="359" t="str">
        <f t="shared" si="10"/>
        <v/>
      </c>
      <c r="I56" s="359" t="str">
        <f t="shared" si="10"/>
        <v/>
      </c>
      <c r="K56" s="394"/>
      <c r="L56" s="394"/>
      <c r="M56" s="394"/>
      <c r="N56" s="394"/>
      <c r="O56" s="394"/>
      <c r="P56" s="340"/>
      <c r="Q56" s="340"/>
      <c r="R56" s="394"/>
    </row>
    <row r="57" spans="1:59" s="312" customFormat="1">
      <c r="A57" s="395" t="s">
        <v>108</v>
      </c>
      <c r="B57" s="359" t="str">
        <f t="shared" ref="B57:I57" si="11">IF(COUNT(O35)&gt;0,O35,"")</f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P57" s="359"/>
      <c r="Q57" s="359"/>
    </row>
    <row r="58" spans="1:59" s="312" customFormat="1">
      <c r="A58" s="393" t="s">
        <v>109</v>
      </c>
      <c r="B58" s="359" t="str">
        <f t="shared" ref="B58:I58" si="12">IF(COUNT(O39)&gt;0,O39,"")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P58" s="359"/>
      <c r="Q58" s="359"/>
    </row>
    <row r="59" spans="1:59" s="312" customFormat="1">
      <c r="A59" s="393" t="s">
        <v>110</v>
      </c>
      <c r="B59" s="359" t="str">
        <f t="shared" ref="B59:I60" si="13">IF(COUNT(O44)&gt;0,O44,"")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P59" s="359"/>
      <c r="Q59" s="359"/>
    </row>
    <row r="60" spans="1:59" s="312" customFormat="1">
      <c r="A60" s="393" t="s">
        <v>111</v>
      </c>
      <c r="B60" s="359" t="str">
        <f t="shared" si="13"/>
        <v/>
      </c>
      <c r="C60" s="359" t="str">
        <f t="shared" si="13"/>
        <v/>
      </c>
      <c r="D60" s="359" t="str">
        <f t="shared" si="13"/>
        <v/>
      </c>
      <c r="E60" s="359" t="str">
        <f t="shared" si="13"/>
        <v/>
      </c>
      <c r="F60" s="359" t="str">
        <f t="shared" si="13"/>
        <v/>
      </c>
      <c r="G60" s="359" t="str">
        <f t="shared" si="13"/>
        <v/>
      </c>
      <c r="H60" s="359" t="str">
        <f t="shared" si="13"/>
        <v/>
      </c>
      <c r="I60" s="359" t="str">
        <f t="shared" si="13"/>
        <v/>
      </c>
      <c r="P60" s="359"/>
      <c r="Q60" s="359"/>
    </row>
    <row r="61" spans="1:59">
      <c r="A61" s="390"/>
      <c r="B61" s="392"/>
      <c r="C61" s="392"/>
      <c r="K61" s="306"/>
      <c r="R61" s="306"/>
      <c r="S61" s="306"/>
      <c r="T61" s="306"/>
      <c r="U61" s="306"/>
      <c r="V61" s="306"/>
      <c r="W61" s="306"/>
      <c r="X61" s="306"/>
      <c r="Y61" s="306"/>
      <c r="Z61" s="306"/>
      <c r="AA61" s="306"/>
      <c r="AB61" s="306"/>
      <c r="AC61" s="306"/>
      <c r="AD61" s="306"/>
      <c r="AE61" s="306"/>
    </row>
    <row r="62" spans="1:59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>
      <c r="B78" s="306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/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71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424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Q4" s="359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424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Q5" s="359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424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Q6" s="359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424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Q7" s="359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424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Q8" s="359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424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Q9" s="359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424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Q10" s="359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424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Q11" s="359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424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Q12" s="359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424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Q13" s="359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424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Q14" s="359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424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Q15" s="359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424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Q16" s="359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424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Q17" s="359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424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Q18" s="359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424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Q19" s="359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424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Q20" s="359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424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Q21" s="359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424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Q22" s="359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424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Q23" s="359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424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Q24" s="359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424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Q25" s="359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P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40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40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P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P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P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P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72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Q4" s="359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Q5" s="359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4" si="1">IF(COUNT(AR6:AU6)&gt;0,AVERAGE(AR6:AU6)," ")</f>
        <v xml:space="preserve"> </v>
      </c>
      <c r="L6" s="331" t="str">
        <f t="shared" ref="L6:L24" si="2">IF(COUNT(L33,M33,N33)&gt;0,MIN(L33,M33,N33),"")</f>
        <v/>
      </c>
      <c r="M6" s="416" t="str">
        <f t="shared" ref="M6:M24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Q6" s="359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Q7" s="359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Q8" s="359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Q9" s="359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Q10" s="359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Q11" s="359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Q12" s="359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Q13" s="359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Q14" s="359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Q15" s="359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Q16" s="359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Q17" s="359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Q18" s="359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Q19" s="359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Q20" s="359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Q21" s="359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Q22" s="359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Q23" s="359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Q24" s="359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>IF(COUNT(AR25:AU25)&gt;0,AVERAGE(AR25:AU25)," ")</f>
        <v xml:space="preserve"> </v>
      </c>
      <c r="L25" s="331" t="str">
        <f>IF(COUNT(L52,M52,N52)&gt;0,MIN(L52,M52,N52),"")</f>
        <v/>
      </c>
      <c r="M25" s="416" t="str">
        <f>IF(COUNT(AP52)&gt;0,AP52,"")</f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Q25" s="359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P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40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40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P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P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P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P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73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22"/>
      <c r="M26" s="423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M55" s="359"/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40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40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M58" s="359"/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M59" s="359"/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M60" s="359"/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M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74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04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75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04"/>
      <c r="M26" s="348"/>
      <c r="N26" s="417"/>
      <c r="O26" s="350"/>
      <c r="P26" s="350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/>
    <row r="28" spans="1:59" s="312" customFormat="1" ht="21" customHeight="1" thickBot="1">
      <c r="A28" s="360" t="s">
        <v>164</v>
      </c>
      <c r="B28" s="361"/>
      <c r="C28" s="361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2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2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 t="shared" si="8"/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 t="shared" si="9"/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idden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</row>
    <row r="56" spans="1:59" s="312" customFormat="1" hidden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94"/>
      <c r="P56" s="394"/>
      <c r="Q56" s="394"/>
      <c r="R56" s="394"/>
    </row>
    <row r="57" spans="1:59" s="312" customFormat="1" hidden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94"/>
      <c r="P57" s="394"/>
      <c r="Q57" s="394"/>
      <c r="R57" s="394"/>
    </row>
    <row r="58" spans="1:59" s="312" customFormat="1" hidden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</row>
    <row r="59" spans="1:59" s="312" customFormat="1" hidden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</row>
    <row r="60" spans="1:59" s="312" customFormat="1" hidden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</row>
    <row r="61" spans="1:59" s="312" customFormat="1" hidden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BG108"/>
  <sheetViews>
    <sheetView showGridLines="0" zoomScaleNormal="100" workbookViewId="0">
      <selection sqref="A1:XFD1048576"/>
    </sheetView>
  </sheetViews>
  <sheetFormatPr defaultColWidth="0" defaultRowHeight="11.25" zeroHeight="1"/>
  <cols>
    <col min="1" max="1" width="15" style="378" customWidth="1"/>
    <col min="2" max="2" width="6.83203125" style="378" customWidth="1"/>
    <col min="3" max="10" width="5.83203125" style="306" customWidth="1"/>
    <col min="11" max="11" width="5.83203125" style="312" customWidth="1"/>
    <col min="12" max="13" width="5.83203125" style="306" customWidth="1"/>
    <col min="14" max="17" width="6.83203125" style="306" customWidth="1"/>
    <col min="18" max="26" width="6.83203125" style="312" customWidth="1"/>
    <col min="27" max="27" width="6.1640625" style="312" customWidth="1"/>
    <col min="28" max="31" width="6" style="312" customWidth="1"/>
    <col min="32" max="32" width="5.83203125" style="378" customWidth="1"/>
    <col min="33" max="34" width="6" style="378" customWidth="1"/>
    <col min="35" max="35" width="6.33203125" style="378" customWidth="1"/>
    <col min="36" max="36" width="6.33203125" style="378" hidden="1" customWidth="1"/>
    <col min="37" max="16384" width="6" style="378" hidden="1"/>
  </cols>
  <sheetData>
    <row r="1" spans="1:47" s="312" customFormat="1" ht="24" customHeight="1" thickBot="1">
      <c r="A1" s="306"/>
      <c r="B1" s="307"/>
      <c r="C1" s="308"/>
      <c r="D1" s="511" t="s">
        <v>76</v>
      </c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  <c r="W1" s="511"/>
      <c r="X1" s="512"/>
      <c r="Y1" s="512"/>
      <c r="Z1" s="512"/>
      <c r="AA1" s="309"/>
      <c r="AB1" s="309"/>
      <c r="AC1" s="309"/>
      <c r="AD1" s="309"/>
      <c r="AE1" s="309"/>
      <c r="AF1" s="309"/>
      <c r="AG1" s="309"/>
      <c r="AH1" s="309"/>
      <c r="AI1" s="310"/>
      <c r="AJ1" s="310"/>
      <c r="AK1" s="311"/>
      <c r="AL1" s="311"/>
      <c r="AM1" s="311"/>
      <c r="AN1" s="311"/>
      <c r="AO1" s="311"/>
      <c r="AP1" s="311"/>
    </row>
    <row r="2" spans="1:47" s="312" customFormat="1" ht="12" thickBot="1">
      <c r="A2" s="313"/>
      <c r="B2" s="313"/>
      <c r="C2" s="314" t="s">
        <v>37</v>
      </c>
      <c r="D2" s="315"/>
      <c r="E2" s="315"/>
      <c r="F2" s="315"/>
      <c r="G2" s="315"/>
      <c r="H2" s="315"/>
      <c r="I2" s="315"/>
      <c r="J2" s="316"/>
      <c r="K2" s="314" t="s">
        <v>37</v>
      </c>
      <c r="L2" s="315"/>
      <c r="M2" s="316"/>
      <c r="N2" s="513" t="s">
        <v>40</v>
      </c>
      <c r="O2" s="514"/>
      <c r="P2" s="514"/>
      <c r="Q2" s="514"/>
      <c r="R2" s="514"/>
      <c r="S2" s="513" t="s">
        <v>83</v>
      </c>
      <c r="T2" s="514"/>
      <c r="U2" s="514"/>
      <c r="V2" s="514"/>
      <c r="W2" s="514"/>
      <c r="X2" s="514"/>
      <c r="Y2" s="514"/>
      <c r="Z2" s="515"/>
      <c r="AA2" s="513" t="s">
        <v>127</v>
      </c>
      <c r="AB2" s="514"/>
      <c r="AC2" s="514"/>
      <c r="AD2" s="514"/>
      <c r="AE2" s="514"/>
      <c r="AF2" s="514"/>
      <c r="AG2" s="514"/>
      <c r="AH2" s="515"/>
      <c r="AI2" s="317"/>
      <c r="AJ2" s="318"/>
      <c r="AK2" s="319"/>
      <c r="AL2" s="318"/>
      <c r="AM2" s="318"/>
      <c r="AN2" s="318"/>
      <c r="AO2" s="318"/>
      <c r="AP2" s="318"/>
    </row>
    <row r="3" spans="1:47" s="312" customFormat="1" ht="12" thickBot="1">
      <c r="A3" s="320" t="s">
        <v>19</v>
      </c>
      <c r="B3" s="320" t="s">
        <v>41</v>
      </c>
      <c r="C3" s="321">
        <v>22</v>
      </c>
      <c r="D3" s="322">
        <v>1</v>
      </c>
      <c r="E3" s="322">
        <v>4</v>
      </c>
      <c r="F3" s="322">
        <v>7</v>
      </c>
      <c r="G3" s="322">
        <v>10</v>
      </c>
      <c r="H3" s="322">
        <v>13</v>
      </c>
      <c r="I3" s="322">
        <v>16</v>
      </c>
      <c r="J3" s="322">
        <v>19</v>
      </c>
      <c r="K3" s="321" t="s">
        <v>42</v>
      </c>
      <c r="L3" s="322" t="s">
        <v>43</v>
      </c>
      <c r="M3" s="323" t="s">
        <v>44</v>
      </c>
      <c r="N3" s="321">
        <v>1</v>
      </c>
      <c r="O3" s="322">
        <v>7</v>
      </c>
      <c r="P3" s="322">
        <v>13</v>
      </c>
      <c r="Q3" s="322">
        <v>19</v>
      </c>
      <c r="R3" s="400" t="s">
        <v>45</v>
      </c>
      <c r="S3" s="321">
        <v>22</v>
      </c>
      <c r="T3" s="322">
        <v>1</v>
      </c>
      <c r="U3" s="322">
        <v>4</v>
      </c>
      <c r="V3" s="322">
        <v>7</v>
      </c>
      <c r="W3" s="322">
        <v>10</v>
      </c>
      <c r="X3" s="322">
        <v>13</v>
      </c>
      <c r="Y3" s="322">
        <v>16</v>
      </c>
      <c r="Z3" s="323">
        <v>19</v>
      </c>
      <c r="AA3" s="321">
        <v>22</v>
      </c>
      <c r="AB3" s="322">
        <v>1</v>
      </c>
      <c r="AC3" s="322">
        <v>4</v>
      </c>
      <c r="AD3" s="322">
        <v>7</v>
      </c>
      <c r="AE3" s="322">
        <v>10</v>
      </c>
      <c r="AF3" s="322">
        <v>13</v>
      </c>
      <c r="AG3" s="322">
        <v>16</v>
      </c>
      <c r="AH3" s="323">
        <v>19</v>
      </c>
      <c r="AI3" s="306"/>
      <c r="AK3" s="319"/>
      <c r="AL3" s="319"/>
      <c r="AM3" s="319"/>
      <c r="AN3" s="319"/>
      <c r="AO3" s="319"/>
      <c r="AP3" s="319"/>
      <c r="AR3" s="324" t="s">
        <v>46</v>
      </c>
      <c r="AS3" s="325"/>
      <c r="AT3" s="325"/>
      <c r="AU3" s="326"/>
    </row>
    <row r="4" spans="1:47" s="312" customFormat="1" ht="13.5" thickTop="1">
      <c r="A4" s="401" t="s">
        <v>128</v>
      </c>
      <c r="B4" s="327">
        <v>48840</v>
      </c>
      <c r="C4" s="328"/>
      <c r="D4" s="329"/>
      <c r="E4" s="329"/>
      <c r="F4" s="329"/>
      <c r="G4" s="329"/>
      <c r="H4" s="329"/>
      <c r="I4" s="329"/>
      <c r="J4" s="329"/>
      <c r="K4" s="330" t="str">
        <f>IF(COUNT(AR4:AU4)&gt;0,AVERAGE(AR4:AU4)," ")</f>
        <v xml:space="preserve"> </v>
      </c>
      <c r="L4" s="331" t="str">
        <f>IF(COUNT(L31,M31,N31)&gt;0,MIN(L31,M31,N31),"")</f>
        <v/>
      </c>
      <c r="M4" s="416" t="str">
        <f>IF(COUNT(AP31)&gt;0,AP31,"")</f>
        <v/>
      </c>
      <c r="N4" s="329"/>
      <c r="O4" s="329"/>
      <c r="P4" s="329"/>
      <c r="Q4" s="333"/>
      <c r="R4" s="416"/>
      <c r="S4" s="334"/>
      <c r="T4" s="334"/>
      <c r="U4" s="335"/>
      <c r="V4" s="335"/>
      <c r="W4" s="335"/>
      <c r="X4" s="335"/>
      <c r="Y4" s="335"/>
      <c r="Z4" s="336"/>
      <c r="AA4" s="337"/>
      <c r="AB4" s="338"/>
      <c r="AC4" s="338"/>
      <c r="AD4" s="338"/>
      <c r="AE4" s="338"/>
      <c r="AF4" s="338"/>
      <c r="AG4" s="338"/>
      <c r="AH4" s="339"/>
      <c r="AI4" s="306"/>
      <c r="AK4" s="340"/>
      <c r="AL4" s="340"/>
      <c r="AM4" s="340"/>
      <c r="AN4" s="340"/>
      <c r="AO4" s="340"/>
      <c r="AP4" s="340"/>
      <c r="AR4" s="312" t="str">
        <f t="shared" ref="AR4:AT5" si="0">IF(COUNT(D4,H4)=2,AVERAGE(D4,H4)," ")</f>
        <v xml:space="preserve"> </v>
      </c>
      <c r="AS4" s="312" t="str">
        <f t="shared" si="0"/>
        <v xml:space="preserve"> </v>
      </c>
      <c r="AT4" s="312" t="str">
        <f t="shared" si="0"/>
        <v xml:space="preserve"> </v>
      </c>
      <c r="AU4" s="312" t="str">
        <f>IF(COUNT(G4,C4)=2,AVERAGE(G4,C4)," ")</f>
        <v xml:space="preserve"> </v>
      </c>
    </row>
    <row r="5" spans="1:47" s="312" customFormat="1" ht="12.75">
      <c r="A5" s="401" t="s">
        <v>129</v>
      </c>
      <c r="B5" s="341" t="s">
        <v>148</v>
      </c>
      <c r="C5" s="342"/>
      <c r="D5" s="329"/>
      <c r="E5" s="329"/>
      <c r="F5" s="329"/>
      <c r="G5" s="329"/>
      <c r="H5" s="329"/>
      <c r="I5" s="329"/>
      <c r="J5" s="329"/>
      <c r="K5" s="330" t="str">
        <f>IF(COUNT(AR5:AU5)&gt;0,AVERAGE(AR5:AU5)," ")</f>
        <v xml:space="preserve"> </v>
      </c>
      <c r="L5" s="331" t="str">
        <f>IF(COUNT(L32,M32,N32)&gt;0,MIN(L32,M32,N32),"")</f>
        <v/>
      </c>
      <c r="M5" s="416" t="str">
        <f>IF(COUNT(AP32)&gt;0,AP32,"")</f>
        <v/>
      </c>
      <c r="N5" s="329"/>
      <c r="O5" s="329"/>
      <c r="P5" s="329"/>
      <c r="Q5" s="333"/>
      <c r="R5" s="416"/>
      <c r="S5" s="334"/>
      <c r="T5" s="334"/>
      <c r="U5" s="335"/>
      <c r="V5" s="335"/>
      <c r="W5" s="335"/>
      <c r="X5" s="335"/>
      <c r="Y5" s="335"/>
      <c r="Z5" s="336"/>
      <c r="AA5" s="337"/>
      <c r="AB5" s="338"/>
      <c r="AC5" s="338"/>
      <c r="AD5" s="338"/>
      <c r="AE5" s="338"/>
      <c r="AF5" s="338"/>
      <c r="AG5" s="338"/>
      <c r="AH5" s="339"/>
      <c r="AI5" s="306"/>
      <c r="AK5" s="340"/>
      <c r="AL5" s="340"/>
      <c r="AM5" s="340"/>
      <c r="AN5" s="340"/>
      <c r="AO5" s="340"/>
      <c r="AP5" s="340"/>
      <c r="AR5" s="312" t="str">
        <f t="shared" si="0"/>
        <v xml:space="preserve"> </v>
      </c>
      <c r="AS5" s="312" t="str">
        <f t="shared" si="0"/>
        <v xml:space="preserve"> </v>
      </c>
      <c r="AT5" s="312" t="str">
        <f t="shared" si="0"/>
        <v xml:space="preserve"> </v>
      </c>
      <c r="AU5" s="312" t="str">
        <f>IF(COUNT(G5,C5)=2,AVERAGE(G5,C5)," ")</f>
        <v xml:space="preserve"> </v>
      </c>
    </row>
    <row r="6" spans="1:47" s="312" customFormat="1" ht="12.75">
      <c r="A6" s="401" t="s">
        <v>130</v>
      </c>
      <c r="B6" s="341">
        <v>48842</v>
      </c>
      <c r="C6" s="342"/>
      <c r="D6" s="329"/>
      <c r="E6" s="329"/>
      <c r="F6" s="329"/>
      <c r="G6" s="329"/>
      <c r="H6" s="329"/>
      <c r="I6" s="329"/>
      <c r="J6" s="329"/>
      <c r="K6" s="330" t="str">
        <f t="shared" ref="K6:K25" si="1">IF(COUNT(AR6:AU6)&gt;0,AVERAGE(AR6:AU6)," ")</f>
        <v xml:space="preserve"> </v>
      </c>
      <c r="L6" s="331" t="str">
        <f t="shared" ref="L6:L25" si="2">IF(COUNT(L33,M33,N33)&gt;0,MIN(L33,M33,N33),"")</f>
        <v/>
      </c>
      <c r="M6" s="416" t="str">
        <f t="shared" ref="M6:M25" si="3">IF(COUNT(AP33)&gt;0,AP33,"")</f>
        <v/>
      </c>
      <c r="N6" s="329"/>
      <c r="O6" s="329"/>
      <c r="P6" s="329"/>
      <c r="Q6" s="333"/>
      <c r="R6" s="416"/>
      <c r="S6" s="334"/>
      <c r="T6" s="334"/>
      <c r="U6" s="335"/>
      <c r="V6" s="335"/>
      <c r="W6" s="335"/>
      <c r="X6" s="335"/>
      <c r="Y6" s="335"/>
      <c r="Z6" s="336"/>
      <c r="AA6" s="337"/>
      <c r="AB6" s="338"/>
      <c r="AC6" s="338"/>
      <c r="AD6" s="338"/>
      <c r="AE6" s="338"/>
      <c r="AF6" s="338"/>
      <c r="AG6" s="338"/>
      <c r="AH6" s="339"/>
      <c r="AI6" s="306"/>
      <c r="AK6" s="340"/>
      <c r="AL6" s="340"/>
      <c r="AM6" s="340"/>
      <c r="AN6" s="340"/>
      <c r="AO6" s="340"/>
      <c r="AP6" s="340"/>
      <c r="AR6" s="312" t="str">
        <f t="shared" ref="AR6:AR25" si="4">IF(COUNT(D6,H6)=2,AVERAGE(D6,H6)," ")</f>
        <v xml:space="preserve"> </v>
      </c>
      <c r="AS6" s="312" t="str">
        <f t="shared" ref="AS6:AS25" si="5">IF(COUNT(E6,I6)=2,AVERAGE(E6,I6)," ")</f>
        <v xml:space="preserve"> </v>
      </c>
      <c r="AT6" s="312" t="str">
        <f t="shared" ref="AT6:AT25" si="6">IF(COUNT(F6,J6)=2,AVERAGE(F6,J6)," ")</f>
        <v xml:space="preserve"> </v>
      </c>
      <c r="AU6" s="312" t="str">
        <f t="shared" ref="AU6:AU25" si="7">IF(COUNT(G6,C6)=2,AVERAGE(G6,C6)," ")</f>
        <v xml:space="preserve"> </v>
      </c>
    </row>
    <row r="7" spans="1:47" s="312" customFormat="1" ht="12.75">
      <c r="A7" s="401" t="s">
        <v>131</v>
      </c>
      <c r="B7" s="341" t="s">
        <v>149</v>
      </c>
      <c r="C7" s="342"/>
      <c r="D7" s="329"/>
      <c r="E7" s="329"/>
      <c r="F7" s="329"/>
      <c r="G7" s="329"/>
      <c r="H7" s="329"/>
      <c r="I7" s="329"/>
      <c r="J7" s="329"/>
      <c r="K7" s="330" t="str">
        <f t="shared" si="1"/>
        <v xml:space="preserve"> </v>
      </c>
      <c r="L7" s="331" t="str">
        <f t="shared" si="2"/>
        <v/>
      </c>
      <c r="M7" s="416" t="str">
        <f t="shared" si="3"/>
        <v/>
      </c>
      <c r="N7" s="329"/>
      <c r="O7" s="329"/>
      <c r="P7" s="329"/>
      <c r="Q7" s="333"/>
      <c r="R7" s="416"/>
      <c r="S7" s="334"/>
      <c r="T7" s="334"/>
      <c r="U7" s="335"/>
      <c r="V7" s="335"/>
      <c r="W7" s="335"/>
      <c r="X7" s="335"/>
      <c r="Y7" s="335"/>
      <c r="Z7" s="336"/>
      <c r="AA7" s="337"/>
      <c r="AB7" s="338"/>
      <c r="AC7" s="338"/>
      <c r="AD7" s="338"/>
      <c r="AE7" s="338"/>
      <c r="AF7" s="338"/>
      <c r="AG7" s="338"/>
      <c r="AH7" s="339"/>
      <c r="AI7" s="306"/>
      <c r="AK7" s="340"/>
      <c r="AL7" s="340"/>
      <c r="AM7" s="340"/>
      <c r="AN7" s="340"/>
      <c r="AO7" s="340"/>
      <c r="AP7" s="340"/>
      <c r="AR7" s="312" t="str">
        <f t="shared" si="4"/>
        <v xml:space="preserve"> </v>
      </c>
      <c r="AS7" s="312" t="str">
        <f t="shared" si="5"/>
        <v xml:space="preserve"> </v>
      </c>
      <c r="AT7" s="312" t="str">
        <f t="shared" si="6"/>
        <v xml:space="preserve"> </v>
      </c>
      <c r="AU7" s="312" t="str">
        <f t="shared" si="7"/>
        <v xml:space="preserve"> </v>
      </c>
    </row>
    <row r="8" spans="1:47" s="312" customFormat="1" ht="12.75">
      <c r="A8" s="401" t="s">
        <v>132</v>
      </c>
      <c r="B8" s="341" t="s">
        <v>150</v>
      </c>
      <c r="C8" s="342"/>
      <c r="D8" s="329"/>
      <c r="E8" s="329"/>
      <c r="F8" s="329"/>
      <c r="G8" s="329"/>
      <c r="H8" s="329"/>
      <c r="I8" s="329"/>
      <c r="J8" s="329"/>
      <c r="K8" s="330" t="str">
        <f t="shared" si="1"/>
        <v xml:space="preserve"> </v>
      </c>
      <c r="L8" s="331" t="str">
        <f t="shared" si="2"/>
        <v/>
      </c>
      <c r="M8" s="416" t="str">
        <f t="shared" si="3"/>
        <v/>
      </c>
      <c r="N8" s="329"/>
      <c r="O8" s="329"/>
      <c r="P8" s="329"/>
      <c r="Q8" s="333"/>
      <c r="R8" s="416"/>
      <c r="S8" s="334"/>
      <c r="T8" s="334"/>
      <c r="U8" s="335"/>
      <c r="V8" s="335"/>
      <c r="W8" s="335"/>
      <c r="X8" s="335"/>
      <c r="Y8" s="335"/>
      <c r="Z8" s="336"/>
      <c r="AA8" s="337"/>
      <c r="AB8" s="338"/>
      <c r="AC8" s="338"/>
      <c r="AD8" s="338"/>
      <c r="AE8" s="338"/>
      <c r="AF8" s="338"/>
      <c r="AG8" s="338"/>
      <c r="AH8" s="339"/>
      <c r="AI8" s="306"/>
      <c r="AK8" s="340"/>
      <c r="AL8" s="340"/>
      <c r="AM8" s="340"/>
      <c r="AN8" s="340"/>
      <c r="AO8" s="340"/>
      <c r="AP8" s="340"/>
      <c r="AR8" s="312" t="str">
        <f t="shared" si="4"/>
        <v xml:space="preserve"> </v>
      </c>
      <c r="AS8" s="312" t="str">
        <f t="shared" si="5"/>
        <v xml:space="preserve"> </v>
      </c>
      <c r="AT8" s="312" t="str">
        <f t="shared" si="6"/>
        <v xml:space="preserve"> </v>
      </c>
      <c r="AU8" s="312" t="str">
        <f t="shared" si="7"/>
        <v xml:space="preserve"> </v>
      </c>
    </row>
    <row r="9" spans="1:47" s="312" customFormat="1" ht="12.75">
      <c r="A9" s="401" t="s">
        <v>133</v>
      </c>
      <c r="B9" s="341" t="s">
        <v>151</v>
      </c>
      <c r="C9" s="342"/>
      <c r="D9" s="329"/>
      <c r="E9" s="329"/>
      <c r="F9" s="329"/>
      <c r="G9" s="329"/>
      <c r="H9" s="329"/>
      <c r="I9" s="329"/>
      <c r="J9" s="329"/>
      <c r="K9" s="330" t="str">
        <f t="shared" si="1"/>
        <v xml:space="preserve"> </v>
      </c>
      <c r="L9" s="331" t="str">
        <f t="shared" si="2"/>
        <v/>
      </c>
      <c r="M9" s="416" t="str">
        <f t="shared" si="3"/>
        <v/>
      </c>
      <c r="N9" s="329"/>
      <c r="O9" s="329"/>
      <c r="P9" s="329"/>
      <c r="Q9" s="333"/>
      <c r="R9" s="416"/>
      <c r="S9" s="334"/>
      <c r="T9" s="334"/>
      <c r="U9" s="335"/>
      <c r="V9" s="335"/>
      <c r="W9" s="335"/>
      <c r="X9" s="335"/>
      <c r="Y9" s="335"/>
      <c r="Z9" s="336"/>
      <c r="AA9" s="337"/>
      <c r="AB9" s="338"/>
      <c r="AC9" s="338"/>
      <c r="AD9" s="338"/>
      <c r="AE9" s="338"/>
      <c r="AF9" s="338"/>
      <c r="AG9" s="338"/>
      <c r="AH9" s="339"/>
      <c r="AI9" s="306"/>
      <c r="AK9" s="340"/>
      <c r="AL9" s="340"/>
      <c r="AM9" s="340"/>
      <c r="AN9" s="340"/>
      <c r="AO9" s="340"/>
      <c r="AP9" s="340"/>
      <c r="AR9" s="312" t="str">
        <f t="shared" si="4"/>
        <v xml:space="preserve"> </v>
      </c>
      <c r="AS9" s="312" t="str">
        <f t="shared" si="5"/>
        <v xml:space="preserve"> </v>
      </c>
      <c r="AT9" s="312" t="str">
        <f t="shared" si="6"/>
        <v xml:space="preserve"> </v>
      </c>
      <c r="AU9" s="312" t="str">
        <f t="shared" si="7"/>
        <v xml:space="preserve"> </v>
      </c>
    </row>
    <row r="10" spans="1:47" s="312" customFormat="1" ht="12.75">
      <c r="A10" s="401" t="s">
        <v>134</v>
      </c>
      <c r="B10" s="341" t="s">
        <v>152</v>
      </c>
      <c r="C10" s="342"/>
      <c r="D10" s="329"/>
      <c r="E10" s="329"/>
      <c r="F10" s="329"/>
      <c r="G10" s="329"/>
      <c r="H10" s="329"/>
      <c r="I10" s="329"/>
      <c r="J10" s="329"/>
      <c r="K10" s="330" t="str">
        <f t="shared" si="1"/>
        <v xml:space="preserve"> </v>
      </c>
      <c r="L10" s="331" t="str">
        <f t="shared" si="2"/>
        <v/>
      </c>
      <c r="M10" s="416" t="str">
        <f t="shared" si="3"/>
        <v/>
      </c>
      <c r="N10" s="329"/>
      <c r="O10" s="329"/>
      <c r="P10" s="329"/>
      <c r="Q10" s="333"/>
      <c r="R10" s="416"/>
      <c r="S10" s="334"/>
      <c r="T10" s="334"/>
      <c r="U10" s="335"/>
      <c r="V10" s="335"/>
      <c r="W10" s="335"/>
      <c r="X10" s="335"/>
      <c r="Y10" s="335"/>
      <c r="Z10" s="336"/>
      <c r="AA10" s="337"/>
      <c r="AB10" s="338"/>
      <c r="AC10" s="338"/>
      <c r="AD10" s="338"/>
      <c r="AE10" s="338"/>
      <c r="AF10" s="338"/>
      <c r="AG10" s="338"/>
      <c r="AH10" s="339"/>
      <c r="AI10" s="306"/>
      <c r="AK10" s="340"/>
      <c r="AL10" s="340"/>
      <c r="AM10" s="340"/>
      <c r="AN10" s="340"/>
      <c r="AO10" s="340"/>
      <c r="AP10" s="340"/>
      <c r="AR10" s="312" t="str">
        <f t="shared" si="4"/>
        <v xml:space="preserve"> </v>
      </c>
      <c r="AS10" s="312" t="str">
        <f t="shared" si="5"/>
        <v xml:space="preserve"> </v>
      </c>
      <c r="AT10" s="312" t="str">
        <f t="shared" si="6"/>
        <v xml:space="preserve"> </v>
      </c>
      <c r="AU10" s="312" t="str">
        <f t="shared" si="7"/>
        <v xml:space="preserve"> </v>
      </c>
    </row>
    <row r="11" spans="1:47" s="312" customFormat="1" ht="12.75">
      <c r="A11" s="401" t="s">
        <v>192</v>
      </c>
      <c r="B11" s="341" t="s">
        <v>189</v>
      </c>
      <c r="C11" s="342"/>
      <c r="D11" s="329"/>
      <c r="E11" s="329"/>
      <c r="F11" s="329"/>
      <c r="G11" s="329"/>
      <c r="H11" s="329"/>
      <c r="I11" s="329"/>
      <c r="J11" s="329"/>
      <c r="K11" s="330" t="str">
        <f t="shared" si="1"/>
        <v xml:space="preserve"> </v>
      </c>
      <c r="L11" s="331" t="str">
        <f t="shared" si="2"/>
        <v/>
      </c>
      <c r="M11" s="416" t="str">
        <f t="shared" si="3"/>
        <v/>
      </c>
      <c r="N11" s="329"/>
      <c r="O11" s="329"/>
      <c r="P11" s="329"/>
      <c r="Q11" s="333"/>
      <c r="R11" s="416"/>
      <c r="S11" s="334"/>
      <c r="T11" s="334"/>
      <c r="U11" s="335"/>
      <c r="V11" s="335"/>
      <c r="W11" s="335"/>
      <c r="X11" s="335"/>
      <c r="Y11" s="335"/>
      <c r="Z11" s="336"/>
      <c r="AA11" s="337"/>
      <c r="AB11" s="338"/>
      <c r="AC11" s="338"/>
      <c r="AD11" s="338"/>
      <c r="AE11" s="338"/>
      <c r="AF11" s="338"/>
      <c r="AG11" s="338"/>
      <c r="AH11" s="339"/>
      <c r="AI11" s="306"/>
      <c r="AK11" s="340"/>
      <c r="AL11" s="340"/>
      <c r="AM11" s="340"/>
      <c r="AN11" s="340"/>
      <c r="AO11" s="340"/>
      <c r="AP11" s="340"/>
      <c r="AR11" s="312" t="str">
        <f t="shared" si="4"/>
        <v xml:space="preserve"> </v>
      </c>
      <c r="AS11" s="312" t="str">
        <f t="shared" si="5"/>
        <v xml:space="preserve"> </v>
      </c>
      <c r="AT11" s="312" t="str">
        <f t="shared" si="6"/>
        <v xml:space="preserve"> </v>
      </c>
      <c r="AU11" s="312" t="str">
        <f t="shared" si="7"/>
        <v xml:space="preserve"> </v>
      </c>
    </row>
    <row r="12" spans="1:47" s="312" customFormat="1" ht="12.75">
      <c r="A12" s="401" t="s">
        <v>135</v>
      </c>
      <c r="B12" s="341">
        <v>48845</v>
      </c>
      <c r="C12" s="342"/>
      <c r="D12" s="329"/>
      <c r="E12" s="329"/>
      <c r="F12" s="329"/>
      <c r="G12" s="329"/>
      <c r="H12" s="329"/>
      <c r="I12" s="329"/>
      <c r="J12" s="329"/>
      <c r="K12" s="330" t="str">
        <f t="shared" si="1"/>
        <v xml:space="preserve"> </v>
      </c>
      <c r="L12" s="331" t="str">
        <f t="shared" si="2"/>
        <v/>
      </c>
      <c r="M12" s="416" t="str">
        <f t="shared" si="3"/>
        <v/>
      </c>
      <c r="N12" s="329"/>
      <c r="O12" s="329"/>
      <c r="P12" s="329"/>
      <c r="Q12" s="333"/>
      <c r="R12" s="416"/>
      <c r="S12" s="334"/>
      <c r="T12" s="334"/>
      <c r="U12" s="335"/>
      <c r="V12" s="335"/>
      <c r="W12" s="335"/>
      <c r="X12" s="335"/>
      <c r="Y12" s="335"/>
      <c r="Z12" s="336"/>
      <c r="AA12" s="337"/>
      <c r="AB12" s="338"/>
      <c r="AC12" s="338"/>
      <c r="AD12" s="338"/>
      <c r="AE12" s="338"/>
      <c r="AF12" s="338"/>
      <c r="AG12" s="338"/>
      <c r="AH12" s="339"/>
      <c r="AI12" s="306"/>
      <c r="AK12" s="340"/>
      <c r="AL12" s="340"/>
      <c r="AM12" s="340"/>
      <c r="AN12" s="340"/>
      <c r="AO12" s="340"/>
      <c r="AP12" s="340"/>
      <c r="AR12" s="312" t="str">
        <f t="shared" si="4"/>
        <v xml:space="preserve"> </v>
      </c>
      <c r="AS12" s="312" t="str">
        <f t="shared" si="5"/>
        <v xml:space="preserve"> </v>
      </c>
      <c r="AT12" s="312" t="str">
        <f t="shared" si="6"/>
        <v xml:space="preserve"> </v>
      </c>
      <c r="AU12" s="312" t="str">
        <f t="shared" si="7"/>
        <v xml:space="preserve"> </v>
      </c>
    </row>
    <row r="13" spans="1:47" s="312" customFormat="1" ht="12.75">
      <c r="A13" s="401" t="s">
        <v>136</v>
      </c>
      <c r="B13" s="341" t="s">
        <v>153</v>
      </c>
      <c r="C13" s="342"/>
      <c r="D13" s="329"/>
      <c r="E13" s="329"/>
      <c r="F13" s="329"/>
      <c r="G13" s="329"/>
      <c r="H13" s="329"/>
      <c r="I13" s="329"/>
      <c r="J13" s="329"/>
      <c r="K13" s="330" t="str">
        <f t="shared" si="1"/>
        <v xml:space="preserve"> </v>
      </c>
      <c r="L13" s="331" t="str">
        <f t="shared" si="2"/>
        <v/>
      </c>
      <c r="M13" s="416" t="str">
        <f t="shared" si="3"/>
        <v/>
      </c>
      <c r="N13" s="329"/>
      <c r="O13" s="329"/>
      <c r="P13" s="329"/>
      <c r="Q13" s="333"/>
      <c r="R13" s="416"/>
      <c r="S13" s="334"/>
      <c r="T13" s="334"/>
      <c r="U13" s="335"/>
      <c r="V13" s="335"/>
      <c r="W13" s="335"/>
      <c r="X13" s="335"/>
      <c r="Y13" s="335"/>
      <c r="Z13" s="336"/>
      <c r="AA13" s="337"/>
      <c r="AB13" s="338"/>
      <c r="AC13" s="338"/>
      <c r="AD13" s="338"/>
      <c r="AE13" s="338"/>
      <c r="AF13" s="338"/>
      <c r="AG13" s="338"/>
      <c r="AH13" s="339"/>
      <c r="AI13" s="306"/>
      <c r="AK13" s="340"/>
      <c r="AL13" s="340"/>
      <c r="AM13" s="340"/>
      <c r="AN13" s="340"/>
      <c r="AO13" s="340"/>
      <c r="AP13" s="340"/>
      <c r="AR13" s="312" t="str">
        <f t="shared" si="4"/>
        <v xml:space="preserve"> </v>
      </c>
      <c r="AS13" s="312" t="str">
        <f t="shared" si="5"/>
        <v xml:space="preserve"> </v>
      </c>
      <c r="AT13" s="312" t="str">
        <f t="shared" si="6"/>
        <v xml:space="preserve"> </v>
      </c>
      <c r="AU13" s="312" t="str">
        <f t="shared" si="7"/>
        <v xml:space="preserve"> </v>
      </c>
    </row>
    <row r="14" spans="1:47" s="312" customFormat="1" ht="12.75">
      <c r="A14" s="401" t="s">
        <v>137</v>
      </c>
      <c r="B14" s="341" t="s">
        <v>154</v>
      </c>
      <c r="C14" s="342"/>
      <c r="D14" s="329"/>
      <c r="E14" s="329"/>
      <c r="F14" s="329"/>
      <c r="G14" s="329"/>
      <c r="H14" s="329"/>
      <c r="I14" s="329"/>
      <c r="J14" s="329"/>
      <c r="K14" s="330" t="str">
        <f t="shared" si="1"/>
        <v xml:space="preserve"> </v>
      </c>
      <c r="L14" s="331" t="str">
        <f t="shared" si="2"/>
        <v/>
      </c>
      <c r="M14" s="416" t="str">
        <f t="shared" si="3"/>
        <v/>
      </c>
      <c r="N14" s="329"/>
      <c r="O14" s="329"/>
      <c r="P14" s="329"/>
      <c r="Q14" s="333"/>
      <c r="R14" s="416"/>
      <c r="S14" s="334"/>
      <c r="T14" s="334"/>
      <c r="U14" s="335"/>
      <c r="V14" s="335"/>
      <c r="W14" s="335"/>
      <c r="X14" s="335"/>
      <c r="Y14" s="335"/>
      <c r="Z14" s="336"/>
      <c r="AA14" s="337"/>
      <c r="AB14" s="338"/>
      <c r="AC14" s="338"/>
      <c r="AD14" s="338"/>
      <c r="AE14" s="338"/>
      <c r="AF14" s="338"/>
      <c r="AG14" s="338"/>
      <c r="AH14" s="339"/>
      <c r="AI14" s="306"/>
      <c r="AK14" s="340"/>
      <c r="AL14" s="340"/>
      <c r="AM14" s="340"/>
      <c r="AN14" s="340"/>
      <c r="AO14" s="340"/>
      <c r="AP14" s="340"/>
      <c r="AR14" s="312" t="str">
        <f t="shared" si="4"/>
        <v xml:space="preserve"> </v>
      </c>
      <c r="AS14" s="312" t="str">
        <f t="shared" si="5"/>
        <v xml:space="preserve"> </v>
      </c>
      <c r="AT14" s="312" t="str">
        <f t="shared" si="6"/>
        <v xml:space="preserve"> </v>
      </c>
      <c r="AU14" s="312" t="str">
        <f t="shared" si="7"/>
        <v xml:space="preserve"> </v>
      </c>
    </row>
    <row r="15" spans="1:47" s="312" customFormat="1" ht="12.75">
      <c r="A15" s="401" t="s">
        <v>138</v>
      </c>
      <c r="B15" s="341" t="s">
        <v>155</v>
      </c>
      <c r="C15" s="342"/>
      <c r="D15" s="329"/>
      <c r="E15" s="329"/>
      <c r="F15" s="329"/>
      <c r="G15" s="329"/>
      <c r="H15" s="329"/>
      <c r="I15" s="329"/>
      <c r="J15" s="329"/>
      <c r="K15" s="330" t="str">
        <f t="shared" si="1"/>
        <v xml:space="preserve"> </v>
      </c>
      <c r="L15" s="331" t="str">
        <f t="shared" si="2"/>
        <v/>
      </c>
      <c r="M15" s="416" t="str">
        <f t="shared" si="3"/>
        <v/>
      </c>
      <c r="N15" s="329"/>
      <c r="O15" s="329"/>
      <c r="P15" s="329"/>
      <c r="Q15" s="333"/>
      <c r="R15" s="416"/>
      <c r="S15" s="334"/>
      <c r="T15" s="334"/>
      <c r="U15" s="335"/>
      <c r="V15" s="335"/>
      <c r="W15" s="335"/>
      <c r="X15" s="335"/>
      <c r="Y15" s="335"/>
      <c r="Z15" s="336"/>
      <c r="AA15" s="337"/>
      <c r="AB15" s="338"/>
      <c r="AC15" s="338"/>
      <c r="AD15" s="338"/>
      <c r="AE15" s="338"/>
      <c r="AF15" s="338"/>
      <c r="AG15" s="338"/>
      <c r="AH15" s="339"/>
      <c r="AI15" s="306"/>
      <c r="AK15" s="340"/>
      <c r="AL15" s="340"/>
      <c r="AM15" s="340"/>
      <c r="AN15" s="340"/>
      <c r="AO15" s="340"/>
      <c r="AP15" s="340"/>
      <c r="AR15" s="312" t="str">
        <f t="shared" si="4"/>
        <v xml:space="preserve"> </v>
      </c>
      <c r="AS15" s="312" t="str">
        <f t="shared" si="5"/>
        <v xml:space="preserve"> </v>
      </c>
      <c r="AT15" s="312" t="str">
        <f t="shared" si="6"/>
        <v xml:space="preserve"> </v>
      </c>
      <c r="AU15" s="312" t="str">
        <f t="shared" si="7"/>
        <v xml:space="preserve"> </v>
      </c>
    </row>
    <row r="16" spans="1:47" s="312" customFormat="1" ht="12.75">
      <c r="A16" s="402" t="s">
        <v>139</v>
      </c>
      <c r="B16" s="341" t="s">
        <v>156</v>
      </c>
      <c r="C16" s="342"/>
      <c r="D16" s="329"/>
      <c r="E16" s="329"/>
      <c r="F16" s="329"/>
      <c r="G16" s="329"/>
      <c r="H16" s="329"/>
      <c r="I16" s="329"/>
      <c r="J16" s="329"/>
      <c r="K16" s="330" t="str">
        <f t="shared" si="1"/>
        <v xml:space="preserve"> </v>
      </c>
      <c r="L16" s="331" t="str">
        <f t="shared" si="2"/>
        <v/>
      </c>
      <c r="M16" s="416" t="str">
        <f t="shared" si="3"/>
        <v/>
      </c>
      <c r="N16" s="329"/>
      <c r="O16" s="329"/>
      <c r="P16" s="329"/>
      <c r="Q16" s="333"/>
      <c r="R16" s="416"/>
      <c r="S16" s="334"/>
      <c r="T16" s="334"/>
      <c r="U16" s="335"/>
      <c r="V16" s="335"/>
      <c r="W16" s="335"/>
      <c r="X16" s="335"/>
      <c r="Y16" s="335"/>
      <c r="Z16" s="336"/>
      <c r="AA16" s="337"/>
      <c r="AB16" s="338"/>
      <c r="AC16" s="338"/>
      <c r="AD16" s="338"/>
      <c r="AE16" s="338"/>
      <c r="AF16" s="338"/>
      <c r="AG16" s="338"/>
      <c r="AH16" s="339"/>
      <c r="AI16" s="306"/>
      <c r="AK16" s="340"/>
      <c r="AL16" s="340"/>
      <c r="AM16" s="340"/>
      <c r="AN16" s="340"/>
      <c r="AO16" s="340"/>
      <c r="AP16" s="340"/>
      <c r="AR16" s="312" t="str">
        <f t="shared" si="4"/>
        <v xml:space="preserve"> </v>
      </c>
      <c r="AS16" s="312" t="str">
        <f t="shared" si="5"/>
        <v xml:space="preserve"> </v>
      </c>
      <c r="AT16" s="312" t="str">
        <f t="shared" si="6"/>
        <v xml:space="preserve"> </v>
      </c>
      <c r="AU16" s="312" t="str">
        <f t="shared" si="7"/>
        <v xml:space="preserve"> </v>
      </c>
    </row>
    <row r="17" spans="1:59" s="312" customFormat="1" ht="12.75">
      <c r="A17" s="401" t="s">
        <v>140</v>
      </c>
      <c r="B17" s="341" t="s">
        <v>157</v>
      </c>
      <c r="C17" s="342"/>
      <c r="D17" s="329"/>
      <c r="E17" s="329"/>
      <c r="F17" s="329"/>
      <c r="G17" s="329"/>
      <c r="H17" s="329"/>
      <c r="I17" s="329"/>
      <c r="J17" s="329"/>
      <c r="K17" s="330" t="str">
        <f t="shared" si="1"/>
        <v xml:space="preserve"> </v>
      </c>
      <c r="L17" s="331" t="str">
        <f t="shared" si="2"/>
        <v/>
      </c>
      <c r="M17" s="416" t="str">
        <f t="shared" si="3"/>
        <v/>
      </c>
      <c r="N17" s="329"/>
      <c r="O17" s="329"/>
      <c r="P17" s="329"/>
      <c r="Q17" s="333"/>
      <c r="R17" s="416"/>
      <c r="S17" s="334"/>
      <c r="T17" s="334"/>
      <c r="U17" s="335"/>
      <c r="V17" s="335"/>
      <c r="W17" s="335"/>
      <c r="X17" s="335"/>
      <c r="Y17" s="335"/>
      <c r="Z17" s="336"/>
      <c r="AA17" s="337"/>
      <c r="AB17" s="338"/>
      <c r="AC17" s="338"/>
      <c r="AD17" s="338"/>
      <c r="AE17" s="338"/>
      <c r="AF17" s="338"/>
      <c r="AG17" s="338"/>
      <c r="AH17" s="339"/>
      <c r="AI17" s="306"/>
      <c r="AK17" s="340"/>
      <c r="AL17" s="340"/>
      <c r="AM17" s="340"/>
      <c r="AN17" s="340"/>
      <c r="AO17" s="340"/>
      <c r="AP17" s="340"/>
      <c r="AR17" s="312" t="str">
        <f t="shared" si="4"/>
        <v xml:space="preserve"> </v>
      </c>
      <c r="AS17" s="312" t="str">
        <f t="shared" si="5"/>
        <v xml:space="preserve"> </v>
      </c>
      <c r="AT17" s="312" t="str">
        <f t="shared" si="6"/>
        <v xml:space="preserve"> </v>
      </c>
      <c r="AU17" s="312" t="str">
        <f t="shared" si="7"/>
        <v xml:space="preserve"> </v>
      </c>
    </row>
    <row r="18" spans="1:59" s="312" customFormat="1" ht="12.75">
      <c r="A18" s="402" t="s">
        <v>141</v>
      </c>
      <c r="B18" s="341" t="s">
        <v>158</v>
      </c>
      <c r="C18" s="342"/>
      <c r="D18" s="329"/>
      <c r="E18" s="329"/>
      <c r="F18" s="329"/>
      <c r="G18" s="329"/>
      <c r="H18" s="329"/>
      <c r="I18" s="329"/>
      <c r="J18" s="329"/>
      <c r="K18" s="330" t="str">
        <f t="shared" si="1"/>
        <v xml:space="preserve"> </v>
      </c>
      <c r="L18" s="331" t="str">
        <f t="shared" si="2"/>
        <v/>
      </c>
      <c r="M18" s="416" t="str">
        <f t="shared" si="3"/>
        <v/>
      </c>
      <c r="N18" s="329"/>
      <c r="O18" s="329"/>
      <c r="P18" s="329"/>
      <c r="Q18" s="333"/>
      <c r="R18" s="416"/>
      <c r="S18" s="334"/>
      <c r="T18" s="334"/>
      <c r="U18" s="335"/>
      <c r="V18" s="335"/>
      <c r="W18" s="335"/>
      <c r="X18" s="335"/>
      <c r="Y18" s="335"/>
      <c r="Z18" s="336"/>
      <c r="AA18" s="337"/>
      <c r="AB18" s="338"/>
      <c r="AC18" s="338"/>
      <c r="AD18" s="338"/>
      <c r="AE18" s="338"/>
      <c r="AF18" s="338"/>
      <c r="AG18" s="338"/>
      <c r="AH18" s="339"/>
      <c r="AI18" s="306"/>
      <c r="AK18" s="340"/>
      <c r="AL18" s="340"/>
      <c r="AM18" s="340"/>
      <c r="AN18" s="340"/>
      <c r="AO18" s="340"/>
      <c r="AP18" s="340"/>
      <c r="AR18" s="312" t="str">
        <f t="shared" si="4"/>
        <v xml:space="preserve"> </v>
      </c>
      <c r="AS18" s="312" t="str">
        <f t="shared" si="5"/>
        <v xml:space="preserve"> </v>
      </c>
      <c r="AT18" s="312" t="str">
        <f t="shared" si="6"/>
        <v xml:space="preserve"> </v>
      </c>
      <c r="AU18" s="312" t="str">
        <f t="shared" si="7"/>
        <v xml:space="preserve"> </v>
      </c>
    </row>
    <row r="19" spans="1:59" s="312" customFormat="1" ht="12.75">
      <c r="A19" s="401" t="s">
        <v>142</v>
      </c>
      <c r="B19" s="341" t="s">
        <v>159</v>
      </c>
      <c r="C19" s="342"/>
      <c r="D19" s="329"/>
      <c r="E19" s="329"/>
      <c r="F19" s="329"/>
      <c r="G19" s="329"/>
      <c r="H19" s="329"/>
      <c r="I19" s="329"/>
      <c r="J19" s="329"/>
      <c r="K19" s="330" t="str">
        <f t="shared" si="1"/>
        <v xml:space="preserve"> </v>
      </c>
      <c r="L19" s="331" t="str">
        <f t="shared" si="2"/>
        <v/>
      </c>
      <c r="M19" s="416" t="str">
        <f t="shared" si="3"/>
        <v/>
      </c>
      <c r="N19" s="329"/>
      <c r="O19" s="329"/>
      <c r="P19" s="329"/>
      <c r="Q19" s="333"/>
      <c r="R19" s="416"/>
      <c r="S19" s="334"/>
      <c r="T19" s="334"/>
      <c r="U19" s="335"/>
      <c r="V19" s="335"/>
      <c r="W19" s="335"/>
      <c r="X19" s="335"/>
      <c r="Y19" s="335"/>
      <c r="Z19" s="336"/>
      <c r="AA19" s="337"/>
      <c r="AB19" s="338"/>
      <c r="AC19" s="338"/>
      <c r="AD19" s="338"/>
      <c r="AE19" s="338"/>
      <c r="AF19" s="338"/>
      <c r="AG19" s="338"/>
      <c r="AH19" s="339"/>
      <c r="AI19" s="306"/>
      <c r="AK19" s="340"/>
      <c r="AL19" s="340"/>
      <c r="AM19" s="340"/>
      <c r="AN19" s="340"/>
      <c r="AO19" s="340"/>
      <c r="AP19" s="340"/>
      <c r="AR19" s="312" t="str">
        <f t="shared" si="4"/>
        <v xml:space="preserve"> </v>
      </c>
      <c r="AS19" s="312" t="str">
        <f t="shared" si="5"/>
        <v xml:space="preserve"> </v>
      </c>
      <c r="AT19" s="312" t="str">
        <f t="shared" si="6"/>
        <v xml:space="preserve"> </v>
      </c>
      <c r="AU19" s="312" t="str">
        <f t="shared" si="7"/>
        <v xml:space="preserve"> </v>
      </c>
    </row>
    <row r="20" spans="1:59" s="312" customFormat="1" ht="12.75" customHeight="1">
      <c r="A20" s="401" t="s">
        <v>143</v>
      </c>
      <c r="B20" s="341">
        <v>48844</v>
      </c>
      <c r="C20" s="342"/>
      <c r="D20" s="329"/>
      <c r="E20" s="329"/>
      <c r="F20" s="329"/>
      <c r="G20" s="329"/>
      <c r="H20" s="329"/>
      <c r="I20" s="329"/>
      <c r="J20" s="329"/>
      <c r="K20" s="330" t="str">
        <f t="shared" si="1"/>
        <v xml:space="preserve"> </v>
      </c>
      <c r="L20" s="331" t="str">
        <f t="shared" si="2"/>
        <v/>
      </c>
      <c r="M20" s="416" t="str">
        <f t="shared" si="3"/>
        <v/>
      </c>
      <c r="N20" s="329"/>
      <c r="O20" s="329"/>
      <c r="P20" s="329"/>
      <c r="Q20" s="333"/>
      <c r="R20" s="416"/>
      <c r="S20" s="334"/>
      <c r="T20" s="334"/>
      <c r="U20" s="335"/>
      <c r="V20" s="335"/>
      <c r="W20" s="335"/>
      <c r="X20" s="335"/>
      <c r="Y20" s="335"/>
      <c r="Z20" s="336"/>
      <c r="AA20" s="337"/>
      <c r="AB20" s="338"/>
      <c r="AC20" s="338"/>
      <c r="AD20" s="338"/>
      <c r="AE20" s="338"/>
      <c r="AF20" s="338"/>
      <c r="AG20" s="338"/>
      <c r="AH20" s="339"/>
      <c r="AI20" s="306"/>
      <c r="AK20" s="340"/>
      <c r="AL20" s="340"/>
      <c r="AM20" s="340"/>
      <c r="AN20" s="340"/>
      <c r="AO20" s="340"/>
      <c r="AP20" s="340"/>
      <c r="AR20" s="312" t="str">
        <f t="shared" si="4"/>
        <v xml:space="preserve"> </v>
      </c>
      <c r="AS20" s="312" t="str">
        <f t="shared" si="5"/>
        <v xml:space="preserve"> </v>
      </c>
      <c r="AT20" s="312" t="str">
        <f t="shared" si="6"/>
        <v xml:space="preserve"> </v>
      </c>
      <c r="AU20" s="312" t="str">
        <f t="shared" si="7"/>
        <v xml:space="preserve"> </v>
      </c>
    </row>
    <row r="21" spans="1:59" s="312" customFormat="1" ht="12.75" customHeight="1">
      <c r="A21" s="401" t="s">
        <v>144</v>
      </c>
      <c r="B21" s="341">
        <v>48846</v>
      </c>
      <c r="C21" s="342"/>
      <c r="D21" s="329"/>
      <c r="E21" s="329"/>
      <c r="F21" s="329"/>
      <c r="G21" s="329"/>
      <c r="H21" s="329"/>
      <c r="I21" s="329"/>
      <c r="J21" s="329"/>
      <c r="K21" s="330" t="str">
        <f t="shared" si="1"/>
        <v xml:space="preserve"> </v>
      </c>
      <c r="L21" s="331" t="str">
        <f t="shared" si="2"/>
        <v/>
      </c>
      <c r="M21" s="416" t="str">
        <f t="shared" si="3"/>
        <v/>
      </c>
      <c r="N21" s="329"/>
      <c r="O21" s="329"/>
      <c r="P21" s="329"/>
      <c r="Q21" s="333"/>
      <c r="R21" s="416"/>
      <c r="S21" s="334"/>
      <c r="T21" s="334"/>
      <c r="U21" s="335"/>
      <c r="V21" s="335"/>
      <c r="W21" s="335"/>
      <c r="X21" s="335"/>
      <c r="Y21" s="335"/>
      <c r="Z21" s="336"/>
      <c r="AA21" s="337"/>
      <c r="AB21" s="338"/>
      <c r="AC21" s="338"/>
      <c r="AD21" s="338"/>
      <c r="AE21" s="338"/>
      <c r="AF21" s="338"/>
      <c r="AG21" s="338"/>
      <c r="AH21" s="339"/>
      <c r="AI21" s="306"/>
      <c r="AK21" s="340"/>
      <c r="AL21" s="340"/>
      <c r="AM21" s="340"/>
      <c r="AN21" s="340"/>
      <c r="AO21" s="340"/>
      <c r="AP21" s="340"/>
      <c r="AR21" s="312" t="str">
        <f t="shared" si="4"/>
        <v xml:space="preserve"> </v>
      </c>
      <c r="AS21" s="312" t="str">
        <f t="shared" si="5"/>
        <v xml:space="preserve"> </v>
      </c>
      <c r="AT21" s="312" t="str">
        <f t="shared" si="6"/>
        <v xml:space="preserve"> </v>
      </c>
      <c r="AU21" s="312" t="str">
        <f t="shared" si="7"/>
        <v xml:space="preserve"> </v>
      </c>
    </row>
    <row r="22" spans="1:59" s="312" customFormat="1" ht="12.75" customHeight="1">
      <c r="A22" s="401" t="s">
        <v>145</v>
      </c>
      <c r="B22" s="341" t="s">
        <v>160</v>
      </c>
      <c r="C22" s="342"/>
      <c r="D22" s="329"/>
      <c r="E22" s="329"/>
      <c r="F22" s="329"/>
      <c r="G22" s="329"/>
      <c r="H22" s="329"/>
      <c r="I22" s="329"/>
      <c r="J22" s="329"/>
      <c r="K22" s="330" t="str">
        <f t="shared" si="1"/>
        <v xml:space="preserve"> </v>
      </c>
      <c r="L22" s="331" t="str">
        <f t="shared" si="2"/>
        <v/>
      </c>
      <c r="M22" s="416" t="str">
        <f t="shared" si="3"/>
        <v/>
      </c>
      <c r="N22" s="329"/>
      <c r="O22" s="329"/>
      <c r="P22" s="329"/>
      <c r="Q22" s="333"/>
      <c r="R22" s="416"/>
      <c r="S22" s="334"/>
      <c r="T22" s="334"/>
      <c r="U22" s="335"/>
      <c r="V22" s="335"/>
      <c r="W22" s="335"/>
      <c r="X22" s="335"/>
      <c r="Y22" s="335"/>
      <c r="Z22" s="336"/>
      <c r="AA22" s="337"/>
      <c r="AB22" s="338"/>
      <c r="AC22" s="338"/>
      <c r="AD22" s="338"/>
      <c r="AE22" s="338"/>
      <c r="AF22" s="338"/>
      <c r="AG22" s="338"/>
      <c r="AH22" s="339"/>
      <c r="AI22" s="306"/>
      <c r="AK22" s="340"/>
      <c r="AL22" s="340"/>
      <c r="AM22" s="340"/>
      <c r="AN22" s="340"/>
      <c r="AO22" s="340"/>
      <c r="AP22" s="340"/>
      <c r="AR22" s="312" t="str">
        <f t="shared" si="4"/>
        <v xml:space="preserve"> </v>
      </c>
      <c r="AS22" s="312" t="str">
        <f t="shared" si="5"/>
        <v xml:space="preserve"> </v>
      </c>
      <c r="AT22" s="312" t="str">
        <f t="shared" si="6"/>
        <v xml:space="preserve"> </v>
      </c>
      <c r="AU22" s="312" t="str">
        <f t="shared" si="7"/>
        <v xml:space="preserve"> </v>
      </c>
    </row>
    <row r="23" spans="1:59" s="312" customFormat="1" ht="12.75" customHeight="1">
      <c r="A23" s="401" t="s">
        <v>146</v>
      </c>
      <c r="B23" s="341" t="s">
        <v>161</v>
      </c>
      <c r="C23" s="342"/>
      <c r="D23" s="329"/>
      <c r="E23" s="329"/>
      <c r="F23" s="329"/>
      <c r="G23" s="329"/>
      <c r="H23" s="329"/>
      <c r="I23" s="329"/>
      <c r="J23" s="329"/>
      <c r="K23" s="330" t="str">
        <f t="shared" si="1"/>
        <v xml:space="preserve"> </v>
      </c>
      <c r="L23" s="331" t="str">
        <f t="shared" si="2"/>
        <v/>
      </c>
      <c r="M23" s="416" t="str">
        <f t="shared" si="3"/>
        <v/>
      </c>
      <c r="N23" s="329"/>
      <c r="O23" s="329"/>
      <c r="P23" s="329"/>
      <c r="Q23" s="333"/>
      <c r="R23" s="416"/>
      <c r="S23" s="334"/>
      <c r="T23" s="334"/>
      <c r="U23" s="335"/>
      <c r="V23" s="335"/>
      <c r="W23" s="335"/>
      <c r="X23" s="335"/>
      <c r="Y23" s="335"/>
      <c r="Z23" s="336"/>
      <c r="AA23" s="337"/>
      <c r="AB23" s="338"/>
      <c r="AC23" s="338"/>
      <c r="AD23" s="338"/>
      <c r="AE23" s="338"/>
      <c r="AF23" s="338"/>
      <c r="AG23" s="338"/>
      <c r="AH23" s="339"/>
      <c r="AI23" s="306"/>
      <c r="AK23" s="340"/>
      <c r="AL23" s="340"/>
      <c r="AM23" s="340"/>
      <c r="AN23" s="340"/>
      <c r="AO23" s="340"/>
      <c r="AP23" s="340"/>
      <c r="AR23" s="312" t="str">
        <f t="shared" si="4"/>
        <v xml:space="preserve"> </v>
      </c>
      <c r="AS23" s="312" t="str">
        <f t="shared" si="5"/>
        <v xml:space="preserve"> </v>
      </c>
      <c r="AT23" s="312" t="str">
        <f t="shared" si="6"/>
        <v xml:space="preserve"> </v>
      </c>
      <c r="AU23" s="312" t="str">
        <f t="shared" si="7"/>
        <v xml:space="preserve"> </v>
      </c>
    </row>
    <row r="24" spans="1:59" s="312" customFormat="1" ht="12.75" customHeight="1">
      <c r="A24" s="401" t="s">
        <v>147</v>
      </c>
      <c r="B24" s="341" t="s">
        <v>162</v>
      </c>
      <c r="C24" s="342"/>
      <c r="D24" s="329"/>
      <c r="E24" s="329"/>
      <c r="F24" s="329"/>
      <c r="G24" s="329"/>
      <c r="H24" s="329"/>
      <c r="I24" s="329"/>
      <c r="J24" s="329"/>
      <c r="K24" s="330" t="str">
        <f t="shared" si="1"/>
        <v xml:space="preserve"> </v>
      </c>
      <c r="L24" s="331" t="str">
        <f t="shared" si="2"/>
        <v/>
      </c>
      <c r="M24" s="416" t="str">
        <f t="shared" si="3"/>
        <v/>
      </c>
      <c r="N24" s="329"/>
      <c r="O24" s="329"/>
      <c r="P24" s="329"/>
      <c r="Q24" s="333"/>
      <c r="R24" s="416"/>
      <c r="S24" s="334"/>
      <c r="T24" s="334"/>
      <c r="U24" s="335"/>
      <c r="V24" s="335"/>
      <c r="W24" s="335"/>
      <c r="X24" s="335"/>
      <c r="Y24" s="335"/>
      <c r="Z24" s="336"/>
      <c r="AA24" s="337"/>
      <c r="AB24" s="338"/>
      <c r="AC24" s="338"/>
      <c r="AD24" s="338"/>
      <c r="AE24" s="338"/>
      <c r="AF24" s="338"/>
      <c r="AG24" s="338"/>
      <c r="AH24" s="339"/>
      <c r="AI24" s="306"/>
      <c r="AK24" s="340"/>
      <c r="AL24" s="340"/>
      <c r="AM24" s="340"/>
      <c r="AN24" s="340"/>
      <c r="AO24" s="340"/>
      <c r="AP24" s="340"/>
      <c r="AR24" s="312" t="str">
        <f t="shared" si="4"/>
        <v xml:space="preserve"> </v>
      </c>
      <c r="AS24" s="312" t="str">
        <f t="shared" si="5"/>
        <v xml:space="preserve"> </v>
      </c>
      <c r="AT24" s="312" t="str">
        <f t="shared" si="6"/>
        <v xml:space="preserve"> </v>
      </c>
      <c r="AU24" s="312" t="str">
        <f t="shared" si="7"/>
        <v xml:space="preserve"> </v>
      </c>
    </row>
    <row r="25" spans="1:59" s="312" customFormat="1" ht="12.75" customHeight="1">
      <c r="A25" s="403" t="s">
        <v>191</v>
      </c>
      <c r="B25" s="343" t="s">
        <v>190</v>
      </c>
      <c r="C25" s="342"/>
      <c r="D25" s="329"/>
      <c r="E25" s="329"/>
      <c r="F25" s="329"/>
      <c r="G25" s="329"/>
      <c r="H25" s="329"/>
      <c r="I25" s="329"/>
      <c r="J25" s="329"/>
      <c r="K25" s="330" t="str">
        <f t="shared" si="1"/>
        <v xml:space="preserve"> </v>
      </c>
      <c r="L25" s="331" t="str">
        <f t="shared" si="2"/>
        <v/>
      </c>
      <c r="M25" s="416" t="str">
        <f t="shared" si="3"/>
        <v/>
      </c>
      <c r="N25" s="329"/>
      <c r="O25" s="329"/>
      <c r="P25" s="329"/>
      <c r="Q25" s="333"/>
      <c r="R25" s="416"/>
      <c r="S25" s="334"/>
      <c r="T25" s="334"/>
      <c r="U25" s="335"/>
      <c r="V25" s="335"/>
      <c r="W25" s="335"/>
      <c r="X25" s="335"/>
      <c r="Y25" s="335"/>
      <c r="Z25" s="336"/>
      <c r="AA25" s="337"/>
      <c r="AB25" s="338"/>
      <c r="AC25" s="338"/>
      <c r="AD25" s="338"/>
      <c r="AE25" s="338"/>
      <c r="AF25" s="338"/>
      <c r="AG25" s="338"/>
      <c r="AH25" s="339"/>
      <c r="AI25" s="306"/>
      <c r="AK25" s="340"/>
      <c r="AL25" s="340"/>
      <c r="AM25" s="340"/>
      <c r="AN25" s="340"/>
      <c r="AO25" s="340"/>
      <c r="AP25" s="340"/>
      <c r="AR25" s="312" t="str">
        <f t="shared" si="4"/>
        <v xml:space="preserve"> </v>
      </c>
      <c r="AS25" s="312" t="str">
        <f t="shared" si="5"/>
        <v xml:space="preserve"> </v>
      </c>
      <c r="AT25" s="312" t="str">
        <f t="shared" si="6"/>
        <v xml:space="preserve"> </v>
      </c>
      <c r="AU25" s="312" t="str">
        <f t="shared" si="7"/>
        <v xml:space="preserve"> </v>
      </c>
    </row>
    <row r="26" spans="1:59" s="312" customFormat="1" ht="9" customHeight="1" thickBot="1">
      <c r="A26" s="344"/>
      <c r="B26" s="345"/>
      <c r="C26" s="346"/>
      <c r="D26" s="346"/>
      <c r="E26" s="346"/>
      <c r="F26" s="346"/>
      <c r="G26" s="346"/>
      <c r="H26" s="346"/>
      <c r="I26" s="346"/>
      <c r="J26" s="346"/>
      <c r="K26" s="347" t="str">
        <f>IF(COUNT(AR26:AU26)&gt;0,AVERAGE(AR26:AU26)," ")</f>
        <v xml:space="preserve"> </v>
      </c>
      <c r="L26" s="404"/>
      <c r="M26" s="348"/>
      <c r="N26" s="417"/>
      <c r="O26" s="418"/>
      <c r="P26" s="418"/>
      <c r="Q26" s="419"/>
      <c r="R26" s="397"/>
      <c r="S26" s="352"/>
      <c r="T26" s="353"/>
      <c r="U26" s="353"/>
      <c r="V26" s="353"/>
      <c r="W26" s="353"/>
      <c r="X26" s="353"/>
      <c r="Y26" s="353"/>
      <c r="Z26" s="354"/>
      <c r="AA26" s="355"/>
      <c r="AB26" s="356"/>
      <c r="AC26" s="356"/>
      <c r="AD26" s="356"/>
      <c r="AE26" s="356"/>
      <c r="AF26" s="356"/>
      <c r="AG26" s="356"/>
      <c r="AH26" s="357"/>
      <c r="AI26" s="306"/>
      <c r="AK26" s="394"/>
      <c r="AL26" s="394"/>
      <c r="AM26" s="394"/>
      <c r="AN26" s="394"/>
      <c r="AO26" s="394"/>
      <c r="AP26" s="394"/>
      <c r="AR26" s="312" t="str">
        <f>IF(COUNT(D26,H26)=2,AVERAGE(D26,H26)," ")</f>
        <v xml:space="preserve"> </v>
      </c>
      <c r="AS26" s="312" t="str">
        <f>IF(COUNT(E26,I26)=2,AVERAGE(E26,I26)," ")</f>
        <v xml:space="preserve"> </v>
      </c>
      <c r="AT26" s="312" t="str">
        <f>IF(COUNT(F26,J26)=2,AVERAGE(F26,J26)," ")</f>
        <v xml:space="preserve"> </v>
      </c>
      <c r="AU26" s="312" t="str">
        <f>IF(COUNT(G26,C26)=2,AVERAGE(G26,C26)," ")</f>
        <v xml:space="preserve"> </v>
      </c>
    </row>
    <row r="27" spans="1:59" s="312" customFormat="1" ht="6.75" customHeight="1">
      <c r="C27" s="359"/>
    </row>
    <row r="28" spans="1:59" s="312" customFormat="1" ht="21" customHeight="1" thickBot="1">
      <c r="A28" s="360" t="s">
        <v>164</v>
      </c>
      <c r="B28" s="361"/>
      <c r="C28" s="420"/>
      <c r="D28" s="361"/>
      <c r="E28" s="361"/>
    </row>
    <row r="29" spans="1:59" s="312" customFormat="1" ht="13.5" thickTop="1">
      <c r="A29" s="408"/>
      <c r="B29" s="494" t="s">
        <v>124</v>
      </c>
      <c r="C29" s="509"/>
      <c r="D29" s="509"/>
      <c r="E29" s="509"/>
      <c r="F29" s="509"/>
      <c r="G29" s="509"/>
      <c r="H29" s="509"/>
      <c r="I29" s="509"/>
      <c r="J29" s="509"/>
      <c r="K29" s="510"/>
      <c r="L29" s="494" t="s">
        <v>126</v>
      </c>
      <c r="M29" s="509"/>
      <c r="N29" s="509"/>
      <c r="O29" s="508" t="s">
        <v>123</v>
      </c>
      <c r="P29" s="509"/>
      <c r="Q29" s="509"/>
      <c r="R29" s="509"/>
      <c r="S29" s="509"/>
      <c r="T29" s="509"/>
      <c r="U29" s="509"/>
      <c r="V29" s="510"/>
      <c r="W29" s="491" t="s">
        <v>125</v>
      </c>
      <c r="X29" s="509"/>
      <c r="Y29" s="509"/>
      <c r="Z29" s="509"/>
      <c r="AA29" s="509"/>
      <c r="AB29" s="509"/>
      <c r="AC29" s="509"/>
      <c r="AD29" s="510"/>
      <c r="AE29" s="362"/>
      <c r="AF29" s="409"/>
      <c r="AG29" s="409"/>
      <c r="AH29" s="409"/>
      <c r="AI29" s="409"/>
      <c r="AJ29" s="409"/>
      <c r="AK29" s="409"/>
      <c r="AL29" s="409"/>
      <c r="AM29" s="410"/>
      <c r="AN29" s="410"/>
      <c r="AO29" s="410"/>
      <c r="AP29" s="410"/>
      <c r="AQ29" s="410"/>
      <c r="AR29" s="410"/>
      <c r="AS29" s="410"/>
      <c r="AT29" s="410"/>
      <c r="AU29" s="410"/>
      <c r="AV29" s="410"/>
      <c r="AW29" s="410"/>
      <c r="AX29" s="410"/>
      <c r="AY29" s="410"/>
    </row>
    <row r="30" spans="1:59" s="312" customFormat="1" ht="13.5" thickBot="1">
      <c r="A30" s="363" t="s">
        <v>19</v>
      </c>
      <c r="B30" s="364">
        <v>22</v>
      </c>
      <c r="C30" s="365">
        <v>1</v>
      </c>
      <c r="D30" s="365">
        <v>4</v>
      </c>
      <c r="E30" s="365">
        <v>7</v>
      </c>
      <c r="F30" s="365">
        <v>10</v>
      </c>
      <c r="G30" s="365">
        <v>13</v>
      </c>
      <c r="H30" s="365">
        <v>16</v>
      </c>
      <c r="I30" s="365">
        <v>19</v>
      </c>
      <c r="J30" s="364" t="s">
        <v>42</v>
      </c>
      <c r="K30" s="366" t="s">
        <v>89</v>
      </c>
      <c r="L30" s="411" t="s">
        <v>47</v>
      </c>
      <c r="M30" s="411" t="s">
        <v>47</v>
      </c>
      <c r="N30" s="366" t="s">
        <v>47</v>
      </c>
      <c r="O30" s="364">
        <v>22</v>
      </c>
      <c r="P30" s="365">
        <v>1</v>
      </c>
      <c r="Q30" s="365">
        <v>4</v>
      </c>
      <c r="R30" s="365">
        <v>7</v>
      </c>
      <c r="S30" s="365">
        <v>10</v>
      </c>
      <c r="T30" s="365">
        <v>13</v>
      </c>
      <c r="U30" s="365">
        <v>16</v>
      </c>
      <c r="V30" s="365">
        <v>19</v>
      </c>
      <c r="W30" s="365">
        <v>22</v>
      </c>
      <c r="X30" s="365">
        <v>1</v>
      </c>
      <c r="Y30" s="365">
        <v>4</v>
      </c>
      <c r="Z30" s="365">
        <v>7</v>
      </c>
      <c r="AA30" s="365">
        <v>10</v>
      </c>
      <c r="AB30" s="365">
        <v>13</v>
      </c>
      <c r="AC30" s="365">
        <v>16</v>
      </c>
      <c r="AD30" s="366">
        <v>19</v>
      </c>
      <c r="AE30" s="319"/>
      <c r="AF30" s="319"/>
      <c r="AG30" s="319"/>
      <c r="AH30" s="319"/>
      <c r="AI30" s="319"/>
      <c r="AJ30" s="319"/>
      <c r="AK30" s="319"/>
      <c r="AL30" s="319"/>
      <c r="AM30" s="410"/>
      <c r="AN30" s="410"/>
      <c r="AO30" s="410"/>
      <c r="AP30" s="410"/>
      <c r="AQ30" s="410"/>
      <c r="AR30" s="410"/>
      <c r="AS30" s="410"/>
      <c r="AT30" s="410"/>
      <c r="AU30" s="410"/>
      <c r="AV30" s="410"/>
      <c r="AW30" s="410"/>
      <c r="AX30" s="410"/>
      <c r="AY30" s="410"/>
      <c r="AZ30" s="410"/>
      <c r="BA30" s="410"/>
      <c r="BB30" s="410"/>
      <c r="BC30" s="410"/>
      <c r="BD30" s="410"/>
      <c r="BE30" s="410"/>
      <c r="BF30" s="410"/>
      <c r="BG30" s="410"/>
    </row>
    <row r="31" spans="1:59" ht="13.5" thickTop="1">
      <c r="A31" s="412" t="str">
        <f>A4</f>
        <v>Thanh Hoá</v>
      </c>
      <c r="B31" s="367"/>
      <c r="C31" s="368"/>
      <c r="D31" s="368"/>
      <c r="E31" s="368"/>
      <c r="F31" s="368"/>
      <c r="G31" s="368"/>
      <c r="H31" s="368"/>
      <c r="I31" s="368"/>
      <c r="J31" s="369" t="str">
        <f>IF(COUNT(C31,D31,E31,F31,G31,H31,I31,B31)&gt;3,AVERAGE(C31,D31,E31,F31,G31,H31,I31,B31),"")</f>
        <v/>
      </c>
      <c r="K31" s="370" t="str">
        <f>IF(COUNT(J31)&gt;0,MIN(C31,D31,E31,F31,G31,H31,I31,B31),"")</f>
        <v/>
      </c>
      <c r="L31" s="329"/>
      <c r="M31" s="329"/>
      <c r="N31" s="371"/>
      <c r="O31" s="372"/>
      <c r="P31" s="372"/>
      <c r="Q31" s="372"/>
      <c r="R31" s="372"/>
      <c r="S31" s="372"/>
      <c r="T31" s="372"/>
      <c r="U31" s="372"/>
      <c r="V31" s="372"/>
      <c r="W31" s="373"/>
      <c r="X31" s="374"/>
      <c r="Y31" s="374"/>
      <c r="Z31" s="374"/>
      <c r="AA31" s="374"/>
      <c r="AB31" s="374"/>
      <c r="AC31" s="374"/>
      <c r="AD31" s="375"/>
      <c r="AE31" s="413"/>
      <c r="AF31" s="413"/>
      <c r="AG31" s="413"/>
      <c r="AH31" s="413"/>
      <c r="AI31" s="413"/>
      <c r="AJ31" s="413"/>
      <c r="AK31" s="413"/>
      <c r="AL31" s="413"/>
      <c r="AM31" s="413"/>
      <c r="AN31" s="413"/>
      <c r="AO31" s="413"/>
      <c r="AP31" s="413"/>
      <c r="AQ31" s="413"/>
      <c r="AR31" s="377"/>
      <c r="AS31" s="413"/>
      <c r="AT31" s="413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</row>
    <row r="32" spans="1:59" ht="12.75">
      <c r="A32" s="412" t="str">
        <f t="shared" ref="A32:A51" si="8">A5</f>
        <v>Yên Định</v>
      </c>
      <c r="B32" s="367"/>
      <c r="C32" s="368"/>
      <c r="D32" s="368"/>
      <c r="E32" s="368"/>
      <c r="F32" s="368"/>
      <c r="G32" s="368"/>
      <c r="H32" s="368"/>
      <c r="I32" s="368"/>
      <c r="J32" s="369" t="str">
        <f t="shared" ref="J32:J51" si="9">IF(COUNT(C32,D32,E32,F32,G32,H32,I32,B32)&gt;3,AVERAGE(C32,D32,E32,F32,G32,H32,I32,B32),"")</f>
        <v/>
      </c>
      <c r="K32" s="370" t="str">
        <f t="shared" ref="K32:K52" si="10">IF(COUNT(J32)&gt;0,MIN(C32,D32,E32,F32,G32,H32,I32,B32),"")</f>
        <v/>
      </c>
      <c r="L32" s="329"/>
      <c r="M32" s="329"/>
      <c r="N32" s="371"/>
      <c r="O32" s="372"/>
      <c r="P32" s="372"/>
      <c r="Q32" s="372"/>
      <c r="R32" s="372"/>
      <c r="S32" s="372"/>
      <c r="T32" s="372"/>
      <c r="U32" s="372"/>
      <c r="V32" s="372"/>
      <c r="W32" s="373"/>
      <c r="X32" s="374"/>
      <c r="Y32" s="374"/>
      <c r="Z32" s="374"/>
      <c r="AA32" s="374"/>
      <c r="AB32" s="374"/>
      <c r="AC32" s="374"/>
      <c r="AD32" s="375"/>
      <c r="AE32" s="413"/>
      <c r="AF32" s="413"/>
      <c r="AG32" s="413"/>
      <c r="AH32" s="413"/>
      <c r="AI32" s="413"/>
      <c r="AJ32" s="413"/>
      <c r="AK32" s="413"/>
      <c r="AL32" s="413"/>
      <c r="AM32" s="413"/>
      <c r="AN32" s="413"/>
      <c r="AO32" s="413"/>
      <c r="AP32" s="413"/>
      <c r="AQ32" s="413"/>
      <c r="AR32" s="377"/>
      <c r="AS32" s="413"/>
      <c r="AT32" s="413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</row>
    <row r="33" spans="1:59" ht="12.75">
      <c r="A33" s="412" t="str">
        <f t="shared" si="8"/>
        <v>Hồi Xuân</v>
      </c>
      <c r="B33" s="367"/>
      <c r="C33" s="368"/>
      <c r="D33" s="368"/>
      <c r="E33" s="368"/>
      <c r="F33" s="368"/>
      <c r="G33" s="368"/>
      <c r="H33" s="368"/>
      <c r="I33" s="368"/>
      <c r="J33" s="369" t="str">
        <f t="shared" si="9"/>
        <v/>
      </c>
      <c r="K33" s="370" t="str">
        <f t="shared" si="10"/>
        <v/>
      </c>
      <c r="L33" s="329"/>
      <c r="M33" s="329"/>
      <c r="N33" s="371"/>
      <c r="O33" s="372"/>
      <c r="P33" s="372"/>
      <c r="Q33" s="372"/>
      <c r="R33" s="372"/>
      <c r="S33" s="372"/>
      <c r="T33" s="372"/>
      <c r="U33" s="372"/>
      <c r="V33" s="372"/>
      <c r="W33" s="373"/>
      <c r="X33" s="374"/>
      <c r="Y33" s="374"/>
      <c r="Z33" s="374"/>
      <c r="AA33" s="374"/>
      <c r="AB33" s="374"/>
      <c r="AC33" s="374"/>
      <c r="AD33" s="375"/>
      <c r="AE33" s="413"/>
      <c r="AF33" s="413"/>
      <c r="AG33" s="413"/>
      <c r="AH33" s="413"/>
      <c r="AI33" s="413"/>
      <c r="AJ33" s="413"/>
      <c r="AK33" s="413"/>
      <c r="AL33" s="413"/>
      <c r="AM33" s="413"/>
      <c r="AN33" s="413"/>
      <c r="AO33" s="413"/>
      <c r="AP33" s="413"/>
      <c r="AQ33" s="413"/>
      <c r="AR33" s="377"/>
      <c r="AS33" s="413"/>
      <c r="AT33" s="413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</row>
    <row r="34" spans="1:59" ht="12.75">
      <c r="A34" s="412" t="str">
        <f t="shared" si="8"/>
        <v>Như Xuân</v>
      </c>
      <c r="B34" s="367"/>
      <c r="C34" s="368"/>
      <c r="D34" s="368"/>
      <c r="E34" s="368"/>
      <c r="F34" s="368"/>
      <c r="G34" s="368"/>
      <c r="H34" s="368"/>
      <c r="I34" s="368"/>
      <c r="J34" s="369" t="str">
        <f t="shared" si="9"/>
        <v/>
      </c>
      <c r="K34" s="370" t="str">
        <f t="shared" si="10"/>
        <v/>
      </c>
      <c r="L34" s="329"/>
      <c r="M34" s="329"/>
      <c r="N34" s="371"/>
      <c r="O34" s="372"/>
      <c r="P34" s="372"/>
      <c r="Q34" s="372"/>
      <c r="R34" s="372"/>
      <c r="S34" s="372"/>
      <c r="T34" s="372"/>
      <c r="U34" s="372"/>
      <c r="V34" s="372"/>
      <c r="W34" s="373"/>
      <c r="X34" s="374"/>
      <c r="Y34" s="374"/>
      <c r="Z34" s="374"/>
      <c r="AA34" s="374"/>
      <c r="AB34" s="374"/>
      <c r="AC34" s="374"/>
      <c r="AD34" s="375"/>
      <c r="AE34" s="413"/>
      <c r="AF34" s="413"/>
      <c r="AG34" s="413"/>
      <c r="AH34" s="413"/>
      <c r="AI34" s="413"/>
      <c r="AJ34" s="413"/>
      <c r="AK34" s="413"/>
      <c r="AL34" s="413"/>
      <c r="AM34" s="413"/>
      <c r="AN34" s="413"/>
      <c r="AO34" s="414"/>
      <c r="AP34" s="413"/>
      <c r="AQ34" s="413"/>
      <c r="AR34" s="377"/>
      <c r="AS34" s="413"/>
      <c r="AT34" s="413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</row>
    <row r="35" spans="1:59" ht="12.75">
      <c r="A35" s="412" t="str">
        <f t="shared" si="8"/>
        <v>Tĩnh Gia</v>
      </c>
      <c r="B35" s="367"/>
      <c r="C35" s="368"/>
      <c r="D35" s="368"/>
      <c r="E35" s="368"/>
      <c r="F35" s="368"/>
      <c r="G35" s="368"/>
      <c r="H35" s="368"/>
      <c r="I35" s="368"/>
      <c r="J35" s="369" t="str">
        <f t="shared" si="9"/>
        <v/>
      </c>
      <c r="K35" s="370" t="str">
        <f t="shared" si="10"/>
        <v/>
      </c>
      <c r="L35" s="329"/>
      <c r="M35" s="329"/>
      <c r="N35" s="371"/>
      <c r="O35" s="372"/>
      <c r="P35" s="372"/>
      <c r="Q35" s="372"/>
      <c r="R35" s="372"/>
      <c r="S35" s="372"/>
      <c r="T35" s="372"/>
      <c r="U35" s="372"/>
      <c r="V35" s="372"/>
      <c r="W35" s="373"/>
      <c r="X35" s="374"/>
      <c r="Y35" s="374"/>
      <c r="Z35" s="374"/>
      <c r="AA35" s="374"/>
      <c r="AB35" s="374"/>
      <c r="AC35" s="374"/>
      <c r="AD35" s="375"/>
      <c r="AE35" s="413"/>
      <c r="AF35" s="413"/>
      <c r="AG35" s="413"/>
      <c r="AH35" s="413"/>
      <c r="AI35" s="413"/>
      <c r="AJ35" s="413"/>
      <c r="AK35" s="413"/>
      <c r="AL35" s="413"/>
      <c r="AM35" s="413"/>
      <c r="AN35" s="413"/>
      <c r="AO35" s="413"/>
      <c r="AP35" s="413"/>
      <c r="AQ35" s="413"/>
      <c r="AR35" s="377"/>
      <c r="AS35" s="413"/>
      <c r="AT35" s="413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</row>
    <row r="36" spans="1:59" ht="12.75">
      <c r="A36" s="412" t="str">
        <f t="shared" si="8"/>
        <v>Bái Thượng</v>
      </c>
      <c r="B36" s="367"/>
      <c r="C36" s="368"/>
      <c r="D36" s="368"/>
      <c r="E36" s="368"/>
      <c r="F36" s="368"/>
      <c r="G36" s="368"/>
      <c r="H36" s="368"/>
      <c r="I36" s="368"/>
      <c r="J36" s="369" t="str">
        <f t="shared" si="9"/>
        <v/>
      </c>
      <c r="K36" s="370" t="str">
        <f t="shared" si="10"/>
        <v/>
      </c>
      <c r="L36" s="329"/>
      <c r="M36" s="329"/>
      <c r="N36" s="371"/>
      <c r="O36" s="372"/>
      <c r="P36" s="372"/>
      <c r="Q36" s="372"/>
      <c r="R36" s="372"/>
      <c r="S36" s="372"/>
      <c r="T36" s="372"/>
      <c r="U36" s="372"/>
      <c r="V36" s="372"/>
      <c r="W36" s="373"/>
      <c r="X36" s="374"/>
      <c r="Y36" s="374"/>
      <c r="Z36" s="374"/>
      <c r="AA36" s="374"/>
      <c r="AB36" s="374"/>
      <c r="AC36" s="374"/>
      <c r="AD36" s="375"/>
      <c r="AE36" s="413"/>
      <c r="AF36" s="413"/>
      <c r="AG36" s="413"/>
      <c r="AH36" s="413"/>
      <c r="AI36" s="413"/>
      <c r="AJ36" s="413"/>
      <c r="AK36" s="413"/>
      <c r="AL36" s="413"/>
      <c r="AM36" s="413"/>
      <c r="AN36" s="413"/>
      <c r="AO36" s="413"/>
      <c r="AP36" s="413"/>
      <c r="AQ36" s="413"/>
      <c r="AR36" s="377"/>
      <c r="AS36" s="413"/>
      <c r="AT36" s="413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</row>
    <row r="37" spans="1:59" ht="12.75">
      <c r="A37" s="412" t="str">
        <f t="shared" si="8"/>
        <v>Sầm Sơn</v>
      </c>
      <c r="B37" s="367"/>
      <c r="C37" s="368"/>
      <c r="D37" s="368"/>
      <c r="E37" s="368"/>
      <c r="F37" s="368"/>
      <c r="G37" s="368"/>
      <c r="H37" s="368"/>
      <c r="I37" s="368"/>
      <c r="J37" s="369" t="str">
        <f t="shared" si="9"/>
        <v/>
      </c>
      <c r="K37" s="370" t="str">
        <f t="shared" si="10"/>
        <v/>
      </c>
      <c r="L37" s="329"/>
      <c r="M37" s="329"/>
      <c r="N37" s="371"/>
      <c r="O37" s="372"/>
      <c r="P37" s="372"/>
      <c r="Q37" s="372"/>
      <c r="R37" s="372"/>
      <c r="S37" s="372"/>
      <c r="T37" s="372"/>
      <c r="U37" s="372"/>
      <c r="V37" s="372"/>
      <c r="W37" s="373"/>
      <c r="X37" s="374"/>
      <c r="Y37" s="374"/>
      <c r="Z37" s="374"/>
      <c r="AA37" s="374"/>
      <c r="AB37" s="374"/>
      <c r="AC37" s="374"/>
      <c r="AD37" s="375"/>
      <c r="AE37" s="413"/>
      <c r="AF37" s="413"/>
      <c r="AG37" s="413"/>
      <c r="AH37" s="413"/>
      <c r="AI37" s="413"/>
      <c r="AJ37" s="413"/>
      <c r="AK37" s="413"/>
      <c r="AL37" s="413"/>
      <c r="AM37" s="413"/>
      <c r="AN37" s="413"/>
      <c r="AO37" s="413"/>
      <c r="AP37" s="413"/>
      <c r="AQ37" s="413"/>
      <c r="AR37" s="377"/>
      <c r="AS37" s="413"/>
      <c r="AT37" s="413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</row>
    <row r="38" spans="1:59" ht="12.75">
      <c r="A38" s="412" t="str">
        <f t="shared" si="8"/>
        <v>Nga Sơn</v>
      </c>
      <c r="B38" s="367"/>
      <c r="C38" s="368"/>
      <c r="D38" s="368"/>
      <c r="E38" s="368"/>
      <c r="F38" s="368"/>
      <c r="G38" s="368"/>
      <c r="H38" s="368"/>
      <c r="I38" s="368"/>
      <c r="J38" s="369" t="str">
        <f t="shared" si="9"/>
        <v/>
      </c>
      <c r="K38" s="370" t="str">
        <f t="shared" si="10"/>
        <v/>
      </c>
      <c r="L38" s="329"/>
      <c r="M38" s="329"/>
      <c r="N38" s="371"/>
      <c r="O38" s="372"/>
      <c r="P38" s="372"/>
      <c r="Q38" s="372"/>
      <c r="R38" s="372"/>
      <c r="S38" s="372"/>
      <c r="T38" s="372"/>
      <c r="U38" s="372"/>
      <c r="V38" s="372"/>
      <c r="W38" s="373"/>
      <c r="X38" s="374"/>
      <c r="Y38" s="374"/>
      <c r="Z38" s="374"/>
      <c r="AA38" s="374"/>
      <c r="AB38" s="374"/>
      <c r="AC38" s="374"/>
      <c r="AD38" s="375"/>
      <c r="AE38" s="413"/>
      <c r="AF38" s="413"/>
      <c r="AG38" s="413"/>
      <c r="AH38" s="413"/>
      <c r="AI38" s="413"/>
      <c r="AJ38" s="413"/>
      <c r="AK38" s="413"/>
      <c r="AL38" s="413"/>
      <c r="AM38" s="413"/>
      <c r="AN38" s="413"/>
      <c r="AO38" s="413"/>
      <c r="AP38" s="413"/>
      <c r="AQ38" s="413"/>
      <c r="AR38" s="377"/>
      <c r="AS38" s="413"/>
      <c r="AT38" s="413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</row>
    <row r="39" spans="1:59" ht="12.75">
      <c r="A39" s="412" t="str">
        <f t="shared" si="8"/>
        <v>Vinh</v>
      </c>
      <c r="B39" s="367"/>
      <c r="C39" s="368"/>
      <c r="D39" s="368"/>
      <c r="E39" s="368"/>
      <c r="F39" s="368"/>
      <c r="G39" s="368"/>
      <c r="H39" s="368"/>
      <c r="I39" s="368"/>
      <c r="J39" s="369" t="str">
        <f t="shared" si="9"/>
        <v/>
      </c>
      <c r="K39" s="370" t="str">
        <f t="shared" si="10"/>
        <v/>
      </c>
      <c r="L39" s="329"/>
      <c r="M39" s="329"/>
      <c r="N39" s="371"/>
      <c r="O39" s="372"/>
      <c r="P39" s="372"/>
      <c r="Q39" s="372"/>
      <c r="R39" s="372"/>
      <c r="S39" s="372"/>
      <c r="T39" s="372"/>
      <c r="U39" s="372"/>
      <c r="V39" s="372"/>
      <c r="W39" s="373"/>
      <c r="X39" s="374"/>
      <c r="Y39" s="374"/>
      <c r="Z39" s="374"/>
      <c r="AA39" s="374"/>
      <c r="AB39" s="374"/>
      <c r="AC39" s="374"/>
      <c r="AD39" s="375"/>
      <c r="AE39" s="413"/>
      <c r="AF39" s="413"/>
      <c r="AG39" s="413"/>
      <c r="AH39" s="413"/>
      <c r="AI39" s="413"/>
      <c r="AJ39" s="413"/>
      <c r="AK39" s="413"/>
      <c r="AL39" s="413"/>
      <c r="AM39" s="413"/>
      <c r="AN39" s="413"/>
      <c r="AO39" s="413"/>
      <c r="AP39" s="413"/>
      <c r="AQ39" s="413"/>
      <c r="AR39" s="377"/>
      <c r="AS39" s="413"/>
      <c r="AT39" s="413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</row>
    <row r="40" spans="1:59" ht="12.75">
      <c r="A40" s="412" t="str">
        <f t="shared" si="8"/>
        <v>Đô Lương</v>
      </c>
      <c r="B40" s="367"/>
      <c r="C40" s="368"/>
      <c r="D40" s="368"/>
      <c r="E40" s="368"/>
      <c r="F40" s="368"/>
      <c r="G40" s="368"/>
      <c r="H40" s="368"/>
      <c r="I40" s="368"/>
      <c r="J40" s="369" t="str">
        <f t="shared" si="9"/>
        <v/>
      </c>
      <c r="K40" s="370" t="str">
        <f t="shared" si="10"/>
        <v/>
      </c>
      <c r="L40" s="329"/>
      <c r="M40" s="329"/>
      <c r="N40" s="371"/>
      <c r="O40" s="372"/>
      <c r="P40" s="372"/>
      <c r="Q40" s="372"/>
      <c r="R40" s="372"/>
      <c r="S40" s="372"/>
      <c r="T40" s="372"/>
      <c r="U40" s="372"/>
      <c r="V40" s="372"/>
      <c r="W40" s="373"/>
      <c r="X40" s="374"/>
      <c r="Y40" s="374"/>
      <c r="Z40" s="374"/>
      <c r="AA40" s="374"/>
      <c r="AB40" s="374"/>
      <c r="AC40" s="374"/>
      <c r="AD40" s="375"/>
      <c r="AE40" s="413"/>
      <c r="AF40" s="413"/>
      <c r="AG40" s="413"/>
      <c r="AH40" s="413"/>
      <c r="AI40" s="413"/>
      <c r="AJ40" s="413"/>
      <c r="AK40" s="413"/>
      <c r="AL40" s="413"/>
      <c r="AM40" s="413"/>
      <c r="AN40" s="413"/>
      <c r="AO40" s="413"/>
      <c r="AP40" s="413"/>
      <c r="AQ40" s="413"/>
      <c r="AR40" s="377"/>
      <c r="AS40" s="413"/>
      <c r="AT40" s="413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</row>
    <row r="41" spans="1:59" ht="12.75">
      <c r="A41" s="412" t="str">
        <f t="shared" si="8"/>
        <v>Tây Hiếu</v>
      </c>
      <c r="B41" s="367"/>
      <c r="C41" s="368"/>
      <c r="D41" s="368"/>
      <c r="E41" s="368"/>
      <c r="F41" s="368"/>
      <c r="G41" s="368"/>
      <c r="H41" s="368"/>
      <c r="I41" s="368"/>
      <c r="J41" s="369" t="str">
        <f t="shared" si="9"/>
        <v/>
      </c>
      <c r="K41" s="370" t="str">
        <f t="shared" si="10"/>
        <v/>
      </c>
      <c r="L41" s="329"/>
      <c r="M41" s="329"/>
      <c r="N41" s="371"/>
      <c r="O41" s="372"/>
      <c r="P41" s="372"/>
      <c r="Q41" s="372"/>
      <c r="R41" s="372"/>
      <c r="S41" s="372"/>
      <c r="T41" s="372"/>
      <c r="U41" s="372"/>
      <c r="V41" s="372"/>
      <c r="W41" s="373"/>
      <c r="X41" s="374"/>
      <c r="Y41" s="374"/>
      <c r="Z41" s="374"/>
      <c r="AA41" s="374"/>
      <c r="AB41" s="374"/>
      <c r="AC41" s="374"/>
      <c r="AD41" s="375"/>
      <c r="AE41" s="413"/>
      <c r="AF41" s="413"/>
      <c r="AG41" s="413"/>
      <c r="AH41" s="413"/>
      <c r="AI41" s="413"/>
      <c r="AJ41" s="413"/>
      <c r="AK41" s="413"/>
      <c r="AL41" s="413"/>
      <c r="AM41" s="413"/>
      <c r="AN41" s="413"/>
      <c r="AO41" s="413"/>
      <c r="AP41" s="413"/>
      <c r="AQ41" s="413"/>
      <c r="AR41" s="377"/>
      <c r="AS41" s="413"/>
      <c r="AT41" s="413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</row>
    <row r="42" spans="1:59" ht="12.75">
      <c r="A42" s="412" t="str">
        <f t="shared" si="8"/>
        <v>Quỳ Châu</v>
      </c>
      <c r="B42" s="367"/>
      <c r="C42" s="368"/>
      <c r="D42" s="368"/>
      <c r="E42" s="368"/>
      <c r="F42" s="368"/>
      <c r="G42" s="368"/>
      <c r="H42" s="368"/>
      <c r="I42" s="368"/>
      <c r="J42" s="369" t="str">
        <f t="shared" si="9"/>
        <v/>
      </c>
      <c r="K42" s="370" t="str">
        <f t="shared" si="10"/>
        <v/>
      </c>
      <c r="L42" s="329"/>
      <c r="M42" s="329"/>
      <c r="N42" s="371"/>
      <c r="O42" s="372"/>
      <c r="P42" s="372"/>
      <c r="Q42" s="372"/>
      <c r="R42" s="372"/>
      <c r="S42" s="372"/>
      <c r="T42" s="372"/>
      <c r="U42" s="372"/>
      <c r="V42" s="372"/>
      <c r="W42" s="373"/>
      <c r="X42" s="374"/>
      <c r="Y42" s="374"/>
      <c r="Z42" s="374"/>
      <c r="AA42" s="374"/>
      <c r="AB42" s="374"/>
      <c r="AC42" s="374"/>
      <c r="AD42" s="375"/>
      <c r="AE42" s="413"/>
      <c r="AF42" s="413"/>
      <c r="AG42" s="413"/>
      <c r="AH42" s="413"/>
      <c r="AI42" s="413"/>
      <c r="AJ42" s="413"/>
      <c r="AK42" s="413"/>
      <c r="AL42" s="413"/>
      <c r="AM42" s="413"/>
      <c r="AN42" s="413"/>
      <c r="AO42" s="413"/>
      <c r="AP42" s="413"/>
      <c r="AQ42" s="413"/>
      <c r="AR42" s="377"/>
      <c r="AS42" s="413"/>
      <c r="AT42" s="413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</row>
    <row r="43" spans="1:59" ht="12.75">
      <c r="A43" s="412" t="str">
        <f t="shared" si="8"/>
        <v>Quỳ Hợp</v>
      </c>
      <c r="B43" s="367"/>
      <c r="C43" s="368"/>
      <c r="D43" s="368"/>
      <c r="E43" s="368"/>
      <c r="F43" s="368"/>
      <c r="G43" s="368"/>
      <c r="H43" s="368"/>
      <c r="I43" s="368"/>
      <c r="J43" s="369" t="str">
        <f t="shared" si="9"/>
        <v/>
      </c>
      <c r="K43" s="370" t="str">
        <f t="shared" si="10"/>
        <v/>
      </c>
      <c r="L43" s="329"/>
      <c r="M43" s="329"/>
      <c r="N43" s="371"/>
      <c r="O43" s="372"/>
      <c r="P43" s="372"/>
      <c r="Q43" s="372"/>
      <c r="R43" s="372"/>
      <c r="S43" s="372"/>
      <c r="T43" s="372"/>
      <c r="U43" s="372"/>
      <c r="V43" s="372"/>
      <c r="W43" s="373"/>
      <c r="X43" s="374"/>
      <c r="Y43" s="374"/>
      <c r="Z43" s="374"/>
      <c r="AA43" s="374"/>
      <c r="AB43" s="374"/>
      <c r="AC43" s="374"/>
      <c r="AD43" s="375"/>
      <c r="AE43" s="413"/>
      <c r="AF43" s="413"/>
      <c r="AG43" s="413"/>
      <c r="AH43" s="413"/>
      <c r="AI43" s="413"/>
      <c r="AJ43" s="413"/>
      <c r="AK43" s="413"/>
      <c r="AL43" s="413"/>
      <c r="AM43" s="413"/>
      <c r="AN43" s="413"/>
      <c r="AO43" s="413"/>
      <c r="AP43" s="413"/>
      <c r="AQ43" s="413"/>
      <c r="AR43" s="377"/>
      <c r="AS43" s="413"/>
      <c r="AT43" s="413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</row>
    <row r="44" spans="1:59" ht="12.75">
      <c r="A44" s="412" t="str">
        <f t="shared" si="8"/>
        <v>Quỳnh Lưu</v>
      </c>
      <c r="B44" s="367"/>
      <c r="C44" s="368"/>
      <c r="D44" s="368"/>
      <c r="E44" s="368"/>
      <c r="F44" s="368"/>
      <c r="G44" s="368"/>
      <c r="H44" s="368"/>
      <c r="I44" s="368"/>
      <c r="J44" s="369" t="str">
        <f t="shared" si="9"/>
        <v/>
      </c>
      <c r="K44" s="370" t="str">
        <f t="shared" si="10"/>
        <v/>
      </c>
      <c r="L44" s="329"/>
      <c r="M44" s="329"/>
      <c r="N44" s="371"/>
      <c r="O44" s="372"/>
      <c r="P44" s="372"/>
      <c r="Q44" s="372"/>
      <c r="R44" s="372"/>
      <c r="S44" s="372"/>
      <c r="T44" s="372"/>
      <c r="U44" s="372"/>
      <c r="V44" s="372"/>
      <c r="W44" s="373"/>
      <c r="X44" s="374"/>
      <c r="Y44" s="374"/>
      <c r="Z44" s="374"/>
      <c r="AA44" s="374"/>
      <c r="AB44" s="374"/>
      <c r="AC44" s="374"/>
      <c r="AD44" s="375"/>
      <c r="AE44" s="413"/>
      <c r="AF44" s="413"/>
      <c r="AG44" s="413"/>
      <c r="AH44" s="413"/>
      <c r="AI44" s="413"/>
      <c r="AJ44" s="413"/>
      <c r="AK44" s="413"/>
      <c r="AL44" s="413"/>
      <c r="AM44" s="413"/>
      <c r="AN44" s="413"/>
      <c r="AO44" s="413"/>
      <c r="AP44" s="413"/>
      <c r="AQ44" s="413"/>
      <c r="AR44" s="377"/>
      <c r="AS44" s="413"/>
      <c r="AT44" s="413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</row>
    <row r="45" spans="1:59" ht="12.75">
      <c r="A45" s="412" t="str">
        <f t="shared" si="8"/>
        <v>Con Cuông</v>
      </c>
      <c r="B45" s="367"/>
      <c r="C45" s="368"/>
      <c r="D45" s="368"/>
      <c r="E45" s="368"/>
      <c r="F45" s="368"/>
      <c r="G45" s="368"/>
      <c r="H45" s="368"/>
      <c r="I45" s="368"/>
      <c r="J45" s="369" t="str">
        <f t="shared" si="9"/>
        <v/>
      </c>
      <c r="K45" s="370" t="str">
        <f t="shared" si="10"/>
        <v/>
      </c>
      <c r="L45" s="329"/>
      <c r="M45" s="329"/>
      <c r="N45" s="371"/>
      <c r="O45" s="372"/>
      <c r="P45" s="372"/>
      <c r="Q45" s="372"/>
      <c r="R45" s="372"/>
      <c r="S45" s="372"/>
      <c r="T45" s="372"/>
      <c r="U45" s="372"/>
      <c r="V45" s="372"/>
      <c r="W45" s="373"/>
      <c r="X45" s="374"/>
      <c r="Y45" s="374"/>
      <c r="Z45" s="374"/>
      <c r="AA45" s="374"/>
      <c r="AB45" s="374"/>
      <c r="AC45" s="374"/>
      <c r="AD45" s="375"/>
      <c r="AE45" s="413"/>
      <c r="AF45" s="413"/>
      <c r="AG45" s="413"/>
      <c r="AH45" s="413"/>
      <c r="AI45" s="413"/>
      <c r="AJ45" s="413"/>
      <c r="AK45" s="413"/>
      <c r="AL45" s="413"/>
      <c r="AM45" s="413"/>
      <c r="AN45" s="413"/>
      <c r="AO45" s="413"/>
      <c r="AP45" s="413"/>
      <c r="AQ45" s="413"/>
      <c r="AR45" s="377"/>
      <c r="AS45" s="413"/>
      <c r="AT45" s="413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</row>
    <row r="46" spans="1:59" ht="12.75">
      <c r="A46" s="412" t="str">
        <f t="shared" si="8"/>
        <v>Hòn Ngư</v>
      </c>
      <c r="B46" s="367"/>
      <c r="C46" s="368"/>
      <c r="D46" s="368"/>
      <c r="E46" s="368"/>
      <c r="F46" s="368"/>
      <c r="G46" s="368"/>
      <c r="H46" s="368"/>
      <c r="I46" s="368"/>
      <c r="J46" s="369" t="str">
        <f t="shared" si="9"/>
        <v/>
      </c>
      <c r="K46" s="370" t="str">
        <f t="shared" si="10"/>
        <v/>
      </c>
      <c r="L46" s="329"/>
      <c r="M46" s="329"/>
      <c r="N46" s="371"/>
      <c r="O46" s="372"/>
      <c r="P46" s="372"/>
      <c r="Q46" s="372"/>
      <c r="R46" s="372"/>
      <c r="S46" s="372"/>
      <c r="T46" s="372"/>
      <c r="U46" s="372"/>
      <c r="V46" s="372"/>
      <c r="W46" s="373"/>
      <c r="X46" s="374"/>
      <c r="Y46" s="374"/>
      <c r="Z46" s="374"/>
      <c r="AA46" s="374"/>
      <c r="AB46" s="374"/>
      <c r="AC46" s="374"/>
      <c r="AD46" s="375"/>
      <c r="AE46" s="413"/>
      <c r="AF46" s="413"/>
      <c r="AG46" s="413"/>
      <c r="AH46" s="413"/>
      <c r="AI46" s="413"/>
      <c r="AJ46" s="413"/>
      <c r="AK46" s="413"/>
      <c r="AL46" s="413"/>
      <c r="AM46" s="413"/>
      <c r="AN46" s="413"/>
      <c r="AO46" s="413"/>
      <c r="AP46" s="413"/>
      <c r="AQ46" s="413"/>
      <c r="AR46" s="377"/>
      <c r="AS46" s="413"/>
      <c r="AT46" s="413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</row>
    <row r="47" spans="1:59" ht="12.75">
      <c r="A47" s="412" t="str">
        <f t="shared" si="8"/>
        <v>Tương Dương</v>
      </c>
      <c r="B47" s="367"/>
      <c r="C47" s="368"/>
      <c r="D47" s="368"/>
      <c r="E47" s="368"/>
      <c r="F47" s="368"/>
      <c r="G47" s="368"/>
      <c r="H47" s="368"/>
      <c r="I47" s="368"/>
      <c r="J47" s="369" t="str">
        <f t="shared" si="9"/>
        <v/>
      </c>
      <c r="K47" s="370" t="str">
        <f t="shared" si="10"/>
        <v/>
      </c>
      <c r="L47" s="329"/>
      <c r="M47" s="329"/>
      <c r="N47" s="371"/>
      <c r="O47" s="372"/>
      <c r="P47" s="372"/>
      <c r="Q47" s="372"/>
      <c r="R47" s="372"/>
      <c r="S47" s="372"/>
      <c r="T47" s="372"/>
      <c r="U47" s="372"/>
      <c r="V47" s="372"/>
      <c r="W47" s="373"/>
      <c r="X47" s="374"/>
      <c r="Y47" s="374"/>
      <c r="Z47" s="374"/>
      <c r="AA47" s="374"/>
      <c r="AB47" s="374"/>
      <c r="AC47" s="374"/>
      <c r="AD47" s="375"/>
      <c r="AE47" s="413"/>
      <c r="AF47" s="413"/>
      <c r="AG47" s="413"/>
      <c r="AH47" s="413"/>
      <c r="AI47" s="413"/>
      <c r="AJ47" s="413"/>
      <c r="AK47" s="413"/>
      <c r="AL47" s="413"/>
      <c r="AM47" s="413"/>
      <c r="AN47" s="413"/>
      <c r="AO47" s="413"/>
      <c r="AP47" s="413"/>
      <c r="AQ47" s="413"/>
      <c r="AR47" s="377"/>
      <c r="AS47" s="413"/>
      <c r="AT47" s="413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</row>
    <row r="48" spans="1:59" ht="12.75">
      <c r="A48" s="412" t="str">
        <f t="shared" si="8"/>
        <v>Hà Tĩnh</v>
      </c>
      <c r="B48" s="367"/>
      <c r="C48" s="368"/>
      <c r="D48" s="368"/>
      <c r="E48" s="368"/>
      <c r="F48" s="368"/>
      <c r="G48" s="368"/>
      <c r="H48" s="368"/>
      <c r="I48" s="368"/>
      <c r="J48" s="369" t="str">
        <f t="shared" si="9"/>
        <v/>
      </c>
      <c r="K48" s="370" t="str">
        <f t="shared" si="10"/>
        <v/>
      </c>
      <c r="L48" s="329"/>
      <c r="M48" s="329"/>
      <c r="N48" s="371"/>
      <c r="O48" s="372"/>
      <c r="P48" s="372"/>
      <c r="Q48" s="372"/>
      <c r="R48" s="372"/>
      <c r="S48" s="372"/>
      <c r="T48" s="372"/>
      <c r="U48" s="372"/>
      <c r="V48" s="372"/>
      <c r="W48" s="373"/>
      <c r="X48" s="374"/>
      <c r="Y48" s="374"/>
      <c r="Z48" s="374"/>
      <c r="AA48" s="374"/>
      <c r="AB48" s="374"/>
      <c r="AC48" s="374"/>
      <c r="AD48" s="375"/>
      <c r="AE48" s="413"/>
      <c r="AF48" s="413"/>
      <c r="AG48" s="413"/>
      <c r="AH48" s="413"/>
      <c r="AI48" s="413"/>
      <c r="AJ48" s="413"/>
      <c r="AK48" s="413"/>
      <c r="AL48" s="413"/>
      <c r="AM48" s="413"/>
      <c r="AN48" s="413"/>
      <c r="AO48" s="413"/>
      <c r="AP48" s="413"/>
      <c r="AQ48" s="413"/>
      <c r="AR48" s="377"/>
      <c r="AS48" s="413"/>
      <c r="AT48" s="413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</row>
    <row r="49" spans="1:59" ht="12.75">
      <c r="A49" s="412" t="str">
        <f t="shared" si="8"/>
        <v>Kỳ Anh</v>
      </c>
      <c r="B49" s="367"/>
      <c r="C49" s="368"/>
      <c r="D49" s="368"/>
      <c r="E49" s="368"/>
      <c r="F49" s="368"/>
      <c r="G49" s="368"/>
      <c r="H49" s="368"/>
      <c r="I49" s="368"/>
      <c r="J49" s="369" t="str">
        <f t="shared" si="9"/>
        <v/>
      </c>
      <c r="K49" s="370" t="str">
        <f t="shared" si="10"/>
        <v/>
      </c>
      <c r="L49" s="329"/>
      <c r="M49" s="329"/>
      <c r="N49" s="371"/>
      <c r="O49" s="372"/>
      <c r="P49" s="372"/>
      <c r="Q49" s="372"/>
      <c r="R49" s="372"/>
      <c r="S49" s="372"/>
      <c r="T49" s="372"/>
      <c r="U49" s="372"/>
      <c r="V49" s="372"/>
      <c r="W49" s="373"/>
      <c r="X49" s="374"/>
      <c r="Y49" s="374"/>
      <c r="Z49" s="374"/>
      <c r="AA49" s="374"/>
      <c r="AB49" s="374"/>
      <c r="AC49" s="374"/>
      <c r="AD49" s="375"/>
      <c r="AE49" s="413"/>
      <c r="AF49" s="413"/>
      <c r="AG49" s="413"/>
      <c r="AH49" s="413"/>
      <c r="AI49" s="413"/>
      <c r="AJ49" s="413"/>
      <c r="AK49" s="413"/>
      <c r="AL49" s="413"/>
      <c r="AM49" s="413"/>
      <c r="AN49" s="413"/>
      <c r="AO49" s="413"/>
      <c r="AP49" s="413"/>
      <c r="AQ49" s="413"/>
      <c r="AR49" s="377"/>
      <c r="AS49" s="413"/>
      <c r="AT49" s="413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</row>
    <row r="50" spans="1:59" ht="12.75">
      <c r="A50" s="412" t="str">
        <f t="shared" si="8"/>
        <v>Hương Sơn</v>
      </c>
      <c r="B50" s="367"/>
      <c r="C50" s="368"/>
      <c r="D50" s="368"/>
      <c r="E50" s="368"/>
      <c r="F50" s="368"/>
      <c r="G50" s="368"/>
      <c r="H50" s="368"/>
      <c r="I50" s="368"/>
      <c r="J50" s="369" t="str">
        <f t="shared" si="9"/>
        <v/>
      </c>
      <c r="K50" s="370" t="str">
        <f t="shared" si="10"/>
        <v/>
      </c>
      <c r="L50" s="329"/>
      <c r="M50" s="329"/>
      <c r="N50" s="371"/>
      <c r="O50" s="372"/>
      <c r="P50" s="372"/>
      <c r="Q50" s="372"/>
      <c r="R50" s="372"/>
      <c r="S50" s="372"/>
      <c r="T50" s="372"/>
      <c r="U50" s="372"/>
      <c r="V50" s="372"/>
      <c r="W50" s="373"/>
      <c r="X50" s="374"/>
      <c r="Y50" s="374"/>
      <c r="Z50" s="374"/>
      <c r="AA50" s="374"/>
      <c r="AB50" s="374"/>
      <c r="AC50" s="374"/>
      <c r="AD50" s="375"/>
      <c r="AE50" s="413"/>
      <c r="AF50" s="413"/>
      <c r="AG50" s="413"/>
      <c r="AH50" s="413"/>
      <c r="AI50" s="413"/>
      <c r="AJ50" s="413"/>
      <c r="AK50" s="413"/>
      <c r="AL50" s="413"/>
      <c r="AM50" s="413"/>
      <c r="AN50" s="413"/>
      <c r="AO50" s="413"/>
      <c r="AP50" s="413"/>
      <c r="AQ50" s="413"/>
      <c r="AR50" s="377"/>
      <c r="AS50" s="413"/>
      <c r="AT50" s="413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</row>
    <row r="51" spans="1:59" ht="12.75" customHeight="1">
      <c r="A51" s="412" t="str">
        <f t="shared" si="8"/>
        <v>Hương Khê</v>
      </c>
      <c r="B51" s="367"/>
      <c r="C51" s="368"/>
      <c r="D51" s="368"/>
      <c r="E51" s="368"/>
      <c r="F51" s="368"/>
      <c r="G51" s="368"/>
      <c r="H51" s="368"/>
      <c r="I51" s="368"/>
      <c r="J51" s="369" t="str">
        <f t="shared" si="9"/>
        <v/>
      </c>
      <c r="K51" s="370" t="str">
        <f t="shared" si="10"/>
        <v/>
      </c>
      <c r="L51" s="329"/>
      <c r="M51" s="329"/>
      <c r="N51" s="371"/>
      <c r="O51" s="372"/>
      <c r="P51" s="372"/>
      <c r="Q51" s="372"/>
      <c r="R51" s="372"/>
      <c r="S51" s="372"/>
      <c r="T51" s="372"/>
      <c r="U51" s="372"/>
      <c r="V51" s="372"/>
      <c r="W51" s="373"/>
      <c r="X51" s="374"/>
      <c r="Y51" s="374"/>
      <c r="Z51" s="374"/>
      <c r="AA51" s="374"/>
      <c r="AB51" s="374"/>
      <c r="AC51" s="374"/>
      <c r="AD51" s="375"/>
      <c r="AE51" s="380"/>
      <c r="AF51" s="413"/>
      <c r="AG51" s="413"/>
      <c r="AH51" s="413"/>
      <c r="AI51" s="413"/>
      <c r="AJ51" s="413"/>
      <c r="AK51" s="413"/>
      <c r="AL51" s="413"/>
      <c r="AM51" s="413"/>
      <c r="AN51" s="413"/>
      <c r="AO51" s="413"/>
      <c r="AP51" s="413"/>
      <c r="AQ51" s="413"/>
      <c r="AR51" s="377"/>
      <c r="AS51" s="413"/>
      <c r="AT51" s="413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</row>
    <row r="52" spans="1:59" ht="12.75" customHeight="1">
      <c r="A52" s="412" t="str">
        <f>A25</f>
        <v>Hoành Sơn</v>
      </c>
      <c r="B52" s="367"/>
      <c r="C52" s="368"/>
      <c r="D52" s="368"/>
      <c r="E52" s="368"/>
      <c r="F52" s="368"/>
      <c r="G52" s="368"/>
      <c r="H52" s="368"/>
      <c r="I52" s="368"/>
      <c r="J52" s="369" t="str">
        <f>IF(COUNT(C52,D52,E52,F52,G52,H52,I52,B52)&gt;3,AVERAGE(C52,D52,E52,F52,G52,H52,I52,B52),"")</f>
        <v/>
      </c>
      <c r="K52" s="370" t="str">
        <f t="shared" si="10"/>
        <v/>
      </c>
      <c r="L52" s="329"/>
      <c r="M52" s="329"/>
      <c r="N52" s="371"/>
      <c r="O52" s="372"/>
      <c r="P52" s="372"/>
      <c r="Q52" s="372"/>
      <c r="R52" s="372"/>
      <c r="S52" s="372"/>
      <c r="T52" s="372"/>
      <c r="U52" s="372"/>
      <c r="V52" s="372"/>
      <c r="W52" s="373"/>
      <c r="X52" s="374"/>
      <c r="Y52" s="374"/>
      <c r="Z52" s="374"/>
      <c r="AA52" s="374"/>
      <c r="AB52" s="374"/>
      <c r="AC52" s="374"/>
      <c r="AD52" s="375"/>
      <c r="AE52" s="380"/>
      <c r="AF52" s="413"/>
      <c r="AG52" s="413"/>
      <c r="AH52" s="413"/>
      <c r="AI52" s="413"/>
      <c r="AJ52" s="413"/>
      <c r="AK52" s="413"/>
      <c r="AL52" s="413"/>
      <c r="AM52" s="413"/>
      <c r="AN52" s="413"/>
      <c r="AO52" s="413"/>
      <c r="AP52" s="413"/>
      <c r="AQ52" s="413"/>
      <c r="AR52" s="377"/>
      <c r="AS52" s="413"/>
      <c r="AT52" s="413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</row>
    <row r="53" spans="1:59" ht="10.5" customHeight="1" thickBot="1">
      <c r="A53" s="415"/>
      <c r="B53" s="381"/>
      <c r="C53" s="421"/>
      <c r="D53" s="382"/>
      <c r="E53" s="382"/>
      <c r="F53" s="382"/>
      <c r="G53" s="382"/>
      <c r="H53" s="382"/>
      <c r="I53" s="382"/>
      <c r="J53" s="383"/>
      <c r="K53" s="383"/>
      <c r="L53" s="384"/>
      <c r="M53" s="384"/>
      <c r="N53" s="384"/>
      <c r="O53" s="385"/>
      <c r="P53" s="386"/>
      <c r="Q53" s="385"/>
      <c r="R53" s="385"/>
      <c r="S53" s="385"/>
      <c r="T53" s="385"/>
      <c r="U53" s="385"/>
      <c r="V53" s="385"/>
      <c r="W53" s="387"/>
      <c r="X53" s="387"/>
      <c r="Y53" s="387"/>
      <c r="Z53" s="387"/>
      <c r="AA53" s="387"/>
      <c r="AB53" s="388"/>
      <c r="AC53" s="388"/>
      <c r="AD53" s="389"/>
      <c r="AE53" s="390"/>
      <c r="AF53" s="390"/>
      <c r="AG53" s="390"/>
      <c r="AH53" s="390"/>
      <c r="AI53" s="390"/>
      <c r="AJ53" s="390"/>
      <c r="AK53" s="390"/>
      <c r="AL53" s="390"/>
      <c r="AM53" s="390"/>
      <c r="AN53" s="390"/>
      <c r="AO53" s="390"/>
      <c r="AP53" s="390"/>
    </row>
    <row r="54" spans="1:59">
      <c r="B54" s="306"/>
      <c r="K54" s="306"/>
      <c r="R54" s="306"/>
      <c r="S54" s="306"/>
      <c r="T54" s="306"/>
      <c r="U54" s="306"/>
      <c r="V54" s="306"/>
      <c r="W54" s="306"/>
      <c r="X54" s="306"/>
      <c r="Y54" s="306"/>
      <c r="Z54" s="306"/>
      <c r="AA54" s="306"/>
      <c r="AB54" s="306"/>
      <c r="AC54" s="306"/>
      <c r="AD54" s="306"/>
      <c r="AE54" s="392"/>
      <c r="AF54" s="392"/>
      <c r="AG54" s="392"/>
      <c r="AH54" s="392"/>
      <c r="AI54" s="392"/>
      <c r="AJ54" s="392"/>
      <c r="AK54" s="392"/>
      <c r="AL54" s="392"/>
      <c r="AM54" s="392"/>
    </row>
    <row r="55" spans="1:59" s="312" customFormat="1" ht="14.25" hidden="1" customHeight="1">
      <c r="A55" s="393" t="s">
        <v>105</v>
      </c>
      <c r="B55" s="359" t="str">
        <f t="shared" ref="B55:I57" si="11">IF(COUNT(O31)&gt;0,O31,"")</f>
        <v/>
      </c>
      <c r="C55" s="359" t="str">
        <f t="shared" si="11"/>
        <v/>
      </c>
      <c r="D55" s="359" t="str">
        <f t="shared" si="11"/>
        <v/>
      </c>
      <c r="E55" s="359" t="str">
        <f t="shared" si="11"/>
        <v/>
      </c>
      <c r="F55" s="359" t="str">
        <f t="shared" si="11"/>
        <v/>
      </c>
      <c r="G55" s="359" t="str">
        <f t="shared" si="11"/>
        <v/>
      </c>
      <c r="H55" s="359" t="str">
        <f t="shared" si="11"/>
        <v/>
      </c>
      <c r="I55" s="359" t="str">
        <f t="shared" si="11"/>
        <v/>
      </c>
      <c r="O55" s="359"/>
    </row>
    <row r="56" spans="1:59" s="312" customFormat="1" ht="14.25" hidden="1" customHeight="1">
      <c r="A56" s="395" t="s">
        <v>106</v>
      </c>
      <c r="B56" s="359" t="str">
        <f t="shared" si="11"/>
        <v/>
      </c>
      <c r="C56" s="359" t="str">
        <f t="shared" si="11"/>
        <v/>
      </c>
      <c r="D56" s="359" t="str">
        <f t="shared" si="11"/>
        <v/>
      </c>
      <c r="E56" s="359" t="str">
        <f t="shared" si="11"/>
        <v/>
      </c>
      <c r="F56" s="359" t="str">
        <f t="shared" si="11"/>
        <v/>
      </c>
      <c r="G56" s="359" t="str">
        <f t="shared" si="11"/>
        <v/>
      </c>
      <c r="H56" s="359" t="str">
        <f t="shared" si="11"/>
        <v/>
      </c>
      <c r="I56" s="359" t="str">
        <f t="shared" si="11"/>
        <v/>
      </c>
      <c r="K56" s="394"/>
      <c r="L56" s="394"/>
      <c r="M56" s="394"/>
      <c r="N56" s="394"/>
      <c r="O56" s="340"/>
      <c r="P56" s="394"/>
      <c r="Q56" s="394"/>
      <c r="R56" s="394"/>
    </row>
    <row r="57" spans="1:59" s="312" customFormat="1" ht="14.25" hidden="1" customHeight="1">
      <c r="A57" s="393" t="s">
        <v>107</v>
      </c>
      <c r="B57" s="359" t="str">
        <f t="shared" si="11"/>
        <v/>
      </c>
      <c r="C57" s="359" t="str">
        <f t="shared" si="11"/>
        <v/>
      </c>
      <c r="D57" s="359" t="str">
        <f t="shared" si="11"/>
        <v/>
      </c>
      <c r="E57" s="359" t="str">
        <f t="shared" si="11"/>
        <v/>
      </c>
      <c r="F57" s="359" t="str">
        <f t="shared" si="11"/>
        <v/>
      </c>
      <c r="G57" s="359" t="str">
        <f t="shared" si="11"/>
        <v/>
      </c>
      <c r="H57" s="359" t="str">
        <f t="shared" si="11"/>
        <v/>
      </c>
      <c r="I57" s="359" t="str">
        <f t="shared" si="11"/>
        <v/>
      </c>
      <c r="K57" s="394"/>
      <c r="L57" s="394"/>
      <c r="M57" s="394"/>
      <c r="N57" s="394"/>
      <c r="O57" s="340"/>
      <c r="P57" s="394"/>
      <c r="Q57" s="394"/>
      <c r="R57" s="394"/>
    </row>
    <row r="58" spans="1:59" s="312" customFormat="1" ht="14.25" hidden="1" customHeight="1">
      <c r="A58" s="395" t="s">
        <v>108</v>
      </c>
      <c r="B58" s="359" t="str">
        <f t="shared" ref="B58:I58" si="12">IF(COUNT(O35)&gt;0,O35,"")</f>
        <v/>
      </c>
      <c r="C58" s="359" t="str">
        <f t="shared" si="12"/>
        <v/>
      </c>
      <c r="D58" s="359" t="str">
        <f t="shared" si="12"/>
        <v/>
      </c>
      <c r="E58" s="359" t="str">
        <f t="shared" si="12"/>
        <v/>
      </c>
      <c r="F58" s="359" t="str">
        <f t="shared" si="12"/>
        <v/>
      </c>
      <c r="G58" s="359" t="str">
        <f t="shared" si="12"/>
        <v/>
      </c>
      <c r="H58" s="359" t="str">
        <f t="shared" si="12"/>
        <v/>
      </c>
      <c r="I58" s="359" t="str">
        <f t="shared" si="12"/>
        <v/>
      </c>
      <c r="O58" s="359"/>
    </row>
    <row r="59" spans="1:59" s="312" customFormat="1" ht="14.25" hidden="1" customHeight="1">
      <c r="A59" s="393" t="s">
        <v>109</v>
      </c>
      <c r="B59" s="359" t="str">
        <f t="shared" ref="B59:I59" si="13">IF(COUNT(O39)&gt;0,O39,"")</f>
        <v/>
      </c>
      <c r="C59" s="359" t="str">
        <f t="shared" si="13"/>
        <v/>
      </c>
      <c r="D59" s="359" t="str">
        <f t="shared" si="13"/>
        <v/>
      </c>
      <c r="E59" s="359" t="str">
        <f t="shared" si="13"/>
        <v/>
      </c>
      <c r="F59" s="359" t="str">
        <f t="shared" si="13"/>
        <v/>
      </c>
      <c r="G59" s="359" t="str">
        <f t="shared" si="13"/>
        <v/>
      </c>
      <c r="H59" s="359" t="str">
        <f t="shared" si="13"/>
        <v/>
      </c>
      <c r="I59" s="359" t="str">
        <f t="shared" si="13"/>
        <v/>
      </c>
      <c r="O59" s="359"/>
    </row>
    <row r="60" spans="1:59" s="312" customFormat="1" ht="14.25" hidden="1" customHeight="1">
      <c r="A60" s="393" t="s">
        <v>110</v>
      </c>
      <c r="B60" s="359" t="str">
        <f t="shared" ref="B60:I61" si="14">IF(COUNT(O44)&gt;0,O44,"")</f>
        <v/>
      </c>
      <c r="C60" s="359" t="str">
        <f t="shared" si="14"/>
        <v/>
      </c>
      <c r="D60" s="359" t="str">
        <f t="shared" si="14"/>
        <v/>
      </c>
      <c r="E60" s="359" t="str">
        <f t="shared" si="14"/>
        <v/>
      </c>
      <c r="F60" s="359" t="str">
        <f t="shared" si="14"/>
        <v/>
      </c>
      <c r="G60" s="359" t="str">
        <f t="shared" si="14"/>
        <v/>
      </c>
      <c r="H60" s="359" t="str">
        <f t="shared" si="14"/>
        <v/>
      </c>
      <c r="I60" s="359" t="str">
        <f t="shared" si="14"/>
        <v/>
      </c>
      <c r="O60" s="359"/>
    </row>
    <row r="61" spans="1:59" s="312" customFormat="1" ht="14.25" hidden="1" customHeight="1">
      <c r="A61" s="393" t="s">
        <v>111</v>
      </c>
      <c r="B61" s="359" t="str">
        <f t="shared" si="14"/>
        <v/>
      </c>
      <c r="C61" s="359" t="str">
        <f t="shared" si="14"/>
        <v/>
      </c>
      <c r="D61" s="359" t="str">
        <f t="shared" si="14"/>
        <v/>
      </c>
      <c r="E61" s="359" t="str">
        <f t="shared" si="14"/>
        <v/>
      </c>
      <c r="F61" s="359" t="str">
        <f t="shared" si="14"/>
        <v/>
      </c>
      <c r="G61" s="359" t="str">
        <f t="shared" si="14"/>
        <v/>
      </c>
      <c r="H61" s="359" t="str">
        <f t="shared" si="14"/>
        <v/>
      </c>
      <c r="I61" s="359" t="str">
        <f t="shared" si="14"/>
        <v/>
      </c>
      <c r="O61" s="359"/>
    </row>
    <row r="62" spans="1:59" hidden="1">
      <c r="A62" s="390"/>
      <c r="B62" s="392"/>
      <c r="C62" s="392"/>
      <c r="K62" s="306"/>
      <c r="R62" s="306"/>
      <c r="S62" s="306"/>
      <c r="T62" s="306"/>
      <c r="U62" s="306"/>
      <c r="V62" s="306"/>
      <c r="W62" s="306"/>
      <c r="X62" s="306"/>
      <c r="Y62" s="306"/>
      <c r="Z62" s="306"/>
      <c r="AA62" s="306"/>
      <c r="AB62" s="306"/>
      <c r="AC62" s="306"/>
      <c r="AD62" s="306"/>
      <c r="AE62" s="306"/>
    </row>
    <row r="63" spans="1:59" hidden="1">
      <c r="A63" s="390"/>
      <c r="B63" s="392"/>
      <c r="C63" s="392"/>
      <c r="K63" s="306"/>
      <c r="R63" s="306"/>
      <c r="S63" s="306"/>
      <c r="T63" s="306"/>
      <c r="U63" s="306"/>
      <c r="V63" s="306"/>
      <c r="W63" s="306"/>
      <c r="X63" s="306"/>
      <c r="Y63" s="306"/>
      <c r="Z63" s="306"/>
      <c r="AA63" s="306"/>
      <c r="AB63" s="306"/>
      <c r="AC63" s="306"/>
      <c r="AD63" s="306"/>
      <c r="AE63" s="306"/>
    </row>
    <row r="64" spans="1:59" hidden="1">
      <c r="A64" s="390"/>
      <c r="B64" s="392"/>
      <c r="C64" s="392"/>
      <c r="K64" s="306"/>
      <c r="R64" s="306"/>
      <c r="S64" s="306"/>
      <c r="T64" s="306"/>
      <c r="U64" s="306"/>
      <c r="V64" s="306"/>
      <c r="W64" s="306"/>
      <c r="X64" s="306"/>
      <c r="Y64" s="306"/>
      <c r="Z64" s="306"/>
      <c r="AA64" s="306"/>
      <c r="AB64" s="306"/>
      <c r="AC64" s="306"/>
      <c r="AD64" s="306"/>
      <c r="AE64" s="306"/>
    </row>
    <row r="65" spans="1:31" hidden="1">
      <c r="A65" s="390"/>
      <c r="B65" s="392"/>
      <c r="C65" s="392"/>
      <c r="K65" s="306"/>
      <c r="R65" s="306"/>
      <c r="S65" s="306"/>
      <c r="T65" s="306"/>
      <c r="U65" s="306"/>
      <c r="V65" s="306"/>
      <c r="W65" s="306"/>
      <c r="X65" s="306"/>
      <c r="Y65" s="306"/>
      <c r="Z65" s="306"/>
      <c r="AA65" s="306"/>
      <c r="AB65" s="306"/>
      <c r="AC65" s="306"/>
      <c r="AD65" s="306"/>
      <c r="AE65" s="306"/>
    </row>
    <row r="66" spans="1:31" hidden="1">
      <c r="A66" s="390"/>
      <c r="B66" s="392"/>
      <c r="C66" s="392"/>
      <c r="K66" s="306"/>
      <c r="R66" s="306"/>
      <c r="S66" s="306"/>
      <c r="T66" s="306"/>
      <c r="U66" s="306"/>
      <c r="V66" s="306"/>
      <c r="W66" s="306"/>
      <c r="X66" s="306"/>
      <c r="Y66" s="306"/>
      <c r="Z66" s="306"/>
      <c r="AA66" s="306"/>
      <c r="AB66" s="306"/>
      <c r="AC66" s="306"/>
      <c r="AD66" s="306"/>
      <c r="AE66" s="306"/>
    </row>
    <row r="67" spans="1:31" hidden="1">
      <c r="A67" s="390"/>
      <c r="B67" s="392"/>
      <c r="C67" s="392"/>
      <c r="K67" s="306"/>
      <c r="R67" s="306"/>
      <c r="S67" s="306"/>
      <c r="T67" s="306"/>
      <c r="U67" s="306"/>
      <c r="V67" s="306"/>
      <c r="W67" s="306"/>
      <c r="X67" s="306"/>
      <c r="Y67" s="306"/>
      <c r="Z67" s="306"/>
      <c r="AA67" s="306"/>
      <c r="AB67" s="306"/>
      <c r="AC67" s="306"/>
      <c r="AD67" s="306"/>
      <c r="AE67" s="306"/>
    </row>
    <row r="68" spans="1:31" hidden="1">
      <c r="A68" s="390"/>
      <c r="B68" s="392"/>
      <c r="C68" s="392"/>
      <c r="K68" s="306"/>
      <c r="R68" s="306"/>
      <c r="S68" s="306"/>
      <c r="T68" s="306"/>
      <c r="U68" s="306"/>
      <c r="V68" s="306"/>
      <c r="W68" s="306"/>
      <c r="X68" s="306"/>
      <c r="Y68" s="306"/>
      <c r="Z68" s="306"/>
      <c r="AA68" s="306"/>
      <c r="AB68" s="306"/>
      <c r="AC68" s="306"/>
      <c r="AD68" s="306"/>
      <c r="AE68" s="306"/>
    </row>
    <row r="69" spans="1:31" hidden="1">
      <c r="A69" s="390"/>
      <c r="B69" s="392"/>
      <c r="C69" s="392"/>
      <c r="K69" s="306"/>
      <c r="R69" s="306"/>
      <c r="S69" s="306"/>
      <c r="T69" s="306"/>
      <c r="U69" s="306"/>
      <c r="V69" s="306"/>
      <c r="W69" s="306"/>
      <c r="X69" s="306"/>
      <c r="Y69" s="306"/>
      <c r="Z69" s="306"/>
      <c r="AA69" s="306"/>
      <c r="AB69" s="306"/>
      <c r="AC69" s="306"/>
      <c r="AD69" s="306"/>
      <c r="AE69" s="306"/>
    </row>
    <row r="70" spans="1:31" hidden="1">
      <c r="A70" s="390"/>
      <c r="B70" s="392"/>
      <c r="C70" s="392"/>
      <c r="K70" s="306"/>
      <c r="R70" s="306"/>
      <c r="S70" s="306"/>
      <c r="T70" s="306"/>
      <c r="U70" s="306"/>
      <c r="V70" s="306"/>
      <c r="W70" s="306"/>
      <c r="X70" s="306"/>
      <c r="Y70" s="306"/>
      <c r="Z70" s="306"/>
      <c r="AA70" s="306"/>
      <c r="AB70" s="306"/>
      <c r="AC70" s="306"/>
      <c r="AD70" s="306"/>
      <c r="AE70" s="306"/>
    </row>
    <row r="71" spans="1:31" hidden="1">
      <c r="A71" s="390"/>
      <c r="B71" s="392"/>
      <c r="C71" s="392"/>
      <c r="K71" s="306"/>
      <c r="R71" s="306"/>
      <c r="S71" s="306"/>
      <c r="T71" s="306"/>
      <c r="U71" s="306"/>
      <c r="V71" s="306"/>
      <c r="W71" s="306"/>
      <c r="X71" s="306"/>
      <c r="Y71" s="306"/>
      <c r="Z71" s="306"/>
      <c r="AA71" s="306"/>
      <c r="AB71" s="306"/>
      <c r="AC71" s="306"/>
      <c r="AD71" s="306"/>
      <c r="AE71" s="306"/>
    </row>
    <row r="72" spans="1:31" hidden="1">
      <c r="A72" s="390"/>
      <c r="B72" s="392"/>
      <c r="C72" s="392"/>
      <c r="K72" s="306"/>
      <c r="R72" s="306"/>
      <c r="S72" s="306"/>
      <c r="T72" s="306"/>
      <c r="U72" s="306"/>
      <c r="V72" s="306"/>
      <c r="W72" s="306"/>
      <c r="X72" s="306"/>
      <c r="Y72" s="306"/>
      <c r="Z72" s="306"/>
      <c r="AA72" s="306"/>
      <c r="AB72" s="306"/>
      <c r="AC72" s="306"/>
      <c r="AD72" s="306"/>
      <c r="AE72" s="306"/>
    </row>
    <row r="73" spans="1:31" hidden="1">
      <c r="A73" s="390"/>
      <c r="B73" s="392"/>
      <c r="C73" s="392"/>
      <c r="K73" s="306"/>
      <c r="R73" s="306"/>
      <c r="S73" s="306"/>
      <c r="T73" s="306"/>
      <c r="U73" s="306"/>
      <c r="V73" s="306"/>
      <c r="W73" s="306"/>
      <c r="X73" s="306"/>
      <c r="Y73" s="306"/>
      <c r="Z73" s="306"/>
      <c r="AA73" s="306"/>
      <c r="AB73" s="306"/>
      <c r="AC73" s="306"/>
      <c r="AD73" s="306"/>
      <c r="AE73" s="306"/>
    </row>
    <row r="74" spans="1:31" hidden="1">
      <c r="A74" s="390"/>
      <c r="B74" s="392"/>
      <c r="C74" s="392"/>
      <c r="K74" s="306"/>
      <c r="R74" s="306"/>
      <c r="S74" s="306"/>
      <c r="T74" s="306"/>
      <c r="U74" s="306"/>
      <c r="V74" s="306"/>
      <c r="W74" s="306"/>
      <c r="X74" s="306"/>
      <c r="Y74" s="306"/>
      <c r="Z74" s="306"/>
      <c r="AA74" s="306"/>
      <c r="AB74" s="306"/>
      <c r="AC74" s="306"/>
      <c r="AD74" s="306"/>
      <c r="AE74" s="306"/>
    </row>
    <row r="75" spans="1:31" hidden="1">
      <c r="A75" s="390"/>
      <c r="B75" s="392"/>
      <c r="C75" s="392"/>
      <c r="K75" s="306"/>
      <c r="R75" s="306"/>
      <c r="S75" s="306"/>
      <c r="T75" s="306"/>
      <c r="U75" s="306"/>
      <c r="V75" s="306"/>
      <c r="W75" s="306"/>
      <c r="X75" s="306"/>
      <c r="Y75" s="306"/>
      <c r="Z75" s="306"/>
      <c r="AA75" s="306"/>
      <c r="AB75" s="306"/>
      <c r="AC75" s="306"/>
      <c r="AD75" s="306"/>
      <c r="AE75" s="306"/>
    </row>
    <row r="76" spans="1:31" hidden="1">
      <c r="A76" s="390"/>
      <c r="B76" s="392"/>
      <c r="C76" s="392"/>
      <c r="K76" s="306"/>
      <c r="R76" s="306"/>
      <c r="S76" s="306"/>
      <c r="T76" s="306"/>
      <c r="U76" s="306"/>
      <c r="V76" s="306"/>
      <c r="W76" s="306"/>
      <c r="X76" s="306"/>
      <c r="Y76" s="306"/>
      <c r="Z76" s="306"/>
      <c r="AA76" s="306"/>
      <c r="AB76" s="306"/>
      <c r="AC76" s="306"/>
      <c r="AD76" s="306"/>
      <c r="AE76" s="306"/>
    </row>
    <row r="77" spans="1:31" hidden="1">
      <c r="A77" s="390"/>
      <c r="B77" s="392"/>
      <c r="C77" s="392"/>
      <c r="K77" s="306"/>
      <c r="R77" s="306"/>
      <c r="S77" s="306"/>
      <c r="T77" s="306"/>
      <c r="U77" s="306"/>
      <c r="V77" s="306"/>
      <c r="W77" s="306"/>
      <c r="X77" s="306"/>
      <c r="Y77" s="306"/>
      <c r="Z77" s="306"/>
      <c r="AA77" s="306"/>
      <c r="AB77" s="306"/>
      <c r="AC77" s="306"/>
      <c r="AD77" s="306"/>
      <c r="AE77" s="306"/>
    </row>
    <row r="78" spans="1:31" hidden="1">
      <c r="A78" s="390"/>
      <c r="B78" s="392"/>
      <c r="C78" s="392"/>
      <c r="K78" s="306"/>
      <c r="R78" s="306"/>
      <c r="S78" s="306"/>
      <c r="T78" s="306"/>
      <c r="U78" s="306"/>
      <c r="V78" s="306"/>
      <c r="W78" s="306"/>
      <c r="X78" s="306"/>
      <c r="Y78" s="306"/>
      <c r="Z78" s="306"/>
      <c r="AA78" s="306"/>
      <c r="AB78" s="306"/>
      <c r="AC78" s="306"/>
      <c r="AD78" s="306"/>
      <c r="AE78" s="306"/>
    </row>
    <row r="79" spans="1:31" hidden="1">
      <c r="B79" s="306"/>
      <c r="K79" s="306"/>
      <c r="R79" s="306"/>
      <c r="S79" s="306"/>
      <c r="T79" s="306"/>
      <c r="U79" s="306"/>
      <c r="V79" s="306"/>
      <c r="W79" s="306"/>
      <c r="X79" s="306"/>
      <c r="Y79" s="306"/>
      <c r="Z79" s="306"/>
      <c r="AA79" s="306"/>
      <c r="AB79" s="306"/>
      <c r="AC79" s="306"/>
      <c r="AD79" s="306"/>
      <c r="AE79" s="306"/>
    </row>
    <row r="80" spans="1:31" hidden="1">
      <c r="B80" s="306"/>
      <c r="K80" s="306"/>
      <c r="R80" s="306"/>
      <c r="S80" s="306"/>
      <c r="T80" s="306"/>
      <c r="U80" s="306"/>
      <c r="V80" s="306"/>
      <c r="W80" s="306"/>
      <c r="X80" s="306"/>
      <c r="Y80" s="306"/>
      <c r="Z80" s="306"/>
      <c r="AA80" s="306"/>
      <c r="AB80" s="306"/>
      <c r="AC80" s="306"/>
      <c r="AD80" s="306"/>
      <c r="AE80" s="306"/>
    </row>
    <row r="81" spans="2:31" hidden="1">
      <c r="B81" s="306"/>
      <c r="K81" s="306"/>
      <c r="R81" s="306"/>
      <c r="S81" s="306"/>
      <c r="T81" s="306"/>
      <c r="U81" s="306"/>
      <c r="V81" s="306"/>
      <c r="W81" s="306"/>
      <c r="X81" s="306"/>
      <c r="Y81" s="306"/>
      <c r="Z81" s="306"/>
      <c r="AA81" s="306"/>
      <c r="AB81" s="306"/>
      <c r="AC81" s="306"/>
      <c r="AD81" s="306"/>
      <c r="AE81" s="306"/>
    </row>
    <row r="82" spans="2:31" hidden="1">
      <c r="B82" s="306"/>
      <c r="K82" s="306"/>
      <c r="R82" s="306"/>
      <c r="S82" s="306"/>
      <c r="T82" s="306"/>
      <c r="U82" s="306"/>
      <c r="V82" s="306"/>
      <c r="W82" s="306"/>
      <c r="X82" s="306"/>
      <c r="Y82" s="306"/>
      <c r="Z82" s="306"/>
      <c r="AA82" s="306"/>
      <c r="AB82" s="306"/>
      <c r="AC82" s="306"/>
      <c r="AD82" s="306"/>
      <c r="AE82" s="306"/>
    </row>
    <row r="83" spans="2:31" hidden="1">
      <c r="B83" s="306"/>
      <c r="K83" s="306"/>
      <c r="R83" s="306"/>
      <c r="S83" s="306"/>
      <c r="T83" s="306"/>
      <c r="U83" s="306"/>
      <c r="V83" s="306"/>
      <c r="W83" s="306"/>
      <c r="X83" s="306"/>
      <c r="Y83" s="306"/>
      <c r="Z83" s="306"/>
      <c r="AA83" s="306"/>
      <c r="AB83" s="306"/>
      <c r="AC83" s="306"/>
      <c r="AD83" s="306"/>
      <c r="AE83" s="306"/>
    </row>
    <row r="84" spans="2:31" hidden="1">
      <c r="B84" s="306"/>
      <c r="K84" s="306"/>
      <c r="R84" s="306"/>
      <c r="S84" s="306"/>
      <c r="T84" s="306"/>
      <c r="U84" s="306"/>
      <c r="V84" s="306"/>
      <c r="W84" s="306"/>
      <c r="X84" s="306"/>
      <c r="Y84" s="306"/>
      <c r="Z84" s="306"/>
      <c r="AA84" s="306"/>
      <c r="AB84" s="306"/>
      <c r="AC84" s="306"/>
      <c r="AD84" s="306"/>
      <c r="AE84" s="306"/>
    </row>
    <row r="85" spans="2:31" hidden="1">
      <c r="B85" s="306"/>
      <c r="K85" s="306"/>
      <c r="R85" s="306"/>
      <c r="S85" s="306"/>
      <c r="T85" s="306"/>
      <c r="U85" s="306"/>
      <c r="V85" s="306"/>
      <c r="W85" s="306"/>
      <c r="X85" s="306"/>
      <c r="Y85" s="306"/>
      <c r="Z85" s="306"/>
      <c r="AA85" s="306"/>
      <c r="AB85" s="306"/>
      <c r="AC85" s="306"/>
      <c r="AD85" s="306"/>
      <c r="AE85" s="306"/>
    </row>
    <row r="86" spans="2:31" hidden="1">
      <c r="B86" s="306"/>
      <c r="K86" s="306"/>
      <c r="R86" s="306"/>
      <c r="S86" s="306"/>
      <c r="T86" s="306"/>
      <c r="U86" s="306"/>
      <c r="V86" s="306"/>
      <c r="W86" s="306"/>
      <c r="X86" s="306"/>
      <c r="Y86" s="306"/>
      <c r="Z86" s="306"/>
      <c r="AA86" s="306"/>
      <c r="AB86" s="306"/>
      <c r="AC86" s="306"/>
      <c r="AD86" s="306"/>
      <c r="AE86" s="306"/>
    </row>
    <row r="87" spans="2:31" hidden="1">
      <c r="B87" s="306"/>
      <c r="K87" s="306"/>
      <c r="R87" s="306"/>
      <c r="S87" s="306"/>
      <c r="T87" s="306"/>
      <c r="U87" s="306"/>
      <c r="V87" s="306"/>
      <c r="W87" s="306"/>
      <c r="X87" s="306"/>
      <c r="Y87" s="306"/>
      <c r="Z87" s="306"/>
      <c r="AA87" s="306"/>
      <c r="AB87" s="306"/>
      <c r="AC87" s="306"/>
      <c r="AD87" s="306"/>
      <c r="AE87" s="306"/>
    </row>
    <row r="88" spans="2:31" hidden="1">
      <c r="B88" s="306"/>
      <c r="K88" s="306"/>
      <c r="R88" s="306"/>
      <c r="S88" s="306"/>
      <c r="T88" s="306"/>
      <c r="U88" s="306"/>
      <c r="V88" s="306"/>
      <c r="W88" s="306"/>
      <c r="X88" s="306"/>
      <c r="Y88" s="306"/>
      <c r="Z88" s="306"/>
      <c r="AA88" s="306"/>
      <c r="AB88" s="306"/>
      <c r="AC88" s="306"/>
      <c r="AD88" s="306"/>
      <c r="AE88" s="306"/>
    </row>
    <row r="89" spans="2:31" hidden="1">
      <c r="B89" s="306"/>
      <c r="K89" s="306"/>
      <c r="R89" s="306"/>
      <c r="S89" s="306"/>
      <c r="T89" s="306"/>
      <c r="U89" s="306"/>
      <c r="V89" s="306"/>
      <c r="W89" s="306"/>
      <c r="X89" s="306"/>
      <c r="Y89" s="306"/>
      <c r="Z89" s="306"/>
      <c r="AA89" s="306"/>
      <c r="AB89" s="306"/>
      <c r="AC89" s="306"/>
      <c r="AD89" s="306"/>
      <c r="AE89" s="306"/>
    </row>
    <row r="90" spans="2:31" hidden="1">
      <c r="B90" s="306"/>
      <c r="K90" s="306"/>
      <c r="R90" s="306"/>
      <c r="S90" s="306"/>
      <c r="T90" s="306"/>
      <c r="U90" s="306"/>
      <c r="V90" s="306"/>
      <c r="W90" s="306"/>
      <c r="X90" s="306"/>
      <c r="Y90" s="306"/>
      <c r="Z90" s="306"/>
      <c r="AA90" s="306"/>
      <c r="AB90" s="306"/>
      <c r="AC90" s="306"/>
      <c r="AD90" s="306"/>
      <c r="AE90" s="306"/>
    </row>
    <row r="91" spans="2:31" hidden="1">
      <c r="B91" s="306"/>
      <c r="K91" s="306"/>
      <c r="R91" s="306"/>
      <c r="S91" s="306"/>
      <c r="T91" s="306"/>
      <c r="U91" s="306"/>
      <c r="V91" s="306"/>
      <c r="W91" s="306"/>
      <c r="X91" s="306"/>
      <c r="Y91" s="306"/>
      <c r="Z91" s="306"/>
      <c r="AA91" s="306"/>
      <c r="AB91" s="306"/>
      <c r="AC91" s="306"/>
      <c r="AD91" s="306"/>
      <c r="AE91" s="306"/>
    </row>
    <row r="92" spans="2:31" hidden="1">
      <c r="B92" s="306"/>
      <c r="K92" s="306"/>
      <c r="R92" s="306"/>
      <c r="S92" s="306"/>
      <c r="T92" s="306"/>
      <c r="U92" s="306"/>
      <c r="V92" s="306"/>
      <c r="W92" s="306"/>
      <c r="X92" s="306"/>
      <c r="Y92" s="306"/>
      <c r="Z92" s="306"/>
      <c r="AA92" s="306"/>
      <c r="AB92" s="306"/>
      <c r="AC92" s="306"/>
      <c r="AD92" s="306"/>
      <c r="AE92" s="306"/>
    </row>
    <row r="93" spans="2:31" hidden="1">
      <c r="B93" s="306"/>
      <c r="K93" s="306"/>
      <c r="R93" s="306"/>
      <c r="S93" s="306"/>
      <c r="T93" s="306"/>
      <c r="U93" s="306"/>
      <c r="V93" s="306"/>
      <c r="W93" s="306"/>
      <c r="X93" s="306"/>
      <c r="Y93" s="306"/>
      <c r="Z93" s="306"/>
      <c r="AA93" s="306"/>
      <c r="AB93" s="306"/>
      <c r="AC93" s="306"/>
      <c r="AD93" s="306"/>
      <c r="AE93" s="306"/>
    </row>
    <row r="94" spans="2:31" hidden="1">
      <c r="B94" s="306"/>
      <c r="K94" s="306"/>
      <c r="R94" s="306"/>
      <c r="S94" s="306"/>
      <c r="T94" s="306"/>
      <c r="U94" s="306"/>
      <c r="V94" s="306"/>
      <c r="W94" s="306"/>
      <c r="X94" s="306"/>
      <c r="Y94" s="306"/>
      <c r="Z94" s="306"/>
      <c r="AA94" s="306"/>
      <c r="AB94" s="306"/>
      <c r="AC94" s="306"/>
      <c r="AD94" s="306"/>
      <c r="AE94" s="306"/>
    </row>
    <row r="95" spans="2:31" hidden="1">
      <c r="B95" s="306"/>
      <c r="K95" s="306"/>
      <c r="R95" s="306"/>
      <c r="S95" s="306"/>
      <c r="T95" s="306"/>
      <c r="U95" s="306"/>
      <c r="V95" s="306"/>
      <c r="W95" s="306"/>
      <c r="X95" s="306"/>
      <c r="Y95" s="306"/>
      <c r="Z95" s="306"/>
      <c r="AA95" s="306"/>
      <c r="AB95" s="306"/>
      <c r="AC95" s="306"/>
      <c r="AD95" s="306"/>
      <c r="AE95" s="306"/>
    </row>
    <row r="96" spans="2:31" hidden="1">
      <c r="B96" s="306"/>
      <c r="K96" s="306"/>
      <c r="R96" s="306"/>
      <c r="S96" s="306"/>
      <c r="T96" s="306"/>
      <c r="U96" s="306"/>
      <c r="V96" s="306"/>
      <c r="W96" s="306"/>
      <c r="X96" s="306"/>
      <c r="Y96" s="306"/>
      <c r="Z96" s="306"/>
      <c r="AA96" s="306"/>
      <c r="AB96" s="306"/>
      <c r="AC96" s="306"/>
      <c r="AD96" s="306"/>
      <c r="AE96" s="306"/>
    </row>
    <row r="97" spans="2:31" hidden="1">
      <c r="B97" s="306"/>
      <c r="K97" s="306"/>
      <c r="R97" s="306"/>
      <c r="S97" s="306"/>
      <c r="T97" s="306"/>
      <c r="U97" s="306"/>
      <c r="V97" s="306"/>
      <c r="W97" s="306"/>
      <c r="X97" s="306"/>
      <c r="Y97" s="306"/>
      <c r="Z97" s="306"/>
      <c r="AA97" s="306"/>
      <c r="AB97" s="306"/>
      <c r="AC97" s="306"/>
      <c r="AD97" s="306"/>
      <c r="AE97" s="306"/>
    </row>
    <row r="98" spans="2:31" hidden="1">
      <c r="B98" s="306"/>
      <c r="K98" s="306"/>
      <c r="R98" s="306"/>
      <c r="S98" s="306"/>
      <c r="T98" s="306"/>
      <c r="U98" s="306"/>
      <c r="V98" s="306"/>
      <c r="W98" s="306"/>
      <c r="X98" s="306"/>
      <c r="Y98" s="306"/>
      <c r="Z98" s="306"/>
      <c r="AA98" s="306"/>
      <c r="AB98" s="306"/>
      <c r="AC98" s="306"/>
      <c r="AD98" s="306"/>
      <c r="AE98" s="306"/>
    </row>
    <row r="99" spans="2:31" hidden="1">
      <c r="B99" s="306"/>
      <c r="K99" s="306"/>
      <c r="R99" s="306"/>
      <c r="S99" s="306"/>
      <c r="T99" s="306"/>
      <c r="U99" s="306"/>
      <c r="V99" s="306"/>
      <c r="W99" s="306"/>
      <c r="X99" s="306"/>
      <c r="Y99" s="306"/>
      <c r="Z99" s="306"/>
      <c r="AA99" s="306"/>
      <c r="AB99" s="306"/>
      <c r="AC99" s="306"/>
      <c r="AD99" s="306"/>
      <c r="AE99" s="306"/>
    </row>
    <row r="100" spans="2:31" hidden="1">
      <c r="B100" s="306"/>
      <c r="K100" s="306"/>
      <c r="R100" s="306"/>
      <c r="S100" s="306"/>
      <c r="T100" s="306"/>
      <c r="U100" s="306"/>
      <c r="V100" s="306"/>
      <c r="W100" s="306"/>
      <c r="X100" s="306"/>
      <c r="Y100" s="306"/>
      <c r="Z100" s="306"/>
      <c r="AA100" s="306"/>
      <c r="AB100" s="306"/>
      <c r="AC100" s="306"/>
      <c r="AD100" s="306"/>
      <c r="AE100" s="306"/>
    </row>
    <row r="101" spans="2:31" hidden="1">
      <c r="B101" s="306"/>
      <c r="K101" s="306"/>
      <c r="R101" s="306"/>
      <c r="S101" s="306"/>
      <c r="T101" s="306"/>
      <c r="U101" s="306"/>
      <c r="V101" s="306"/>
      <c r="W101" s="306"/>
      <c r="X101" s="306"/>
      <c r="Y101" s="306"/>
      <c r="Z101" s="306"/>
      <c r="AA101" s="306"/>
      <c r="AB101" s="306"/>
      <c r="AC101" s="306"/>
      <c r="AD101" s="306"/>
      <c r="AE101" s="306"/>
    </row>
    <row r="102" spans="2:31" hidden="1">
      <c r="B102" s="306"/>
      <c r="K102" s="306"/>
      <c r="R102" s="306"/>
      <c r="S102" s="306"/>
      <c r="T102" s="306"/>
      <c r="U102" s="306"/>
      <c r="V102" s="306"/>
      <c r="W102" s="306"/>
      <c r="X102" s="306"/>
      <c r="Y102" s="306"/>
      <c r="Z102" s="306"/>
      <c r="AA102" s="306"/>
      <c r="AB102" s="306"/>
      <c r="AC102" s="306"/>
      <c r="AD102" s="306"/>
      <c r="AE102" s="306"/>
    </row>
    <row r="103" spans="2:31" hidden="1">
      <c r="B103" s="306"/>
      <c r="K103" s="306"/>
      <c r="R103" s="306"/>
      <c r="S103" s="306"/>
      <c r="T103" s="306"/>
      <c r="U103" s="306"/>
      <c r="V103" s="306"/>
      <c r="W103" s="306"/>
      <c r="X103" s="306"/>
      <c r="Y103" s="306"/>
      <c r="Z103" s="306"/>
      <c r="AA103" s="306"/>
      <c r="AB103" s="306"/>
      <c r="AC103" s="306"/>
      <c r="AD103" s="306"/>
      <c r="AE103" s="306"/>
    </row>
    <row r="104" spans="2:31" hidden="1">
      <c r="B104" s="306"/>
      <c r="K104" s="306"/>
      <c r="R104" s="306"/>
      <c r="S104" s="306"/>
      <c r="T104" s="306"/>
      <c r="U104" s="306"/>
      <c r="V104" s="306"/>
      <c r="W104" s="306"/>
      <c r="X104" s="306"/>
      <c r="Y104" s="306"/>
      <c r="Z104" s="306"/>
      <c r="AA104" s="306"/>
      <c r="AB104" s="306"/>
      <c r="AC104" s="306"/>
      <c r="AD104" s="306"/>
      <c r="AE104" s="306"/>
    </row>
    <row r="105" spans="2:31" hidden="1">
      <c r="B105" s="306"/>
      <c r="K105" s="306"/>
      <c r="R105" s="306"/>
      <c r="S105" s="306"/>
      <c r="T105" s="306"/>
      <c r="U105" s="306"/>
      <c r="V105" s="306"/>
      <c r="W105" s="306"/>
      <c r="X105" s="306"/>
      <c r="Y105" s="306"/>
      <c r="Z105" s="306"/>
      <c r="AA105" s="306"/>
      <c r="AB105" s="306"/>
      <c r="AC105" s="306"/>
      <c r="AD105" s="306"/>
      <c r="AE105" s="306"/>
    </row>
    <row r="106" spans="2:31" hidden="1">
      <c r="B106" s="306"/>
      <c r="K106" s="306"/>
      <c r="R106" s="306"/>
      <c r="S106" s="306"/>
      <c r="T106" s="306"/>
      <c r="U106" s="306"/>
      <c r="V106" s="306"/>
      <c r="W106" s="306"/>
      <c r="X106" s="306"/>
      <c r="Y106" s="306"/>
      <c r="Z106" s="306"/>
      <c r="AA106" s="306"/>
      <c r="AB106" s="306"/>
      <c r="AC106" s="306"/>
      <c r="AD106" s="306"/>
      <c r="AE106" s="306"/>
    </row>
    <row r="107" spans="2:31" hidden="1">
      <c r="B107" s="306"/>
      <c r="K107" s="306"/>
      <c r="R107" s="306"/>
      <c r="S107" s="306"/>
      <c r="T107" s="306"/>
      <c r="U107" s="306"/>
      <c r="V107" s="306"/>
      <c r="W107" s="306"/>
      <c r="X107" s="306"/>
      <c r="Y107" s="306"/>
      <c r="Z107" s="306"/>
      <c r="AA107" s="306"/>
      <c r="AB107" s="306"/>
      <c r="AC107" s="306"/>
      <c r="AD107" s="306"/>
      <c r="AE107" s="306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BG108"/>
  <sheetViews>
    <sheetView showGridLines="0" zoomScaleNormal="100" workbookViewId="0">
      <selection activeCell="A18" sqref="A18"/>
    </sheetView>
  </sheetViews>
  <sheetFormatPr defaultColWidth="0" defaultRowHeight="11.25" zeroHeight="1"/>
  <cols>
    <col min="1" max="1" width="15" style="1" customWidth="1"/>
    <col min="2" max="2" width="6.83203125" style="1" customWidth="1"/>
    <col min="3" max="10" width="5.83203125" style="54" customWidth="1"/>
    <col min="11" max="11" width="5.83203125" style="118" customWidth="1"/>
    <col min="12" max="13" width="5.83203125" style="54" customWidth="1"/>
    <col min="14" max="17" width="6.83203125" style="54" customWidth="1"/>
    <col min="18" max="26" width="6.83203125" style="118" customWidth="1"/>
    <col min="27" max="27" width="6.1640625" style="118" customWidth="1"/>
    <col min="28" max="31" width="6" style="118" customWidth="1"/>
    <col min="32" max="32" width="5.83203125" style="1" customWidth="1"/>
    <col min="33" max="34" width="6" style="1" customWidth="1"/>
    <col min="35" max="35" width="6.33203125" style="1" customWidth="1"/>
    <col min="36" max="36" width="6.33203125" style="1" hidden="1" customWidth="1"/>
    <col min="37" max="16384" width="6" style="1" hidden="1"/>
  </cols>
  <sheetData>
    <row r="1" spans="1:49" s="118" customFormat="1" ht="24" customHeight="1" thickBot="1">
      <c r="A1" s="54"/>
      <c r="B1" s="186"/>
      <c r="C1" s="187"/>
      <c r="D1" s="526" t="s">
        <v>77</v>
      </c>
      <c r="E1" s="526"/>
      <c r="F1" s="526"/>
      <c r="G1" s="526"/>
      <c r="H1" s="526"/>
      <c r="I1" s="526"/>
      <c r="J1" s="526"/>
      <c r="K1" s="526"/>
      <c r="L1" s="526"/>
      <c r="M1" s="526"/>
      <c r="N1" s="526"/>
      <c r="O1" s="526"/>
      <c r="P1" s="526"/>
      <c r="Q1" s="526"/>
      <c r="R1" s="526"/>
      <c r="S1" s="526"/>
      <c r="T1" s="526"/>
      <c r="U1" s="526"/>
      <c r="V1" s="526"/>
      <c r="W1" s="526"/>
      <c r="X1" s="527"/>
      <c r="Y1" s="527"/>
      <c r="Z1" s="527"/>
      <c r="AA1" s="168"/>
      <c r="AB1" s="168"/>
      <c r="AC1" s="168"/>
      <c r="AD1" s="168"/>
      <c r="AE1" s="168"/>
      <c r="AF1" s="168"/>
      <c r="AG1" s="168"/>
      <c r="AH1" s="168"/>
      <c r="AI1" s="172"/>
      <c r="AJ1" s="172"/>
      <c r="AK1" s="120"/>
      <c r="AL1" s="120"/>
      <c r="AM1" s="120"/>
      <c r="AN1" s="120"/>
      <c r="AO1" s="120"/>
      <c r="AP1" s="120"/>
    </row>
    <row r="2" spans="1:49" s="118" customFormat="1" ht="12" thickBot="1">
      <c r="A2" s="188"/>
      <c r="B2" s="188"/>
      <c r="C2" s="189" t="s">
        <v>37</v>
      </c>
      <c r="D2" s="190"/>
      <c r="E2" s="190"/>
      <c r="F2" s="190"/>
      <c r="G2" s="190"/>
      <c r="H2" s="190"/>
      <c r="I2" s="190"/>
      <c r="J2" s="191"/>
      <c r="K2" s="189" t="s">
        <v>37</v>
      </c>
      <c r="L2" s="190"/>
      <c r="M2" s="191"/>
      <c r="N2" s="528" t="s">
        <v>40</v>
      </c>
      <c r="O2" s="529"/>
      <c r="P2" s="529"/>
      <c r="Q2" s="529"/>
      <c r="R2" s="529"/>
      <c r="S2" s="528" t="s">
        <v>83</v>
      </c>
      <c r="T2" s="529"/>
      <c r="U2" s="529"/>
      <c r="V2" s="529"/>
      <c r="W2" s="529"/>
      <c r="X2" s="529"/>
      <c r="Y2" s="529"/>
      <c r="Z2" s="530"/>
      <c r="AA2" s="528" t="s">
        <v>127</v>
      </c>
      <c r="AB2" s="529"/>
      <c r="AC2" s="529"/>
      <c r="AD2" s="529"/>
      <c r="AE2" s="529"/>
      <c r="AF2" s="529"/>
      <c r="AG2" s="529"/>
      <c r="AH2" s="530"/>
      <c r="AI2" s="196"/>
      <c r="AJ2" s="153"/>
      <c r="AK2" s="154"/>
      <c r="AL2" s="153"/>
      <c r="AM2" s="153"/>
      <c r="AN2" s="153"/>
      <c r="AO2" s="153"/>
      <c r="AP2" s="153"/>
    </row>
    <row r="3" spans="1:49" s="118" customFormat="1" ht="12" thickBot="1">
      <c r="A3" s="192" t="s">
        <v>19</v>
      </c>
      <c r="B3" s="192" t="s">
        <v>41</v>
      </c>
      <c r="C3" s="193">
        <v>22</v>
      </c>
      <c r="D3" s="194">
        <v>1</v>
      </c>
      <c r="E3" s="194">
        <v>4</v>
      </c>
      <c r="F3" s="194">
        <v>7</v>
      </c>
      <c r="G3" s="194">
        <v>10</v>
      </c>
      <c r="H3" s="194">
        <v>13</v>
      </c>
      <c r="I3" s="194">
        <v>16</v>
      </c>
      <c r="J3" s="194">
        <v>19</v>
      </c>
      <c r="K3" s="193" t="s">
        <v>42</v>
      </c>
      <c r="L3" s="194" t="s">
        <v>43</v>
      </c>
      <c r="M3" s="195" t="s">
        <v>44</v>
      </c>
      <c r="N3" s="193">
        <v>1</v>
      </c>
      <c r="O3" s="194">
        <v>7</v>
      </c>
      <c r="P3" s="194">
        <v>13</v>
      </c>
      <c r="Q3" s="194">
        <v>19</v>
      </c>
      <c r="R3" s="197" t="s">
        <v>45</v>
      </c>
      <c r="S3" s="193">
        <v>22</v>
      </c>
      <c r="T3" s="194">
        <v>1</v>
      </c>
      <c r="U3" s="194">
        <v>4</v>
      </c>
      <c r="V3" s="194">
        <v>7</v>
      </c>
      <c r="W3" s="194">
        <v>10</v>
      </c>
      <c r="X3" s="194">
        <v>13</v>
      </c>
      <c r="Y3" s="194">
        <v>16</v>
      </c>
      <c r="Z3" s="195">
        <v>19</v>
      </c>
      <c r="AA3" s="193">
        <v>22</v>
      </c>
      <c r="AB3" s="194">
        <v>1</v>
      </c>
      <c r="AC3" s="194">
        <v>4</v>
      </c>
      <c r="AD3" s="194">
        <v>7</v>
      </c>
      <c r="AE3" s="194">
        <v>10</v>
      </c>
      <c r="AF3" s="194">
        <v>13</v>
      </c>
      <c r="AG3" s="194">
        <v>16</v>
      </c>
      <c r="AH3" s="195">
        <v>19</v>
      </c>
      <c r="AI3" s="54"/>
      <c r="AK3" s="154"/>
      <c r="AL3" s="154"/>
      <c r="AM3" s="154"/>
      <c r="AN3" s="154"/>
      <c r="AO3" s="154"/>
      <c r="AP3" s="154"/>
      <c r="AR3" s="124" t="s">
        <v>46</v>
      </c>
      <c r="AS3" s="125"/>
      <c r="AT3" s="125"/>
      <c r="AU3" s="126"/>
    </row>
    <row r="4" spans="1:49" s="118" customFormat="1" ht="13.5" thickTop="1">
      <c r="A4" s="183" t="s">
        <v>128</v>
      </c>
      <c r="B4" s="220">
        <v>48840</v>
      </c>
      <c r="C4" s="221"/>
      <c r="D4" s="160"/>
      <c r="E4" s="160"/>
      <c r="F4" s="160"/>
      <c r="G4" s="160"/>
      <c r="H4" s="160"/>
      <c r="I4" s="160"/>
      <c r="J4" s="160"/>
      <c r="K4" s="222" t="str">
        <f>IF(COUNT(AR4:AU4)&gt;0,AVERAGE(AR4:AU4)," ")</f>
        <v xml:space="preserve"> </v>
      </c>
      <c r="L4" s="223" t="str">
        <f>IF(COUNT(L31,M31,N31)&gt;0,MIN(L31,M31,N31),"")</f>
        <v/>
      </c>
      <c r="M4" s="243" t="str">
        <f>IF(COUNT(AP31)&gt;0,AP31,"")</f>
        <v/>
      </c>
      <c r="N4" s="160"/>
      <c r="O4" s="160"/>
      <c r="P4" s="160"/>
      <c r="Q4" s="224"/>
      <c r="R4" s="243"/>
      <c r="S4" s="225"/>
      <c r="T4" s="225"/>
      <c r="U4" s="226"/>
      <c r="V4" s="226"/>
      <c r="W4" s="226"/>
      <c r="X4" s="226"/>
      <c r="Y4" s="226"/>
      <c r="Z4" s="227"/>
      <c r="AA4" s="228"/>
      <c r="AB4" s="229"/>
      <c r="AC4" s="229"/>
      <c r="AD4" s="229"/>
      <c r="AE4" s="229"/>
      <c r="AF4" s="229"/>
      <c r="AG4" s="229"/>
      <c r="AH4" s="230"/>
      <c r="AI4" s="54"/>
      <c r="AK4" s="155"/>
      <c r="AL4" s="155"/>
      <c r="AM4" s="155"/>
      <c r="AN4" s="155"/>
      <c r="AO4" s="155"/>
      <c r="AP4" s="155"/>
      <c r="AR4" s="118" t="str">
        <f t="shared" ref="AR4:AT5" si="0">IF(COUNT(D4,H4)=2,AVERAGE(D4,H4)," ")</f>
        <v xml:space="preserve"> </v>
      </c>
      <c r="AS4" s="118" t="str">
        <f t="shared" si="0"/>
        <v xml:space="preserve"> </v>
      </c>
      <c r="AT4" s="118" t="str">
        <f t="shared" si="0"/>
        <v xml:space="preserve"> </v>
      </c>
      <c r="AU4" s="118" t="str">
        <f>IF(COUNT(G4,C4)=2,AVERAGE(G4,C4)," ")</f>
        <v xml:space="preserve"> </v>
      </c>
      <c r="AV4" s="85"/>
      <c r="AW4" s="85"/>
    </row>
    <row r="5" spans="1:49" s="118" customFormat="1" ht="12.75">
      <c r="A5" s="183" t="s">
        <v>129</v>
      </c>
      <c r="B5" s="231" t="s">
        <v>148</v>
      </c>
      <c r="C5" s="232"/>
      <c r="D5" s="160"/>
      <c r="E5" s="160"/>
      <c r="F5" s="160"/>
      <c r="G5" s="160"/>
      <c r="H5" s="160"/>
      <c r="I5" s="160"/>
      <c r="J5" s="160"/>
      <c r="K5" s="222" t="str">
        <f>IF(COUNT(AR5:AU5)&gt;0,AVERAGE(AR5:AU5)," ")</f>
        <v xml:space="preserve"> </v>
      </c>
      <c r="L5" s="223" t="str">
        <f>IF(COUNT(L32,M32,N32)&gt;0,MIN(L32,M32,N32),"")</f>
        <v/>
      </c>
      <c r="M5" s="243" t="str">
        <f>IF(COUNT(AP32)&gt;0,AP32,"")</f>
        <v/>
      </c>
      <c r="N5" s="160"/>
      <c r="O5" s="160"/>
      <c r="P5" s="160"/>
      <c r="Q5" s="224"/>
      <c r="R5" s="243"/>
      <c r="S5" s="225"/>
      <c r="T5" s="225"/>
      <c r="U5" s="226"/>
      <c r="V5" s="226"/>
      <c r="W5" s="226"/>
      <c r="X5" s="226"/>
      <c r="Y5" s="226"/>
      <c r="Z5" s="227"/>
      <c r="AA5" s="228"/>
      <c r="AB5" s="229"/>
      <c r="AC5" s="229"/>
      <c r="AD5" s="229"/>
      <c r="AE5" s="229"/>
      <c r="AF5" s="229"/>
      <c r="AG5" s="229"/>
      <c r="AH5" s="230"/>
      <c r="AI5" s="54"/>
      <c r="AK5" s="155"/>
      <c r="AL5" s="155"/>
      <c r="AM5" s="155"/>
      <c r="AN5" s="155"/>
      <c r="AO5" s="155"/>
      <c r="AP5" s="155"/>
      <c r="AR5" s="118" t="str">
        <f t="shared" si="0"/>
        <v xml:space="preserve"> </v>
      </c>
      <c r="AS5" s="118" t="str">
        <f t="shared" si="0"/>
        <v xml:space="preserve"> </v>
      </c>
      <c r="AT5" s="118" t="str">
        <f t="shared" si="0"/>
        <v xml:space="preserve"> </v>
      </c>
      <c r="AU5" s="118" t="str">
        <f>IF(COUNT(G5,C5)=2,AVERAGE(G5,C5)," ")</f>
        <v xml:space="preserve"> </v>
      </c>
      <c r="AV5" s="85"/>
      <c r="AW5" s="85"/>
    </row>
    <row r="6" spans="1:49" s="118" customFormat="1" ht="12.75">
      <c r="A6" s="183" t="s">
        <v>130</v>
      </c>
      <c r="B6" s="231">
        <v>48842</v>
      </c>
      <c r="C6" s="232"/>
      <c r="D6" s="160"/>
      <c r="E6" s="160"/>
      <c r="F6" s="160"/>
      <c r="G6" s="160"/>
      <c r="H6" s="160"/>
      <c r="I6" s="160"/>
      <c r="J6" s="160"/>
      <c r="K6" s="222" t="str">
        <f t="shared" ref="K6:K25" si="1">IF(COUNT(AR6:AU6)&gt;0,AVERAGE(AR6:AU6)," ")</f>
        <v xml:space="preserve"> </v>
      </c>
      <c r="L6" s="223" t="str">
        <f t="shared" ref="L6:L25" si="2">IF(COUNT(L33,M33,N33)&gt;0,MIN(L33,M33,N33),"")</f>
        <v/>
      </c>
      <c r="M6" s="243" t="str">
        <f t="shared" ref="M6:M25" si="3">IF(COUNT(AP33)&gt;0,AP33,"")</f>
        <v/>
      </c>
      <c r="N6" s="160"/>
      <c r="O6" s="160"/>
      <c r="P6" s="160"/>
      <c r="Q6" s="224"/>
      <c r="R6" s="243"/>
      <c r="S6" s="225"/>
      <c r="T6" s="225"/>
      <c r="U6" s="226"/>
      <c r="V6" s="226"/>
      <c r="W6" s="226"/>
      <c r="X6" s="226"/>
      <c r="Y6" s="226"/>
      <c r="Z6" s="227"/>
      <c r="AA6" s="228"/>
      <c r="AB6" s="229"/>
      <c r="AC6" s="229"/>
      <c r="AD6" s="229"/>
      <c r="AE6" s="229"/>
      <c r="AF6" s="229"/>
      <c r="AG6" s="229"/>
      <c r="AH6" s="230"/>
      <c r="AI6" s="54"/>
      <c r="AK6" s="155"/>
      <c r="AL6" s="155"/>
      <c r="AM6" s="155"/>
      <c r="AN6" s="155"/>
      <c r="AO6" s="155"/>
      <c r="AP6" s="155"/>
      <c r="AR6" s="118" t="str">
        <f t="shared" ref="AR6:AR25" si="4">IF(COUNT(D6,H6)=2,AVERAGE(D6,H6)," ")</f>
        <v xml:space="preserve"> </v>
      </c>
      <c r="AS6" s="118" t="str">
        <f t="shared" ref="AS6:AS25" si="5">IF(COUNT(E6,I6)=2,AVERAGE(E6,I6)," ")</f>
        <v xml:space="preserve"> </v>
      </c>
      <c r="AT6" s="118" t="str">
        <f t="shared" ref="AT6:AT25" si="6">IF(COUNT(F6,J6)=2,AVERAGE(F6,J6)," ")</f>
        <v xml:space="preserve"> </v>
      </c>
      <c r="AU6" s="118" t="str">
        <f t="shared" ref="AU6:AU25" si="7">IF(COUNT(G6,C6)=2,AVERAGE(G6,C6)," ")</f>
        <v xml:space="preserve"> </v>
      </c>
      <c r="AV6" s="85"/>
      <c r="AW6" s="85"/>
    </row>
    <row r="7" spans="1:49" s="118" customFormat="1" ht="12.75">
      <c r="A7" s="183" t="s">
        <v>131</v>
      </c>
      <c r="B7" s="231" t="s">
        <v>149</v>
      </c>
      <c r="C7" s="232"/>
      <c r="D7" s="160"/>
      <c r="E7" s="160"/>
      <c r="F7" s="160"/>
      <c r="G7" s="160"/>
      <c r="H7" s="160"/>
      <c r="I7" s="160"/>
      <c r="J7" s="160"/>
      <c r="K7" s="222" t="str">
        <f t="shared" si="1"/>
        <v xml:space="preserve"> </v>
      </c>
      <c r="L7" s="223" t="str">
        <f t="shared" si="2"/>
        <v/>
      </c>
      <c r="M7" s="243" t="str">
        <f t="shared" si="3"/>
        <v/>
      </c>
      <c r="N7" s="160"/>
      <c r="O7" s="160"/>
      <c r="P7" s="160"/>
      <c r="Q7" s="224"/>
      <c r="R7" s="243"/>
      <c r="S7" s="225"/>
      <c r="T7" s="225"/>
      <c r="U7" s="226"/>
      <c r="V7" s="226"/>
      <c r="W7" s="226"/>
      <c r="X7" s="226"/>
      <c r="Y7" s="226"/>
      <c r="Z7" s="227"/>
      <c r="AA7" s="228"/>
      <c r="AB7" s="229"/>
      <c r="AC7" s="229"/>
      <c r="AD7" s="229"/>
      <c r="AE7" s="229"/>
      <c r="AF7" s="229"/>
      <c r="AG7" s="229"/>
      <c r="AH7" s="230"/>
      <c r="AI7" s="54"/>
      <c r="AK7" s="155"/>
      <c r="AL7" s="155"/>
      <c r="AM7" s="155"/>
      <c r="AN7" s="155"/>
      <c r="AO7" s="155"/>
      <c r="AP7" s="155"/>
      <c r="AR7" s="118" t="str">
        <f t="shared" si="4"/>
        <v xml:space="preserve"> </v>
      </c>
      <c r="AS7" s="118" t="str">
        <f t="shared" si="5"/>
        <v xml:space="preserve"> </v>
      </c>
      <c r="AT7" s="118" t="str">
        <f t="shared" si="6"/>
        <v xml:space="preserve"> </v>
      </c>
      <c r="AU7" s="118" t="str">
        <f t="shared" si="7"/>
        <v xml:space="preserve"> </v>
      </c>
      <c r="AV7" s="85"/>
      <c r="AW7" s="85"/>
    </row>
    <row r="8" spans="1:49" s="118" customFormat="1" ht="12.75">
      <c r="A8" s="183" t="s">
        <v>132</v>
      </c>
      <c r="B8" s="231" t="s">
        <v>150</v>
      </c>
      <c r="C8" s="232"/>
      <c r="D8" s="160"/>
      <c r="E8" s="160"/>
      <c r="F8" s="160"/>
      <c r="G8" s="160"/>
      <c r="H8" s="160"/>
      <c r="I8" s="160"/>
      <c r="J8" s="160"/>
      <c r="K8" s="222" t="str">
        <f t="shared" si="1"/>
        <v xml:space="preserve"> </v>
      </c>
      <c r="L8" s="223" t="str">
        <f t="shared" si="2"/>
        <v/>
      </c>
      <c r="M8" s="243" t="str">
        <f t="shared" si="3"/>
        <v/>
      </c>
      <c r="N8" s="160"/>
      <c r="O8" s="160"/>
      <c r="P8" s="160"/>
      <c r="Q8" s="224"/>
      <c r="R8" s="243"/>
      <c r="S8" s="225"/>
      <c r="T8" s="225"/>
      <c r="U8" s="226"/>
      <c r="V8" s="226"/>
      <c r="W8" s="226"/>
      <c r="X8" s="226"/>
      <c r="Y8" s="226"/>
      <c r="Z8" s="227"/>
      <c r="AA8" s="228"/>
      <c r="AB8" s="229"/>
      <c r="AC8" s="229"/>
      <c r="AD8" s="229"/>
      <c r="AE8" s="229"/>
      <c r="AF8" s="229"/>
      <c r="AG8" s="229"/>
      <c r="AH8" s="230"/>
      <c r="AI8" s="54"/>
      <c r="AK8" s="155"/>
      <c r="AL8" s="155"/>
      <c r="AM8" s="155"/>
      <c r="AN8" s="155"/>
      <c r="AO8" s="155"/>
      <c r="AP8" s="155"/>
      <c r="AR8" s="118" t="str">
        <f t="shared" si="4"/>
        <v xml:space="preserve"> </v>
      </c>
      <c r="AS8" s="118" t="str">
        <f t="shared" si="5"/>
        <v xml:space="preserve"> </v>
      </c>
      <c r="AT8" s="118" t="str">
        <f t="shared" si="6"/>
        <v xml:space="preserve"> </v>
      </c>
      <c r="AU8" s="118" t="str">
        <f t="shared" si="7"/>
        <v xml:space="preserve"> </v>
      </c>
      <c r="AV8" s="85"/>
      <c r="AW8" s="85"/>
    </row>
    <row r="9" spans="1:49" s="118" customFormat="1" ht="12.75">
      <c r="A9" s="183" t="s">
        <v>133</v>
      </c>
      <c r="B9" s="231" t="s">
        <v>151</v>
      </c>
      <c r="C9" s="232"/>
      <c r="D9" s="160"/>
      <c r="E9" s="160"/>
      <c r="F9" s="160"/>
      <c r="G9" s="160"/>
      <c r="H9" s="160"/>
      <c r="I9" s="160"/>
      <c r="J9" s="160"/>
      <c r="K9" s="222" t="str">
        <f t="shared" si="1"/>
        <v xml:space="preserve"> </v>
      </c>
      <c r="L9" s="223" t="str">
        <f t="shared" si="2"/>
        <v/>
      </c>
      <c r="M9" s="243" t="str">
        <f t="shared" si="3"/>
        <v/>
      </c>
      <c r="N9" s="160"/>
      <c r="O9" s="160"/>
      <c r="P9" s="160"/>
      <c r="Q9" s="224"/>
      <c r="R9" s="243"/>
      <c r="S9" s="225"/>
      <c r="T9" s="225"/>
      <c r="U9" s="226"/>
      <c r="V9" s="226"/>
      <c r="W9" s="226"/>
      <c r="X9" s="226"/>
      <c r="Y9" s="226"/>
      <c r="Z9" s="227"/>
      <c r="AA9" s="228"/>
      <c r="AB9" s="229"/>
      <c r="AC9" s="229"/>
      <c r="AD9" s="229"/>
      <c r="AE9" s="229"/>
      <c r="AF9" s="229"/>
      <c r="AG9" s="229"/>
      <c r="AH9" s="230"/>
      <c r="AI9" s="54"/>
      <c r="AK9" s="155"/>
      <c r="AL9" s="155"/>
      <c r="AM9" s="155"/>
      <c r="AN9" s="155"/>
      <c r="AO9" s="155"/>
      <c r="AP9" s="155"/>
      <c r="AR9" s="118" t="str">
        <f t="shared" si="4"/>
        <v xml:space="preserve"> </v>
      </c>
      <c r="AS9" s="118" t="str">
        <f t="shared" si="5"/>
        <v xml:space="preserve"> </v>
      </c>
      <c r="AT9" s="118" t="str">
        <f t="shared" si="6"/>
        <v xml:space="preserve"> </v>
      </c>
      <c r="AU9" s="118" t="str">
        <f t="shared" si="7"/>
        <v xml:space="preserve"> </v>
      </c>
      <c r="AV9" s="85"/>
      <c r="AW9" s="85"/>
    </row>
    <row r="10" spans="1:49" s="118" customFormat="1" ht="12.75">
      <c r="A10" s="183" t="s">
        <v>134</v>
      </c>
      <c r="B10" s="231" t="s">
        <v>152</v>
      </c>
      <c r="C10" s="232"/>
      <c r="D10" s="160"/>
      <c r="E10" s="160"/>
      <c r="F10" s="160"/>
      <c r="G10" s="160"/>
      <c r="H10" s="160"/>
      <c r="I10" s="160"/>
      <c r="J10" s="160"/>
      <c r="K10" s="222" t="str">
        <f t="shared" si="1"/>
        <v xml:space="preserve"> </v>
      </c>
      <c r="L10" s="223" t="str">
        <f t="shared" si="2"/>
        <v/>
      </c>
      <c r="M10" s="243" t="str">
        <f t="shared" si="3"/>
        <v/>
      </c>
      <c r="N10" s="160"/>
      <c r="O10" s="160"/>
      <c r="P10" s="160"/>
      <c r="Q10" s="224"/>
      <c r="R10" s="243"/>
      <c r="S10" s="225"/>
      <c r="T10" s="225"/>
      <c r="U10" s="226"/>
      <c r="V10" s="226"/>
      <c r="W10" s="226"/>
      <c r="X10" s="226"/>
      <c r="Y10" s="226"/>
      <c r="Z10" s="227"/>
      <c r="AA10" s="228"/>
      <c r="AB10" s="229"/>
      <c r="AC10" s="229"/>
      <c r="AD10" s="229"/>
      <c r="AE10" s="229"/>
      <c r="AF10" s="229"/>
      <c r="AG10" s="229"/>
      <c r="AH10" s="230"/>
      <c r="AI10" s="54"/>
      <c r="AK10" s="155"/>
      <c r="AL10" s="155"/>
      <c r="AM10" s="155"/>
      <c r="AN10" s="155"/>
      <c r="AO10" s="155"/>
      <c r="AP10" s="155"/>
      <c r="AR10" s="118" t="str">
        <f t="shared" si="4"/>
        <v xml:space="preserve"> </v>
      </c>
      <c r="AS10" s="118" t="str">
        <f t="shared" si="5"/>
        <v xml:space="preserve"> </v>
      </c>
      <c r="AT10" s="118" t="str">
        <f t="shared" si="6"/>
        <v xml:space="preserve"> </v>
      </c>
      <c r="AU10" s="118" t="str">
        <f t="shared" si="7"/>
        <v xml:space="preserve"> </v>
      </c>
      <c r="AV10" s="85"/>
      <c r="AW10" s="85"/>
    </row>
    <row r="11" spans="1:49" s="118" customFormat="1" ht="12.75">
      <c r="A11" s="183" t="s">
        <v>192</v>
      </c>
      <c r="B11" s="300" t="s">
        <v>189</v>
      </c>
      <c r="C11" s="232"/>
      <c r="D11" s="160"/>
      <c r="E11" s="160"/>
      <c r="F11" s="160"/>
      <c r="G11" s="160"/>
      <c r="H11" s="160"/>
      <c r="I11" s="160"/>
      <c r="J11" s="160"/>
      <c r="K11" s="222" t="str">
        <f t="shared" si="1"/>
        <v xml:space="preserve"> </v>
      </c>
      <c r="L11" s="223" t="str">
        <f t="shared" si="2"/>
        <v/>
      </c>
      <c r="M11" s="243" t="str">
        <f t="shared" si="3"/>
        <v/>
      </c>
      <c r="N11" s="160"/>
      <c r="O11" s="160"/>
      <c r="P11" s="160"/>
      <c r="Q11" s="224"/>
      <c r="R11" s="243"/>
      <c r="S11" s="225"/>
      <c r="T11" s="225"/>
      <c r="U11" s="226"/>
      <c r="V11" s="226"/>
      <c r="W11" s="226"/>
      <c r="X11" s="226"/>
      <c r="Y11" s="226"/>
      <c r="Z11" s="227"/>
      <c r="AA11" s="228"/>
      <c r="AB11" s="229"/>
      <c r="AC11" s="229"/>
      <c r="AD11" s="229"/>
      <c r="AE11" s="229"/>
      <c r="AF11" s="229"/>
      <c r="AG11" s="229"/>
      <c r="AH11" s="230"/>
      <c r="AI11" s="54"/>
      <c r="AK11" s="155"/>
      <c r="AL11" s="155"/>
      <c r="AM11" s="155"/>
      <c r="AN11" s="155"/>
      <c r="AO11" s="155"/>
      <c r="AP11" s="155"/>
      <c r="AR11" s="118" t="str">
        <f t="shared" si="4"/>
        <v xml:space="preserve"> </v>
      </c>
      <c r="AS11" s="118" t="str">
        <f t="shared" si="5"/>
        <v xml:space="preserve"> </v>
      </c>
      <c r="AT11" s="118" t="str">
        <f t="shared" si="6"/>
        <v xml:space="preserve"> </v>
      </c>
      <c r="AU11" s="118" t="str">
        <f t="shared" si="7"/>
        <v xml:space="preserve"> </v>
      </c>
      <c r="AV11" s="85"/>
      <c r="AW11" s="85"/>
    </row>
    <row r="12" spans="1:49" s="118" customFormat="1" ht="12.75">
      <c r="A12" s="183" t="s">
        <v>135</v>
      </c>
      <c r="B12" s="231">
        <v>48845</v>
      </c>
      <c r="C12" s="232"/>
      <c r="D12" s="160"/>
      <c r="E12" s="160"/>
      <c r="F12" s="160"/>
      <c r="G12" s="160"/>
      <c r="H12" s="160"/>
      <c r="I12" s="160"/>
      <c r="J12" s="160"/>
      <c r="K12" s="222" t="str">
        <f t="shared" si="1"/>
        <v xml:space="preserve"> </v>
      </c>
      <c r="L12" s="223" t="str">
        <f t="shared" si="2"/>
        <v/>
      </c>
      <c r="M12" s="243" t="str">
        <f t="shared" si="3"/>
        <v/>
      </c>
      <c r="N12" s="160"/>
      <c r="O12" s="160"/>
      <c r="P12" s="160"/>
      <c r="Q12" s="224"/>
      <c r="R12" s="243"/>
      <c r="S12" s="225"/>
      <c r="T12" s="225"/>
      <c r="U12" s="226"/>
      <c r="V12" s="226"/>
      <c r="W12" s="226"/>
      <c r="X12" s="226"/>
      <c r="Y12" s="226"/>
      <c r="Z12" s="227"/>
      <c r="AA12" s="228"/>
      <c r="AB12" s="229"/>
      <c r="AC12" s="229"/>
      <c r="AD12" s="229"/>
      <c r="AE12" s="229"/>
      <c r="AF12" s="229"/>
      <c r="AG12" s="229"/>
      <c r="AH12" s="230"/>
      <c r="AI12" s="54"/>
      <c r="AK12" s="155"/>
      <c r="AL12" s="155"/>
      <c r="AM12" s="155"/>
      <c r="AN12" s="155"/>
      <c r="AO12" s="155"/>
      <c r="AP12" s="155"/>
      <c r="AR12" s="118" t="str">
        <f t="shared" si="4"/>
        <v xml:space="preserve"> </v>
      </c>
      <c r="AS12" s="118" t="str">
        <f t="shared" si="5"/>
        <v xml:space="preserve"> </v>
      </c>
      <c r="AT12" s="118" t="str">
        <f t="shared" si="6"/>
        <v xml:space="preserve"> </v>
      </c>
      <c r="AU12" s="118" t="str">
        <f t="shared" si="7"/>
        <v xml:space="preserve"> </v>
      </c>
      <c r="AV12" s="85"/>
      <c r="AW12" s="85"/>
    </row>
    <row r="13" spans="1:49" s="118" customFormat="1" ht="12.75">
      <c r="A13" s="183" t="s">
        <v>136</v>
      </c>
      <c r="B13" s="231" t="s">
        <v>153</v>
      </c>
      <c r="C13" s="232"/>
      <c r="D13" s="160"/>
      <c r="E13" s="160"/>
      <c r="F13" s="160"/>
      <c r="G13" s="160"/>
      <c r="H13" s="160"/>
      <c r="I13" s="160"/>
      <c r="J13" s="160"/>
      <c r="K13" s="222" t="str">
        <f t="shared" si="1"/>
        <v xml:space="preserve"> </v>
      </c>
      <c r="L13" s="223" t="str">
        <f t="shared" si="2"/>
        <v/>
      </c>
      <c r="M13" s="243" t="str">
        <f t="shared" si="3"/>
        <v/>
      </c>
      <c r="N13" s="160"/>
      <c r="O13" s="160"/>
      <c r="P13" s="160"/>
      <c r="Q13" s="224"/>
      <c r="R13" s="243"/>
      <c r="S13" s="225"/>
      <c r="T13" s="225"/>
      <c r="U13" s="226"/>
      <c r="V13" s="226"/>
      <c r="W13" s="226"/>
      <c r="X13" s="226"/>
      <c r="Y13" s="226"/>
      <c r="Z13" s="227"/>
      <c r="AA13" s="228"/>
      <c r="AB13" s="229"/>
      <c r="AC13" s="229"/>
      <c r="AD13" s="229"/>
      <c r="AE13" s="229"/>
      <c r="AF13" s="229"/>
      <c r="AG13" s="229"/>
      <c r="AH13" s="230"/>
      <c r="AI13" s="54"/>
      <c r="AK13" s="155"/>
      <c r="AL13" s="155"/>
      <c r="AM13" s="155"/>
      <c r="AN13" s="155"/>
      <c r="AO13" s="155"/>
      <c r="AP13" s="155"/>
      <c r="AR13" s="118" t="str">
        <f t="shared" si="4"/>
        <v xml:space="preserve"> </v>
      </c>
      <c r="AS13" s="118" t="str">
        <f t="shared" si="5"/>
        <v xml:space="preserve"> </v>
      </c>
      <c r="AT13" s="118" t="str">
        <f t="shared" si="6"/>
        <v xml:space="preserve"> </v>
      </c>
      <c r="AU13" s="118" t="str">
        <f t="shared" si="7"/>
        <v xml:space="preserve"> </v>
      </c>
      <c r="AV13" s="85"/>
      <c r="AW13" s="85"/>
    </row>
    <row r="14" spans="1:49" s="118" customFormat="1" ht="12.75">
      <c r="A14" s="183" t="s">
        <v>137</v>
      </c>
      <c r="B14" s="231" t="s">
        <v>154</v>
      </c>
      <c r="C14" s="232"/>
      <c r="D14" s="160"/>
      <c r="E14" s="160"/>
      <c r="F14" s="160"/>
      <c r="G14" s="160"/>
      <c r="H14" s="160"/>
      <c r="I14" s="160"/>
      <c r="J14" s="160"/>
      <c r="K14" s="222" t="str">
        <f t="shared" si="1"/>
        <v xml:space="preserve"> </v>
      </c>
      <c r="L14" s="223" t="str">
        <f t="shared" si="2"/>
        <v/>
      </c>
      <c r="M14" s="243" t="str">
        <f t="shared" si="3"/>
        <v/>
      </c>
      <c r="N14" s="160"/>
      <c r="O14" s="160"/>
      <c r="P14" s="160"/>
      <c r="Q14" s="224"/>
      <c r="R14" s="243"/>
      <c r="S14" s="225"/>
      <c r="T14" s="225"/>
      <c r="U14" s="226"/>
      <c r="V14" s="226"/>
      <c r="W14" s="226"/>
      <c r="X14" s="226"/>
      <c r="Y14" s="226"/>
      <c r="Z14" s="227"/>
      <c r="AA14" s="228"/>
      <c r="AB14" s="229"/>
      <c r="AC14" s="229"/>
      <c r="AD14" s="229"/>
      <c r="AE14" s="229"/>
      <c r="AF14" s="229"/>
      <c r="AG14" s="229"/>
      <c r="AH14" s="230"/>
      <c r="AI14" s="54"/>
      <c r="AK14" s="155"/>
      <c r="AL14" s="155"/>
      <c r="AM14" s="155"/>
      <c r="AN14" s="155"/>
      <c r="AO14" s="155"/>
      <c r="AP14" s="155"/>
      <c r="AR14" s="118" t="str">
        <f t="shared" si="4"/>
        <v xml:space="preserve"> </v>
      </c>
      <c r="AS14" s="118" t="str">
        <f t="shared" si="5"/>
        <v xml:space="preserve"> </v>
      </c>
      <c r="AT14" s="118" t="str">
        <f t="shared" si="6"/>
        <v xml:space="preserve"> </v>
      </c>
      <c r="AU14" s="118" t="str">
        <f t="shared" si="7"/>
        <v xml:space="preserve"> </v>
      </c>
      <c r="AV14" s="85"/>
      <c r="AW14" s="85"/>
    </row>
    <row r="15" spans="1:49" s="118" customFormat="1" ht="12.75">
      <c r="A15" s="183" t="s">
        <v>138</v>
      </c>
      <c r="B15" s="231" t="s">
        <v>155</v>
      </c>
      <c r="C15" s="232"/>
      <c r="D15" s="160"/>
      <c r="E15" s="160"/>
      <c r="F15" s="160"/>
      <c r="G15" s="160"/>
      <c r="H15" s="160"/>
      <c r="I15" s="160"/>
      <c r="J15" s="160"/>
      <c r="K15" s="222" t="str">
        <f t="shared" si="1"/>
        <v xml:space="preserve"> </v>
      </c>
      <c r="L15" s="223" t="str">
        <f t="shared" si="2"/>
        <v/>
      </c>
      <c r="M15" s="243" t="str">
        <f t="shared" si="3"/>
        <v/>
      </c>
      <c r="N15" s="160"/>
      <c r="O15" s="160"/>
      <c r="P15" s="160"/>
      <c r="Q15" s="224"/>
      <c r="R15" s="243"/>
      <c r="S15" s="225"/>
      <c r="T15" s="225"/>
      <c r="U15" s="226"/>
      <c r="V15" s="226"/>
      <c r="W15" s="226"/>
      <c r="X15" s="226"/>
      <c r="Y15" s="226"/>
      <c r="Z15" s="227"/>
      <c r="AA15" s="228"/>
      <c r="AB15" s="229"/>
      <c r="AC15" s="229"/>
      <c r="AD15" s="229"/>
      <c r="AE15" s="229"/>
      <c r="AF15" s="229"/>
      <c r="AG15" s="229"/>
      <c r="AH15" s="230"/>
      <c r="AI15" s="54"/>
      <c r="AK15" s="155"/>
      <c r="AL15" s="155"/>
      <c r="AM15" s="155"/>
      <c r="AN15" s="155"/>
      <c r="AO15" s="155"/>
      <c r="AP15" s="155"/>
      <c r="AR15" s="118" t="str">
        <f t="shared" si="4"/>
        <v xml:space="preserve"> </v>
      </c>
      <c r="AS15" s="118" t="str">
        <f t="shared" si="5"/>
        <v xml:space="preserve"> </v>
      </c>
      <c r="AT15" s="118" t="str">
        <f t="shared" si="6"/>
        <v xml:space="preserve"> </v>
      </c>
      <c r="AU15" s="118" t="str">
        <f t="shared" si="7"/>
        <v xml:space="preserve"> </v>
      </c>
      <c r="AV15" s="85"/>
      <c r="AW15" s="85"/>
    </row>
    <row r="16" spans="1:49" s="118" customFormat="1" ht="12.75">
      <c r="A16" s="203" t="s">
        <v>139</v>
      </c>
      <c r="B16" s="231" t="s">
        <v>156</v>
      </c>
      <c r="C16" s="232"/>
      <c r="D16" s="160"/>
      <c r="E16" s="160"/>
      <c r="F16" s="160"/>
      <c r="G16" s="160"/>
      <c r="H16" s="160"/>
      <c r="I16" s="160"/>
      <c r="J16" s="160"/>
      <c r="K16" s="222" t="str">
        <f t="shared" si="1"/>
        <v xml:space="preserve"> </v>
      </c>
      <c r="L16" s="223" t="str">
        <f t="shared" si="2"/>
        <v/>
      </c>
      <c r="M16" s="243" t="str">
        <f t="shared" si="3"/>
        <v/>
      </c>
      <c r="N16" s="160"/>
      <c r="O16" s="160"/>
      <c r="P16" s="160"/>
      <c r="Q16" s="224"/>
      <c r="R16" s="243"/>
      <c r="S16" s="225"/>
      <c r="T16" s="225"/>
      <c r="U16" s="226"/>
      <c r="V16" s="226"/>
      <c r="W16" s="226"/>
      <c r="X16" s="226"/>
      <c r="Y16" s="226"/>
      <c r="Z16" s="227"/>
      <c r="AA16" s="228"/>
      <c r="AB16" s="229"/>
      <c r="AC16" s="229"/>
      <c r="AD16" s="229"/>
      <c r="AE16" s="229"/>
      <c r="AF16" s="229"/>
      <c r="AG16" s="229"/>
      <c r="AH16" s="230"/>
      <c r="AI16" s="54"/>
      <c r="AK16" s="155"/>
      <c r="AL16" s="155"/>
      <c r="AM16" s="155"/>
      <c r="AN16" s="155"/>
      <c r="AO16" s="155"/>
      <c r="AP16" s="155"/>
      <c r="AR16" s="118" t="str">
        <f t="shared" si="4"/>
        <v xml:space="preserve"> </v>
      </c>
      <c r="AS16" s="118" t="str">
        <f t="shared" si="5"/>
        <v xml:space="preserve"> </v>
      </c>
      <c r="AT16" s="118" t="str">
        <f t="shared" si="6"/>
        <v xml:space="preserve"> </v>
      </c>
      <c r="AU16" s="118" t="str">
        <f t="shared" si="7"/>
        <v xml:space="preserve"> </v>
      </c>
      <c r="AV16" s="85"/>
      <c r="AW16" s="85"/>
    </row>
    <row r="17" spans="1:59" s="118" customFormat="1" ht="12.75">
      <c r="A17" s="183" t="s">
        <v>140</v>
      </c>
      <c r="B17" s="231" t="s">
        <v>157</v>
      </c>
      <c r="C17" s="232"/>
      <c r="D17" s="160"/>
      <c r="E17" s="160"/>
      <c r="F17" s="160"/>
      <c r="G17" s="160"/>
      <c r="H17" s="160"/>
      <c r="I17" s="160"/>
      <c r="J17" s="160"/>
      <c r="K17" s="222" t="str">
        <f t="shared" si="1"/>
        <v xml:space="preserve"> </v>
      </c>
      <c r="L17" s="223" t="str">
        <f t="shared" si="2"/>
        <v/>
      </c>
      <c r="M17" s="243" t="str">
        <f t="shared" si="3"/>
        <v/>
      </c>
      <c r="N17" s="160"/>
      <c r="O17" s="160"/>
      <c r="P17" s="160"/>
      <c r="Q17" s="224"/>
      <c r="R17" s="243"/>
      <c r="S17" s="225"/>
      <c r="T17" s="225"/>
      <c r="U17" s="226"/>
      <c r="V17" s="226"/>
      <c r="W17" s="226"/>
      <c r="X17" s="226"/>
      <c r="Y17" s="226"/>
      <c r="Z17" s="227"/>
      <c r="AA17" s="228"/>
      <c r="AB17" s="229"/>
      <c r="AC17" s="229"/>
      <c r="AD17" s="229"/>
      <c r="AE17" s="229"/>
      <c r="AF17" s="229"/>
      <c r="AG17" s="229"/>
      <c r="AH17" s="230"/>
      <c r="AI17" s="54"/>
      <c r="AK17" s="155"/>
      <c r="AL17" s="155"/>
      <c r="AM17" s="155"/>
      <c r="AN17" s="155"/>
      <c r="AO17" s="155"/>
      <c r="AP17" s="155"/>
      <c r="AR17" s="118" t="str">
        <f t="shared" si="4"/>
        <v xml:space="preserve"> </v>
      </c>
      <c r="AS17" s="118" t="str">
        <f t="shared" si="5"/>
        <v xml:space="preserve"> </v>
      </c>
      <c r="AT17" s="118" t="str">
        <f t="shared" si="6"/>
        <v xml:space="preserve"> </v>
      </c>
      <c r="AU17" s="118" t="str">
        <f t="shared" si="7"/>
        <v xml:space="preserve"> </v>
      </c>
      <c r="AV17" s="85"/>
      <c r="AW17" s="85"/>
    </row>
    <row r="18" spans="1:59" s="118" customFormat="1" ht="12.75">
      <c r="A18" s="203" t="s">
        <v>141</v>
      </c>
      <c r="B18" s="231" t="s">
        <v>158</v>
      </c>
      <c r="C18" s="232"/>
      <c r="D18" s="160"/>
      <c r="E18" s="160"/>
      <c r="F18" s="160"/>
      <c r="G18" s="160"/>
      <c r="H18" s="160"/>
      <c r="I18" s="160"/>
      <c r="J18" s="160"/>
      <c r="K18" s="222" t="str">
        <f t="shared" si="1"/>
        <v xml:space="preserve"> </v>
      </c>
      <c r="L18" s="223" t="str">
        <f t="shared" si="2"/>
        <v/>
      </c>
      <c r="M18" s="243" t="str">
        <f t="shared" si="3"/>
        <v/>
      </c>
      <c r="N18" s="160"/>
      <c r="O18" s="160"/>
      <c r="P18" s="160"/>
      <c r="Q18" s="224"/>
      <c r="R18" s="243"/>
      <c r="S18" s="225"/>
      <c r="T18" s="225"/>
      <c r="U18" s="226"/>
      <c r="V18" s="226"/>
      <c r="W18" s="226"/>
      <c r="X18" s="226"/>
      <c r="Y18" s="226"/>
      <c r="Z18" s="227"/>
      <c r="AA18" s="228"/>
      <c r="AB18" s="229"/>
      <c r="AC18" s="229"/>
      <c r="AD18" s="229"/>
      <c r="AE18" s="229"/>
      <c r="AF18" s="229"/>
      <c r="AG18" s="229"/>
      <c r="AH18" s="230"/>
      <c r="AI18" s="54"/>
      <c r="AK18" s="155"/>
      <c r="AL18" s="155"/>
      <c r="AM18" s="155"/>
      <c r="AN18" s="155"/>
      <c r="AO18" s="155"/>
      <c r="AP18" s="155"/>
      <c r="AR18" s="118" t="str">
        <f t="shared" si="4"/>
        <v xml:space="preserve"> </v>
      </c>
      <c r="AS18" s="118" t="str">
        <f t="shared" si="5"/>
        <v xml:space="preserve"> </v>
      </c>
      <c r="AT18" s="118" t="str">
        <f t="shared" si="6"/>
        <v xml:space="preserve"> </v>
      </c>
      <c r="AU18" s="118" t="str">
        <f t="shared" si="7"/>
        <v xml:space="preserve"> </v>
      </c>
      <c r="AV18" s="85"/>
      <c r="AW18" s="85"/>
    </row>
    <row r="19" spans="1:59" s="118" customFormat="1" ht="12.75">
      <c r="A19" s="183" t="s">
        <v>142</v>
      </c>
      <c r="B19" s="231" t="s">
        <v>159</v>
      </c>
      <c r="C19" s="232"/>
      <c r="D19" s="160"/>
      <c r="E19" s="160"/>
      <c r="F19" s="160"/>
      <c r="G19" s="160"/>
      <c r="H19" s="160"/>
      <c r="I19" s="160"/>
      <c r="J19" s="160"/>
      <c r="K19" s="222" t="str">
        <f t="shared" si="1"/>
        <v xml:space="preserve"> </v>
      </c>
      <c r="L19" s="223" t="str">
        <f t="shared" si="2"/>
        <v/>
      </c>
      <c r="M19" s="243" t="str">
        <f t="shared" si="3"/>
        <v/>
      </c>
      <c r="N19" s="160"/>
      <c r="O19" s="160"/>
      <c r="P19" s="160"/>
      <c r="Q19" s="224"/>
      <c r="R19" s="243"/>
      <c r="S19" s="225"/>
      <c r="T19" s="225"/>
      <c r="U19" s="226"/>
      <c r="V19" s="226"/>
      <c r="W19" s="226"/>
      <c r="X19" s="226"/>
      <c r="Y19" s="226"/>
      <c r="Z19" s="227"/>
      <c r="AA19" s="228"/>
      <c r="AB19" s="229"/>
      <c r="AC19" s="229"/>
      <c r="AD19" s="229"/>
      <c r="AE19" s="229"/>
      <c r="AF19" s="229"/>
      <c r="AG19" s="229"/>
      <c r="AH19" s="230"/>
      <c r="AI19" s="54"/>
      <c r="AK19" s="155"/>
      <c r="AL19" s="155"/>
      <c r="AM19" s="155"/>
      <c r="AN19" s="155"/>
      <c r="AO19" s="155"/>
      <c r="AP19" s="155"/>
      <c r="AR19" s="118" t="str">
        <f t="shared" si="4"/>
        <v xml:space="preserve"> </v>
      </c>
      <c r="AS19" s="118" t="str">
        <f t="shared" si="5"/>
        <v xml:space="preserve"> </v>
      </c>
      <c r="AT19" s="118" t="str">
        <f t="shared" si="6"/>
        <v xml:space="preserve"> </v>
      </c>
      <c r="AU19" s="118" t="str">
        <f t="shared" si="7"/>
        <v xml:space="preserve"> </v>
      </c>
      <c r="AV19" s="85"/>
      <c r="AW19" s="85"/>
    </row>
    <row r="20" spans="1:59" s="118" customFormat="1" ht="12.75" customHeight="1">
      <c r="A20" s="183" t="s">
        <v>143</v>
      </c>
      <c r="B20" s="231">
        <v>48844</v>
      </c>
      <c r="C20" s="232"/>
      <c r="D20" s="160"/>
      <c r="E20" s="160"/>
      <c r="F20" s="160"/>
      <c r="G20" s="160"/>
      <c r="H20" s="160"/>
      <c r="I20" s="160"/>
      <c r="J20" s="160"/>
      <c r="K20" s="222" t="str">
        <f t="shared" si="1"/>
        <v xml:space="preserve"> </v>
      </c>
      <c r="L20" s="223" t="str">
        <f t="shared" si="2"/>
        <v/>
      </c>
      <c r="M20" s="243" t="str">
        <f t="shared" si="3"/>
        <v/>
      </c>
      <c r="N20" s="160"/>
      <c r="O20" s="160"/>
      <c r="P20" s="160"/>
      <c r="Q20" s="224"/>
      <c r="R20" s="243"/>
      <c r="S20" s="225"/>
      <c r="T20" s="225"/>
      <c r="U20" s="226"/>
      <c r="V20" s="226"/>
      <c r="W20" s="226"/>
      <c r="X20" s="226"/>
      <c r="Y20" s="226"/>
      <c r="Z20" s="227"/>
      <c r="AA20" s="228"/>
      <c r="AB20" s="229"/>
      <c r="AC20" s="229"/>
      <c r="AD20" s="229"/>
      <c r="AE20" s="229"/>
      <c r="AF20" s="229"/>
      <c r="AG20" s="229"/>
      <c r="AH20" s="230"/>
      <c r="AI20" s="54"/>
      <c r="AK20" s="155"/>
      <c r="AL20" s="155"/>
      <c r="AM20" s="155"/>
      <c r="AN20" s="155"/>
      <c r="AO20" s="155"/>
      <c r="AP20" s="155"/>
      <c r="AR20" s="118" t="str">
        <f t="shared" si="4"/>
        <v xml:space="preserve"> </v>
      </c>
      <c r="AS20" s="118" t="str">
        <f t="shared" si="5"/>
        <v xml:space="preserve"> </v>
      </c>
      <c r="AT20" s="118" t="str">
        <f t="shared" si="6"/>
        <v xml:space="preserve"> </v>
      </c>
      <c r="AU20" s="118" t="str">
        <f t="shared" si="7"/>
        <v xml:space="preserve"> </v>
      </c>
      <c r="AV20" s="85"/>
      <c r="AW20" s="85"/>
    </row>
    <row r="21" spans="1:59" s="118" customFormat="1" ht="12.75" customHeight="1">
      <c r="A21" s="183" t="s">
        <v>144</v>
      </c>
      <c r="B21" s="231">
        <v>48846</v>
      </c>
      <c r="C21" s="232"/>
      <c r="D21" s="160"/>
      <c r="E21" s="160"/>
      <c r="F21" s="160"/>
      <c r="G21" s="160"/>
      <c r="H21" s="160"/>
      <c r="I21" s="160"/>
      <c r="J21" s="160"/>
      <c r="K21" s="222" t="str">
        <f t="shared" si="1"/>
        <v xml:space="preserve"> </v>
      </c>
      <c r="L21" s="223" t="str">
        <f t="shared" si="2"/>
        <v/>
      </c>
      <c r="M21" s="243" t="str">
        <f t="shared" si="3"/>
        <v/>
      </c>
      <c r="N21" s="160"/>
      <c r="O21" s="160"/>
      <c r="P21" s="160"/>
      <c r="Q21" s="224"/>
      <c r="R21" s="243"/>
      <c r="S21" s="225"/>
      <c r="T21" s="225"/>
      <c r="U21" s="226"/>
      <c r="V21" s="226"/>
      <c r="W21" s="226"/>
      <c r="X21" s="226"/>
      <c r="Y21" s="226"/>
      <c r="Z21" s="227"/>
      <c r="AA21" s="228"/>
      <c r="AB21" s="229"/>
      <c r="AC21" s="229"/>
      <c r="AD21" s="229"/>
      <c r="AE21" s="229"/>
      <c r="AF21" s="229"/>
      <c r="AG21" s="229"/>
      <c r="AH21" s="230"/>
      <c r="AI21" s="54"/>
      <c r="AK21" s="155"/>
      <c r="AL21" s="155"/>
      <c r="AM21" s="155"/>
      <c r="AN21" s="155"/>
      <c r="AO21" s="155"/>
      <c r="AP21" s="155"/>
      <c r="AR21" s="118" t="str">
        <f t="shared" si="4"/>
        <v xml:space="preserve"> </v>
      </c>
      <c r="AS21" s="118" t="str">
        <f t="shared" si="5"/>
        <v xml:space="preserve"> </v>
      </c>
      <c r="AT21" s="118" t="str">
        <f t="shared" si="6"/>
        <v xml:space="preserve"> </v>
      </c>
      <c r="AU21" s="118" t="str">
        <f t="shared" si="7"/>
        <v xml:space="preserve"> </v>
      </c>
      <c r="AV21" s="85"/>
      <c r="AW21" s="85"/>
    </row>
    <row r="22" spans="1:59" s="118" customFormat="1" ht="12.75" customHeight="1">
      <c r="A22" s="183" t="s">
        <v>145</v>
      </c>
      <c r="B22" s="231" t="s">
        <v>160</v>
      </c>
      <c r="C22" s="232"/>
      <c r="D22" s="160"/>
      <c r="E22" s="160"/>
      <c r="F22" s="160"/>
      <c r="G22" s="160"/>
      <c r="H22" s="160"/>
      <c r="I22" s="160"/>
      <c r="J22" s="160"/>
      <c r="K22" s="222" t="str">
        <f t="shared" si="1"/>
        <v xml:space="preserve"> </v>
      </c>
      <c r="L22" s="223" t="str">
        <f t="shared" si="2"/>
        <v/>
      </c>
      <c r="M22" s="243" t="str">
        <f t="shared" si="3"/>
        <v/>
      </c>
      <c r="N22" s="160"/>
      <c r="O22" s="160"/>
      <c r="P22" s="160"/>
      <c r="Q22" s="224"/>
      <c r="R22" s="243"/>
      <c r="S22" s="225"/>
      <c r="T22" s="225"/>
      <c r="U22" s="226"/>
      <c r="V22" s="226"/>
      <c r="W22" s="226"/>
      <c r="X22" s="226"/>
      <c r="Y22" s="226"/>
      <c r="Z22" s="227"/>
      <c r="AA22" s="228"/>
      <c r="AB22" s="229"/>
      <c r="AC22" s="229"/>
      <c r="AD22" s="229"/>
      <c r="AE22" s="229"/>
      <c r="AF22" s="229"/>
      <c r="AG22" s="229"/>
      <c r="AH22" s="230"/>
      <c r="AI22" s="54"/>
      <c r="AK22" s="155"/>
      <c r="AL22" s="155"/>
      <c r="AM22" s="155"/>
      <c r="AN22" s="155"/>
      <c r="AO22" s="155"/>
      <c r="AP22" s="155"/>
      <c r="AR22" s="118" t="str">
        <f t="shared" si="4"/>
        <v xml:space="preserve"> </v>
      </c>
      <c r="AS22" s="118" t="str">
        <f t="shared" si="5"/>
        <v xml:space="preserve"> </v>
      </c>
      <c r="AT22" s="118" t="str">
        <f t="shared" si="6"/>
        <v xml:space="preserve"> </v>
      </c>
      <c r="AU22" s="118" t="str">
        <f t="shared" si="7"/>
        <v xml:space="preserve"> </v>
      </c>
      <c r="AV22" s="85"/>
      <c r="AW22" s="85"/>
    </row>
    <row r="23" spans="1:59" s="118" customFormat="1" ht="12.75" customHeight="1">
      <c r="A23" s="183" t="s">
        <v>146</v>
      </c>
      <c r="B23" s="231" t="s">
        <v>161</v>
      </c>
      <c r="C23" s="232"/>
      <c r="D23" s="160"/>
      <c r="E23" s="160"/>
      <c r="F23" s="160"/>
      <c r="G23" s="160"/>
      <c r="H23" s="160"/>
      <c r="I23" s="160"/>
      <c r="J23" s="160"/>
      <c r="K23" s="222" t="str">
        <f t="shared" si="1"/>
        <v xml:space="preserve"> </v>
      </c>
      <c r="L23" s="223" t="str">
        <f t="shared" si="2"/>
        <v/>
      </c>
      <c r="M23" s="243" t="str">
        <f t="shared" si="3"/>
        <v/>
      </c>
      <c r="N23" s="160"/>
      <c r="O23" s="160"/>
      <c r="P23" s="160"/>
      <c r="Q23" s="224"/>
      <c r="R23" s="243"/>
      <c r="S23" s="225"/>
      <c r="T23" s="225"/>
      <c r="U23" s="226"/>
      <c r="V23" s="226"/>
      <c r="W23" s="226"/>
      <c r="X23" s="226"/>
      <c r="Y23" s="226"/>
      <c r="Z23" s="227"/>
      <c r="AA23" s="228"/>
      <c r="AB23" s="229"/>
      <c r="AC23" s="229"/>
      <c r="AD23" s="229"/>
      <c r="AE23" s="229"/>
      <c r="AF23" s="229"/>
      <c r="AG23" s="229"/>
      <c r="AH23" s="230"/>
      <c r="AI23" s="54"/>
      <c r="AK23" s="155"/>
      <c r="AL23" s="155"/>
      <c r="AM23" s="155"/>
      <c r="AN23" s="155"/>
      <c r="AO23" s="155"/>
      <c r="AP23" s="155"/>
      <c r="AR23" s="118" t="str">
        <f t="shared" si="4"/>
        <v xml:space="preserve"> </v>
      </c>
      <c r="AS23" s="118" t="str">
        <f t="shared" si="5"/>
        <v xml:space="preserve"> </v>
      </c>
      <c r="AT23" s="118" t="str">
        <f t="shared" si="6"/>
        <v xml:space="preserve"> </v>
      </c>
      <c r="AU23" s="118" t="str">
        <f t="shared" si="7"/>
        <v xml:space="preserve"> </v>
      </c>
      <c r="AV23" s="85"/>
      <c r="AW23" s="85"/>
    </row>
    <row r="24" spans="1:59" s="118" customFormat="1" ht="12.75" customHeight="1">
      <c r="A24" s="183" t="s">
        <v>147</v>
      </c>
      <c r="B24" s="231" t="s">
        <v>162</v>
      </c>
      <c r="C24" s="232"/>
      <c r="D24" s="160"/>
      <c r="E24" s="160"/>
      <c r="F24" s="160"/>
      <c r="G24" s="160"/>
      <c r="H24" s="160"/>
      <c r="I24" s="160"/>
      <c r="J24" s="160"/>
      <c r="K24" s="222" t="str">
        <f t="shared" si="1"/>
        <v xml:space="preserve"> </v>
      </c>
      <c r="L24" s="223" t="str">
        <f t="shared" si="2"/>
        <v/>
      </c>
      <c r="M24" s="243" t="str">
        <f t="shared" si="3"/>
        <v/>
      </c>
      <c r="N24" s="160"/>
      <c r="O24" s="160"/>
      <c r="P24" s="160"/>
      <c r="Q24" s="224"/>
      <c r="R24" s="243"/>
      <c r="S24" s="225"/>
      <c r="T24" s="225"/>
      <c r="U24" s="226"/>
      <c r="V24" s="226"/>
      <c r="W24" s="226"/>
      <c r="X24" s="226"/>
      <c r="Y24" s="226"/>
      <c r="Z24" s="227"/>
      <c r="AA24" s="228"/>
      <c r="AB24" s="229"/>
      <c r="AC24" s="229"/>
      <c r="AD24" s="229"/>
      <c r="AE24" s="229"/>
      <c r="AF24" s="229"/>
      <c r="AG24" s="229"/>
      <c r="AH24" s="230"/>
      <c r="AI24" s="54"/>
      <c r="AK24" s="155"/>
      <c r="AL24" s="155"/>
      <c r="AM24" s="155"/>
      <c r="AN24" s="155"/>
      <c r="AO24" s="155"/>
      <c r="AP24" s="155"/>
      <c r="AR24" s="118" t="str">
        <f t="shared" si="4"/>
        <v xml:space="preserve"> </v>
      </c>
      <c r="AS24" s="118" t="str">
        <f t="shared" si="5"/>
        <v xml:space="preserve"> </v>
      </c>
      <c r="AT24" s="118" t="str">
        <f t="shared" si="6"/>
        <v xml:space="preserve"> </v>
      </c>
      <c r="AU24" s="118" t="str">
        <f t="shared" si="7"/>
        <v xml:space="preserve"> </v>
      </c>
      <c r="AV24" s="85"/>
      <c r="AW24" s="85"/>
    </row>
    <row r="25" spans="1:59" s="118" customFormat="1" ht="12.75" customHeight="1">
      <c r="A25" s="299" t="s">
        <v>191</v>
      </c>
      <c r="B25" s="301" t="s">
        <v>190</v>
      </c>
      <c r="C25" s="232"/>
      <c r="D25" s="160"/>
      <c r="E25" s="160"/>
      <c r="F25" s="160"/>
      <c r="G25" s="160"/>
      <c r="H25" s="160"/>
      <c r="I25" s="160"/>
      <c r="J25" s="160"/>
      <c r="K25" s="222" t="str">
        <f t="shared" si="1"/>
        <v xml:space="preserve"> </v>
      </c>
      <c r="L25" s="223" t="str">
        <f t="shared" si="2"/>
        <v/>
      </c>
      <c r="M25" s="243" t="str">
        <f t="shared" si="3"/>
        <v/>
      </c>
      <c r="N25" s="160"/>
      <c r="O25" s="160"/>
      <c r="P25" s="160"/>
      <c r="Q25" s="224"/>
      <c r="R25" s="243"/>
      <c r="S25" s="225"/>
      <c r="T25" s="225"/>
      <c r="U25" s="226"/>
      <c r="V25" s="226"/>
      <c r="W25" s="226"/>
      <c r="X25" s="226"/>
      <c r="Y25" s="226"/>
      <c r="Z25" s="227"/>
      <c r="AA25" s="228"/>
      <c r="AB25" s="229"/>
      <c r="AC25" s="229"/>
      <c r="AD25" s="229"/>
      <c r="AE25" s="229"/>
      <c r="AF25" s="229"/>
      <c r="AG25" s="229"/>
      <c r="AH25" s="230"/>
      <c r="AI25" s="54"/>
      <c r="AK25" s="155"/>
      <c r="AL25" s="155"/>
      <c r="AM25" s="155"/>
      <c r="AN25" s="155"/>
      <c r="AO25" s="155"/>
      <c r="AP25" s="155"/>
      <c r="AR25" s="118" t="str">
        <f t="shared" si="4"/>
        <v xml:space="preserve"> </v>
      </c>
      <c r="AS25" s="118" t="str">
        <f t="shared" si="5"/>
        <v xml:space="preserve"> </v>
      </c>
      <c r="AT25" s="118" t="str">
        <f t="shared" si="6"/>
        <v xml:space="preserve"> </v>
      </c>
      <c r="AU25" s="118" t="str">
        <f t="shared" si="7"/>
        <v xml:space="preserve"> </v>
      </c>
      <c r="AV25" s="85"/>
      <c r="AW25" s="85"/>
    </row>
    <row r="26" spans="1:59" s="118" customFormat="1" ht="9" customHeight="1" thickBot="1">
      <c r="A26" s="233"/>
      <c r="B26" s="234"/>
      <c r="C26" s="235"/>
      <c r="D26" s="235"/>
      <c r="E26" s="235"/>
      <c r="F26" s="235"/>
      <c r="G26" s="235"/>
      <c r="H26" s="235"/>
      <c r="I26" s="235"/>
      <c r="J26" s="235"/>
      <c r="K26" s="236" t="str">
        <f>IF(COUNT(AR26:AU26)&gt;0,AVERAGE(AR26:AU26)," ")</f>
        <v xml:space="preserve"> </v>
      </c>
      <c r="L26" s="244"/>
      <c r="M26" s="237"/>
      <c r="N26" s="245"/>
      <c r="O26" s="238"/>
      <c r="P26" s="238"/>
      <c r="Q26" s="246"/>
      <c r="R26" s="247"/>
      <c r="S26" s="239"/>
      <c r="T26" s="240"/>
      <c r="U26" s="240"/>
      <c r="V26" s="240"/>
      <c r="W26" s="240"/>
      <c r="X26" s="240"/>
      <c r="Y26" s="240"/>
      <c r="Z26" s="181"/>
      <c r="AA26" s="241"/>
      <c r="AB26" s="242"/>
      <c r="AC26" s="242"/>
      <c r="AD26" s="242"/>
      <c r="AE26" s="242"/>
      <c r="AF26" s="242"/>
      <c r="AG26" s="242"/>
      <c r="AH26" s="169"/>
      <c r="AI26" s="54"/>
      <c r="AK26" s="128"/>
      <c r="AL26" s="128"/>
      <c r="AM26" s="128"/>
      <c r="AN26" s="128"/>
      <c r="AO26" s="128"/>
      <c r="AP26" s="128"/>
      <c r="AR26" s="118" t="str">
        <f>IF(COUNT(D26,H26)=2,AVERAGE(D26,H26)," ")</f>
        <v xml:space="preserve"> </v>
      </c>
      <c r="AS26" s="118" t="str">
        <f>IF(COUNT(E26,I26)=2,AVERAGE(E26,I26)," ")</f>
        <v xml:space="preserve"> </v>
      </c>
      <c r="AT26" s="118" t="str">
        <f>IF(COUNT(F26,J26)=2,AVERAGE(F26,J26)," ")</f>
        <v xml:space="preserve"> </v>
      </c>
      <c r="AU26" s="118" t="str">
        <f>IF(COUNT(G26,C26)=2,AVERAGE(G26,C26)," ")</f>
        <v xml:space="preserve"> </v>
      </c>
    </row>
    <row r="27" spans="1:59" s="118" customFormat="1" ht="6.75" customHeight="1"/>
    <row r="28" spans="1:59" s="118" customFormat="1" ht="21" customHeight="1" thickBot="1">
      <c r="A28" s="182" t="s">
        <v>164</v>
      </c>
      <c r="B28" s="150"/>
      <c r="C28" s="150"/>
      <c r="D28" s="150"/>
      <c r="E28" s="150"/>
    </row>
    <row r="29" spans="1:59" s="118" customFormat="1" ht="13.5" thickTop="1">
      <c r="A29" s="171"/>
      <c r="B29" s="524" t="s">
        <v>124</v>
      </c>
      <c r="C29" s="522"/>
      <c r="D29" s="522"/>
      <c r="E29" s="522"/>
      <c r="F29" s="522"/>
      <c r="G29" s="522"/>
      <c r="H29" s="522"/>
      <c r="I29" s="522"/>
      <c r="J29" s="522"/>
      <c r="K29" s="523"/>
      <c r="L29" s="524" t="s">
        <v>126</v>
      </c>
      <c r="M29" s="522"/>
      <c r="N29" s="522"/>
      <c r="O29" s="521" t="s">
        <v>123</v>
      </c>
      <c r="P29" s="522"/>
      <c r="Q29" s="522"/>
      <c r="R29" s="522"/>
      <c r="S29" s="522"/>
      <c r="T29" s="522"/>
      <c r="U29" s="522"/>
      <c r="V29" s="523"/>
      <c r="W29" s="525" t="s">
        <v>125</v>
      </c>
      <c r="X29" s="522"/>
      <c r="Y29" s="522"/>
      <c r="Z29" s="522"/>
      <c r="AA29" s="522"/>
      <c r="AB29" s="522"/>
      <c r="AC29" s="522"/>
      <c r="AD29" s="523"/>
      <c r="AE29" s="178"/>
      <c r="AF29" s="180"/>
      <c r="AG29" s="180"/>
      <c r="AH29" s="180"/>
      <c r="AI29" s="180"/>
      <c r="AJ29" s="180"/>
      <c r="AK29" s="180"/>
      <c r="AL29" s="180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2"/>
    </row>
    <row r="30" spans="1:59" s="118" customFormat="1" ht="13.5" thickBot="1">
      <c r="A30" s="170" t="s">
        <v>19</v>
      </c>
      <c r="B30" s="117">
        <v>22</v>
      </c>
      <c r="C30" s="123">
        <v>1</v>
      </c>
      <c r="D30" s="123">
        <v>4</v>
      </c>
      <c r="E30" s="123">
        <v>7</v>
      </c>
      <c r="F30" s="123">
        <v>10</v>
      </c>
      <c r="G30" s="123">
        <v>13</v>
      </c>
      <c r="H30" s="123">
        <v>16</v>
      </c>
      <c r="I30" s="123">
        <v>19</v>
      </c>
      <c r="J30" s="117" t="s">
        <v>42</v>
      </c>
      <c r="K30" s="119" t="s">
        <v>89</v>
      </c>
      <c r="L30" s="127" t="s">
        <v>47</v>
      </c>
      <c r="M30" s="127" t="s">
        <v>47</v>
      </c>
      <c r="N30" s="119" t="s">
        <v>47</v>
      </c>
      <c r="O30" s="117">
        <v>22</v>
      </c>
      <c r="P30" s="123">
        <v>1</v>
      </c>
      <c r="Q30" s="123">
        <v>4</v>
      </c>
      <c r="R30" s="123">
        <v>7</v>
      </c>
      <c r="S30" s="123">
        <v>10</v>
      </c>
      <c r="T30" s="123">
        <v>13</v>
      </c>
      <c r="U30" s="123">
        <v>16</v>
      </c>
      <c r="V30" s="123">
        <v>19</v>
      </c>
      <c r="W30" s="123">
        <v>22</v>
      </c>
      <c r="X30" s="123">
        <v>1</v>
      </c>
      <c r="Y30" s="123">
        <v>4</v>
      </c>
      <c r="Z30" s="123">
        <v>7</v>
      </c>
      <c r="AA30" s="123">
        <v>10</v>
      </c>
      <c r="AB30" s="123">
        <v>13</v>
      </c>
      <c r="AC30" s="123">
        <v>16</v>
      </c>
      <c r="AD30" s="119">
        <v>19</v>
      </c>
      <c r="AE30" s="154"/>
      <c r="AF30" s="154"/>
      <c r="AG30" s="154"/>
      <c r="AH30" s="154"/>
      <c r="AI30" s="154"/>
      <c r="AJ30" s="154"/>
      <c r="AK30" s="154"/>
      <c r="AL30" s="154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</row>
    <row r="31" spans="1:59" ht="13.5" thickTop="1">
      <c r="A31" s="210" t="str">
        <f>A4</f>
        <v>Thanh Hoá</v>
      </c>
      <c r="B31" s="211"/>
      <c r="C31" s="248"/>
      <c r="D31" s="248"/>
      <c r="E31" s="248"/>
      <c r="F31" s="248"/>
      <c r="G31" s="248"/>
      <c r="H31" s="248"/>
      <c r="I31" s="248"/>
      <c r="J31" s="212" t="str">
        <f>IF(COUNT(C31,D31,E31,F31,G31,H31,I31,B31)&gt;3,AVERAGE(C31,D31,E31,F31,G31,H31,I31,B31),"")</f>
        <v/>
      </c>
      <c r="K31" s="213" t="str">
        <f>IF(COUNT(J31)&gt;0,MIN(C31,D31,E31,F31,G31,H31,I31,B31),"")</f>
        <v/>
      </c>
      <c r="L31" s="160"/>
      <c r="M31" s="160"/>
      <c r="N31" s="214"/>
      <c r="O31" s="175"/>
      <c r="P31" s="175"/>
      <c r="Q31" s="175"/>
      <c r="R31" s="175"/>
      <c r="S31" s="175"/>
      <c r="T31" s="175"/>
      <c r="U31" s="175"/>
      <c r="V31" s="175"/>
      <c r="W31" s="215"/>
      <c r="X31" s="207"/>
      <c r="Y31" s="207"/>
      <c r="Z31" s="207"/>
      <c r="AA31" s="207"/>
      <c r="AB31" s="207"/>
      <c r="AC31" s="207"/>
      <c r="AD31" s="208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51"/>
      <c r="AS31" s="173"/>
      <c r="AT31" s="173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</row>
    <row r="32" spans="1:59" ht="12.75">
      <c r="A32" s="210" t="str">
        <f t="shared" ref="A32:A52" si="8">A5</f>
        <v>Yên Định</v>
      </c>
      <c r="B32" s="211"/>
      <c r="C32" s="248"/>
      <c r="D32" s="248"/>
      <c r="E32" s="248"/>
      <c r="F32" s="248"/>
      <c r="G32" s="248"/>
      <c r="H32" s="248"/>
      <c r="I32" s="248"/>
      <c r="J32" s="212" t="str">
        <f t="shared" ref="J32:J52" si="9">IF(COUNT(C32,D32,E32,F32,G32,H32,I32,B32)&gt;3,AVERAGE(C32,D32,E32,F32,G32,H32,I32,B32),"")</f>
        <v/>
      </c>
      <c r="K32" s="213" t="str">
        <f t="shared" ref="K32:K52" si="10">IF(COUNT(J32)&gt;0,MIN(C32,D32,E32,F32,G32,H32,I32,B32),"")</f>
        <v/>
      </c>
      <c r="L32" s="160"/>
      <c r="M32" s="160"/>
      <c r="N32" s="214"/>
      <c r="O32" s="175"/>
      <c r="P32" s="175"/>
      <c r="Q32" s="175"/>
      <c r="R32" s="175"/>
      <c r="S32" s="175"/>
      <c r="T32" s="175"/>
      <c r="U32" s="175"/>
      <c r="V32" s="175"/>
      <c r="W32" s="215"/>
      <c r="X32" s="207"/>
      <c r="Y32" s="207"/>
      <c r="Z32" s="207"/>
      <c r="AA32" s="207"/>
      <c r="AB32" s="207"/>
      <c r="AC32" s="207"/>
      <c r="AD32" s="208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51"/>
      <c r="AS32" s="173"/>
      <c r="AT32" s="173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</row>
    <row r="33" spans="1:59" ht="12.75">
      <c r="A33" s="210" t="str">
        <f t="shared" si="8"/>
        <v>Hồi Xuân</v>
      </c>
      <c r="B33" s="211"/>
      <c r="C33" s="248"/>
      <c r="D33" s="248"/>
      <c r="E33" s="248"/>
      <c r="F33" s="248"/>
      <c r="G33" s="248"/>
      <c r="H33" s="248"/>
      <c r="I33" s="248"/>
      <c r="J33" s="212" t="str">
        <f t="shared" si="9"/>
        <v/>
      </c>
      <c r="K33" s="213" t="str">
        <f t="shared" si="10"/>
        <v/>
      </c>
      <c r="L33" s="160"/>
      <c r="M33" s="160"/>
      <c r="N33" s="214"/>
      <c r="O33" s="175"/>
      <c r="P33" s="175"/>
      <c r="Q33" s="175"/>
      <c r="R33" s="175"/>
      <c r="S33" s="175"/>
      <c r="T33" s="175"/>
      <c r="U33" s="175"/>
      <c r="V33" s="175"/>
      <c r="W33" s="215"/>
      <c r="X33" s="207"/>
      <c r="Y33" s="207"/>
      <c r="Z33" s="207"/>
      <c r="AA33" s="207"/>
      <c r="AB33" s="207"/>
      <c r="AC33" s="207"/>
      <c r="AD33" s="208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  <c r="AP33" s="173"/>
      <c r="AQ33" s="173"/>
      <c r="AR33" s="151"/>
      <c r="AS33" s="173"/>
      <c r="AT33" s="173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</row>
    <row r="34" spans="1:59" ht="12.75">
      <c r="A34" s="210" t="str">
        <f t="shared" si="8"/>
        <v>Như Xuân</v>
      </c>
      <c r="B34" s="211"/>
      <c r="C34" s="248"/>
      <c r="D34" s="248"/>
      <c r="E34" s="248"/>
      <c r="F34" s="248"/>
      <c r="G34" s="248"/>
      <c r="H34" s="248"/>
      <c r="I34" s="248"/>
      <c r="J34" s="212" t="str">
        <f t="shared" si="9"/>
        <v/>
      </c>
      <c r="K34" s="213" t="str">
        <f t="shared" si="10"/>
        <v/>
      </c>
      <c r="L34" s="160"/>
      <c r="M34" s="160"/>
      <c r="N34" s="214"/>
      <c r="O34" s="175"/>
      <c r="P34" s="175"/>
      <c r="Q34" s="175"/>
      <c r="R34" s="175"/>
      <c r="S34" s="175"/>
      <c r="T34" s="175"/>
      <c r="U34" s="175"/>
      <c r="V34" s="175"/>
      <c r="W34" s="215"/>
      <c r="X34" s="207"/>
      <c r="Y34" s="207"/>
      <c r="Z34" s="207"/>
      <c r="AA34" s="207"/>
      <c r="AB34" s="207"/>
      <c r="AC34" s="207"/>
      <c r="AD34" s="208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4"/>
      <c r="AP34" s="173"/>
      <c r="AQ34" s="173"/>
      <c r="AR34" s="151"/>
      <c r="AS34" s="173"/>
      <c r="AT34" s="173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</row>
    <row r="35" spans="1:59" ht="12.75">
      <c r="A35" s="210" t="str">
        <f t="shared" si="8"/>
        <v>Tĩnh Gia</v>
      </c>
      <c r="B35" s="211"/>
      <c r="C35" s="248"/>
      <c r="D35" s="248"/>
      <c r="E35" s="248"/>
      <c r="F35" s="248"/>
      <c r="G35" s="248"/>
      <c r="H35" s="248"/>
      <c r="I35" s="248"/>
      <c r="J35" s="212" t="str">
        <f t="shared" si="9"/>
        <v/>
      </c>
      <c r="K35" s="213" t="str">
        <f t="shared" si="10"/>
        <v/>
      </c>
      <c r="L35" s="160"/>
      <c r="M35" s="160"/>
      <c r="N35" s="214"/>
      <c r="O35" s="175"/>
      <c r="P35" s="175"/>
      <c r="Q35" s="175"/>
      <c r="R35" s="175"/>
      <c r="S35" s="175"/>
      <c r="T35" s="175"/>
      <c r="U35" s="175"/>
      <c r="V35" s="175"/>
      <c r="W35" s="215"/>
      <c r="X35" s="207"/>
      <c r="Y35" s="207"/>
      <c r="Z35" s="207"/>
      <c r="AA35" s="207"/>
      <c r="AB35" s="207"/>
      <c r="AC35" s="207"/>
      <c r="AD35" s="208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51"/>
      <c r="AS35" s="173"/>
      <c r="AT35" s="173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</row>
    <row r="36" spans="1:59" ht="12.75">
      <c r="A36" s="210" t="str">
        <f t="shared" si="8"/>
        <v>Bái Thượng</v>
      </c>
      <c r="B36" s="211"/>
      <c r="C36" s="248"/>
      <c r="D36" s="248"/>
      <c r="E36" s="248"/>
      <c r="F36" s="248"/>
      <c r="G36" s="248"/>
      <c r="H36" s="248"/>
      <c r="I36" s="248"/>
      <c r="J36" s="212" t="str">
        <f t="shared" si="9"/>
        <v/>
      </c>
      <c r="K36" s="213" t="str">
        <f t="shared" si="10"/>
        <v/>
      </c>
      <c r="L36" s="160"/>
      <c r="M36" s="160"/>
      <c r="N36" s="214"/>
      <c r="O36" s="175"/>
      <c r="P36" s="175"/>
      <c r="Q36" s="175"/>
      <c r="R36" s="175"/>
      <c r="S36" s="175"/>
      <c r="T36" s="175"/>
      <c r="U36" s="175"/>
      <c r="V36" s="175"/>
      <c r="W36" s="215"/>
      <c r="X36" s="207"/>
      <c r="Y36" s="207"/>
      <c r="Z36" s="207"/>
      <c r="AA36" s="207"/>
      <c r="AB36" s="207"/>
      <c r="AC36" s="207"/>
      <c r="AD36" s="208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  <c r="AP36" s="173"/>
      <c r="AQ36" s="173"/>
      <c r="AR36" s="151"/>
      <c r="AS36" s="173"/>
      <c r="AT36" s="173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</row>
    <row r="37" spans="1:59" ht="12.75">
      <c r="A37" s="210" t="str">
        <f t="shared" si="8"/>
        <v>Sầm Sơn</v>
      </c>
      <c r="B37" s="211"/>
      <c r="C37" s="248"/>
      <c r="D37" s="248"/>
      <c r="E37" s="248"/>
      <c r="F37" s="248"/>
      <c r="G37" s="248"/>
      <c r="H37" s="248"/>
      <c r="I37" s="248"/>
      <c r="J37" s="212" t="str">
        <f t="shared" si="9"/>
        <v/>
      </c>
      <c r="K37" s="213" t="str">
        <f t="shared" si="10"/>
        <v/>
      </c>
      <c r="L37" s="160"/>
      <c r="M37" s="160"/>
      <c r="N37" s="214"/>
      <c r="O37" s="175"/>
      <c r="P37" s="175"/>
      <c r="Q37" s="175"/>
      <c r="R37" s="175"/>
      <c r="S37" s="175"/>
      <c r="T37" s="175"/>
      <c r="U37" s="175"/>
      <c r="V37" s="175"/>
      <c r="W37" s="215"/>
      <c r="X37" s="207"/>
      <c r="Y37" s="207"/>
      <c r="Z37" s="207"/>
      <c r="AA37" s="207"/>
      <c r="AB37" s="207"/>
      <c r="AC37" s="207"/>
      <c r="AD37" s="208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51"/>
      <c r="AS37" s="173"/>
      <c r="AT37" s="173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</row>
    <row r="38" spans="1:59" ht="12.75">
      <c r="A38" s="210" t="str">
        <f t="shared" si="8"/>
        <v>Nga Sơn</v>
      </c>
      <c r="B38" s="211"/>
      <c r="C38" s="248"/>
      <c r="D38" s="248"/>
      <c r="E38" s="248"/>
      <c r="F38" s="248"/>
      <c r="G38" s="248"/>
      <c r="H38" s="248"/>
      <c r="I38" s="248"/>
      <c r="J38" s="212" t="str">
        <f t="shared" si="9"/>
        <v/>
      </c>
      <c r="K38" s="213" t="str">
        <f t="shared" si="10"/>
        <v/>
      </c>
      <c r="L38" s="160"/>
      <c r="M38" s="160"/>
      <c r="N38" s="214"/>
      <c r="O38" s="175"/>
      <c r="P38" s="175"/>
      <c r="Q38" s="175"/>
      <c r="R38" s="175"/>
      <c r="S38" s="175"/>
      <c r="T38" s="175"/>
      <c r="U38" s="175"/>
      <c r="V38" s="175"/>
      <c r="W38" s="215"/>
      <c r="X38" s="207"/>
      <c r="Y38" s="207"/>
      <c r="Z38" s="207"/>
      <c r="AA38" s="207"/>
      <c r="AB38" s="207"/>
      <c r="AC38" s="207"/>
      <c r="AD38" s="208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51"/>
      <c r="AS38" s="173"/>
      <c r="AT38" s="173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</row>
    <row r="39" spans="1:59" ht="12.75">
      <c r="A39" s="210" t="str">
        <f t="shared" si="8"/>
        <v>Vinh</v>
      </c>
      <c r="B39" s="211"/>
      <c r="C39" s="248"/>
      <c r="D39" s="248"/>
      <c r="E39" s="248"/>
      <c r="F39" s="248"/>
      <c r="G39" s="248"/>
      <c r="H39" s="248"/>
      <c r="I39" s="248"/>
      <c r="J39" s="212" t="str">
        <f t="shared" si="9"/>
        <v/>
      </c>
      <c r="K39" s="213" t="str">
        <f t="shared" si="10"/>
        <v/>
      </c>
      <c r="L39" s="160"/>
      <c r="M39" s="160"/>
      <c r="N39" s="214"/>
      <c r="O39" s="175"/>
      <c r="P39" s="175"/>
      <c r="Q39" s="175"/>
      <c r="R39" s="175"/>
      <c r="S39" s="175"/>
      <c r="T39" s="175"/>
      <c r="U39" s="175"/>
      <c r="V39" s="175"/>
      <c r="W39" s="215"/>
      <c r="X39" s="207"/>
      <c r="Y39" s="207"/>
      <c r="Z39" s="207"/>
      <c r="AA39" s="207"/>
      <c r="AB39" s="207"/>
      <c r="AC39" s="207"/>
      <c r="AD39" s="208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51"/>
      <c r="AS39" s="173"/>
      <c r="AT39" s="173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</row>
    <row r="40" spans="1:59" ht="12.75">
      <c r="A40" s="210" t="str">
        <f t="shared" si="8"/>
        <v>Đô Lương</v>
      </c>
      <c r="B40" s="211"/>
      <c r="C40" s="248"/>
      <c r="D40" s="248"/>
      <c r="E40" s="248"/>
      <c r="F40" s="248"/>
      <c r="G40" s="248"/>
      <c r="H40" s="248"/>
      <c r="I40" s="248"/>
      <c r="J40" s="212" t="str">
        <f t="shared" si="9"/>
        <v/>
      </c>
      <c r="K40" s="213" t="str">
        <f t="shared" si="10"/>
        <v/>
      </c>
      <c r="L40" s="160"/>
      <c r="M40" s="160"/>
      <c r="N40" s="214"/>
      <c r="O40" s="175"/>
      <c r="P40" s="175"/>
      <c r="Q40" s="175"/>
      <c r="R40" s="175"/>
      <c r="S40" s="175"/>
      <c r="T40" s="175"/>
      <c r="U40" s="175"/>
      <c r="V40" s="175"/>
      <c r="W40" s="215"/>
      <c r="X40" s="207"/>
      <c r="Y40" s="207"/>
      <c r="Z40" s="207"/>
      <c r="AA40" s="207"/>
      <c r="AB40" s="207"/>
      <c r="AC40" s="207"/>
      <c r="AD40" s="208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51"/>
      <c r="AS40" s="173"/>
      <c r="AT40" s="173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</row>
    <row r="41" spans="1:59" ht="12.75">
      <c r="A41" s="210" t="str">
        <f t="shared" si="8"/>
        <v>Tây Hiếu</v>
      </c>
      <c r="B41" s="211"/>
      <c r="C41" s="248"/>
      <c r="D41" s="248"/>
      <c r="E41" s="248"/>
      <c r="F41" s="248"/>
      <c r="G41" s="248"/>
      <c r="H41" s="248"/>
      <c r="I41" s="248"/>
      <c r="J41" s="212" t="str">
        <f t="shared" si="9"/>
        <v/>
      </c>
      <c r="K41" s="213" t="str">
        <f t="shared" si="10"/>
        <v/>
      </c>
      <c r="L41" s="160"/>
      <c r="M41" s="160"/>
      <c r="N41" s="214"/>
      <c r="O41" s="175"/>
      <c r="P41" s="175"/>
      <c r="Q41" s="175"/>
      <c r="R41" s="175"/>
      <c r="S41" s="175"/>
      <c r="T41" s="175"/>
      <c r="U41" s="175"/>
      <c r="V41" s="175"/>
      <c r="W41" s="215"/>
      <c r="X41" s="207"/>
      <c r="Y41" s="207"/>
      <c r="Z41" s="207"/>
      <c r="AA41" s="207"/>
      <c r="AB41" s="207"/>
      <c r="AC41" s="207"/>
      <c r="AD41" s="208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  <c r="AP41" s="173"/>
      <c r="AQ41" s="173"/>
      <c r="AR41" s="151"/>
      <c r="AS41" s="173"/>
      <c r="AT41" s="173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</row>
    <row r="42" spans="1:59" ht="12.75">
      <c r="A42" s="210" t="str">
        <f t="shared" si="8"/>
        <v>Quỳ Châu</v>
      </c>
      <c r="B42" s="211"/>
      <c r="C42" s="248"/>
      <c r="D42" s="248"/>
      <c r="E42" s="248"/>
      <c r="F42" s="248"/>
      <c r="G42" s="248"/>
      <c r="H42" s="248"/>
      <c r="I42" s="248"/>
      <c r="J42" s="212" t="str">
        <f t="shared" si="9"/>
        <v/>
      </c>
      <c r="K42" s="213" t="str">
        <f t="shared" si="10"/>
        <v/>
      </c>
      <c r="L42" s="160"/>
      <c r="M42" s="160"/>
      <c r="N42" s="214"/>
      <c r="O42" s="175"/>
      <c r="P42" s="175"/>
      <c r="Q42" s="175"/>
      <c r="R42" s="175"/>
      <c r="S42" s="175"/>
      <c r="T42" s="175"/>
      <c r="U42" s="175"/>
      <c r="V42" s="175"/>
      <c r="W42" s="215"/>
      <c r="X42" s="207"/>
      <c r="Y42" s="207"/>
      <c r="Z42" s="207"/>
      <c r="AA42" s="207"/>
      <c r="AB42" s="207"/>
      <c r="AC42" s="207"/>
      <c r="AD42" s="208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51"/>
      <c r="AS42" s="173"/>
      <c r="AT42" s="173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</row>
    <row r="43" spans="1:59" ht="12.75">
      <c r="A43" s="210" t="str">
        <f t="shared" si="8"/>
        <v>Quỳ Hợp</v>
      </c>
      <c r="B43" s="211"/>
      <c r="C43" s="248"/>
      <c r="D43" s="248"/>
      <c r="E43" s="248"/>
      <c r="F43" s="248"/>
      <c r="G43" s="248"/>
      <c r="H43" s="248"/>
      <c r="I43" s="248"/>
      <c r="J43" s="212" t="str">
        <f t="shared" si="9"/>
        <v/>
      </c>
      <c r="K43" s="213" t="str">
        <f t="shared" si="10"/>
        <v/>
      </c>
      <c r="L43" s="160"/>
      <c r="M43" s="160"/>
      <c r="N43" s="214"/>
      <c r="O43" s="175"/>
      <c r="P43" s="175"/>
      <c r="Q43" s="175"/>
      <c r="R43" s="175"/>
      <c r="S43" s="175"/>
      <c r="T43" s="175"/>
      <c r="U43" s="175"/>
      <c r="V43" s="175"/>
      <c r="W43" s="215"/>
      <c r="X43" s="207"/>
      <c r="Y43" s="207"/>
      <c r="Z43" s="207"/>
      <c r="AA43" s="207"/>
      <c r="AB43" s="207"/>
      <c r="AC43" s="207"/>
      <c r="AD43" s="208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51"/>
      <c r="AS43" s="173"/>
      <c r="AT43" s="173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</row>
    <row r="44" spans="1:59" ht="12.75">
      <c r="A44" s="210" t="str">
        <f t="shared" si="8"/>
        <v>Quỳnh Lưu</v>
      </c>
      <c r="B44" s="211"/>
      <c r="C44" s="248"/>
      <c r="D44" s="248"/>
      <c r="E44" s="248"/>
      <c r="F44" s="248"/>
      <c r="G44" s="248"/>
      <c r="H44" s="248"/>
      <c r="I44" s="248"/>
      <c r="J44" s="212" t="str">
        <f t="shared" si="9"/>
        <v/>
      </c>
      <c r="K44" s="213" t="str">
        <f t="shared" si="10"/>
        <v/>
      </c>
      <c r="L44" s="160"/>
      <c r="M44" s="160"/>
      <c r="N44" s="214"/>
      <c r="O44" s="175"/>
      <c r="P44" s="175"/>
      <c r="Q44" s="175"/>
      <c r="R44" s="175"/>
      <c r="S44" s="175"/>
      <c r="T44" s="175"/>
      <c r="U44" s="175"/>
      <c r="V44" s="175"/>
      <c r="W44" s="215"/>
      <c r="X44" s="207"/>
      <c r="Y44" s="207"/>
      <c r="Z44" s="207"/>
      <c r="AA44" s="207"/>
      <c r="AB44" s="207"/>
      <c r="AC44" s="207"/>
      <c r="AD44" s="208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  <c r="AP44" s="173"/>
      <c r="AQ44" s="173"/>
      <c r="AR44" s="151"/>
      <c r="AS44" s="173"/>
      <c r="AT44" s="173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</row>
    <row r="45" spans="1:59" ht="12.75">
      <c r="A45" s="210" t="str">
        <f t="shared" si="8"/>
        <v>Con Cuông</v>
      </c>
      <c r="B45" s="211"/>
      <c r="C45" s="248"/>
      <c r="D45" s="248"/>
      <c r="E45" s="248"/>
      <c r="F45" s="248"/>
      <c r="G45" s="248"/>
      <c r="H45" s="248"/>
      <c r="I45" s="248"/>
      <c r="J45" s="212" t="str">
        <f t="shared" si="9"/>
        <v/>
      </c>
      <c r="K45" s="213" t="str">
        <f t="shared" si="10"/>
        <v/>
      </c>
      <c r="L45" s="160"/>
      <c r="M45" s="160"/>
      <c r="N45" s="214"/>
      <c r="O45" s="175"/>
      <c r="P45" s="175"/>
      <c r="Q45" s="175"/>
      <c r="R45" s="175"/>
      <c r="S45" s="175"/>
      <c r="T45" s="175"/>
      <c r="U45" s="175"/>
      <c r="V45" s="175"/>
      <c r="W45" s="215"/>
      <c r="X45" s="207"/>
      <c r="Y45" s="207"/>
      <c r="Z45" s="207"/>
      <c r="AA45" s="207"/>
      <c r="AB45" s="207"/>
      <c r="AC45" s="207"/>
      <c r="AD45" s="208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  <c r="AP45" s="173"/>
      <c r="AQ45" s="173"/>
      <c r="AR45" s="151"/>
      <c r="AS45" s="173"/>
      <c r="AT45" s="173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</row>
    <row r="46" spans="1:59" ht="12.75">
      <c r="A46" s="210" t="str">
        <f t="shared" si="8"/>
        <v>Hòn Ngư</v>
      </c>
      <c r="B46" s="211"/>
      <c r="C46" s="248"/>
      <c r="D46" s="248"/>
      <c r="E46" s="248"/>
      <c r="F46" s="248"/>
      <c r="G46" s="248"/>
      <c r="H46" s="248"/>
      <c r="I46" s="248"/>
      <c r="J46" s="212" t="str">
        <f t="shared" si="9"/>
        <v/>
      </c>
      <c r="K46" s="213" t="str">
        <f t="shared" si="10"/>
        <v/>
      </c>
      <c r="L46" s="160"/>
      <c r="M46" s="160"/>
      <c r="N46" s="214"/>
      <c r="O46" s="175"/>
      <c r="P46" s="175"/>
      <c r="Q46" s="175"/>
      <c r="R46" s="175"/>
      <c r="S46" s="175"/>
      <c r="T46" s="175"/>
      <c r="U46" s="175"/>
      <c r="V46" s="175"/>
      <c r="W46" s="215"/>
      <c r="X46" s="207"/>
      <c r="Y46" s="207"/>
      <c r="Z46" s="207"/>
      <c r="AA46" s="207"/>
      <c r="AB46" s="207"/>
      <c r="AC46" s="207"/>
      <c r="AD46" s="208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51"/>
      <c r="AS46" s="173"/>
      <c r="AT46" s="173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</row>
    <row r="47" spans="1:59" ht="12.75">
      <c r="A47" s="210" t="str">
        <f t="shared" si="8"/>
        <v>Tương Dương</v>
      </c>
      <c r="B47" s="211"/>
      <c r="C47" s="248"/>
      <c r="D47" s="248"/>
      <c r="E47" s="248"/>
      <c r="F47" s="248"/>
      <c r="G47" s="248"/>
      <c r="H47" s="248"/>
      <c r="I47" s="248"/>
      <c r="J47" s="212" t="str">
        <f t="shared" si="9"/>
        <v/>
      </c>
      <c r="K47" s="213" t="str">
        <f t="shared" si="10"/>
        <v/>
      </c>
      <c r="L47" s="160"/>
      <c r="M47" s="160"/>
      <c r="N47" s="214"/>
      <c r="O47" s="175"/>
      <c r="P47" s="175"/>
      <c r="Q47" s="175"/>
      <c r="R47" s="175"/>
      <c r="S47" s="175"/>
      <c r="T47" s="175"/>
      <c r="U47" s="175"/>
      <c r="V47" s="175"/>
      <c r="W47" s="215"/>
      <c r="X47" s="207"/>
      <c r="Y47" s="207"/>
      <c r="Z47" s="207"/>
      <c r="AA47" s="207"/>
      <c r="AB47" s="207"/>
      <c r="AC47" s="207"/>
      <c r="AD47" s="208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51"/>
      <c r="AS47" s="173"/>
      <c r="AT47" s="173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</row>
    <row r="48" spans="1:59" ht="12.75">
      <c r="A48" s="210" t="str">
        <f t="shared" si="8"/>
        <v>Hà Tĩnh</v>
      </c>
      <c r="B48" s="211"/>
      <c r="C48" s="248"/>
      <c r="D48" s="248"/>
      <c r="E48" s="248"/>
      <c r="F48" s="248"/>
      <c r="G48" s="248"/>
      <c r="H48" s="248"/>
      <c r="I48" s="248"/>
      <c r="J48" s="212" t="str">
        <f t="shared" si="9"/>
        <v/>
      </c>
      <c r="K48" s="213" t="str">
        <f t="shared" si="10"/>
        <v/>
      </c>
      <c r="L48" s="160"/>
      <c r="M48" s="160"/>
      <c r="N48" s="214"/>
      <c r="O48" s="175"/>
      <c r="P48" s="175"/>
      <c r="Q48" s="175"/>
      <c r="R48" s="175"/>
      <c r="S48" s="175"/>
      <c r="T48" s="175"/>
      <c r="U48" s="175"/>
      <c r="V48" s="175"/>
      <c r="W48" s="215"/>
      <c r="X48" s="207"/>
      <c r="Y48" s="207"/>
      <c r="Z48" s="207"/>
      <c r="AA48" s="207"/>
      <c r="AB48" s="207"/>
      <c r="AC48" s="207"/>
      <c r="AD48" s="208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51"/>
      <c r="AS48" s="173"/>
      <c r="AT48" s="173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</row>
    <row r="49" spans="1:59" ht="12.75">
      <c r="A49" s="210" t="str">
        <f t="shared" si="8"/>
        <v>Kỳ Anh</v>
      </c>
      <c r="B49" s="211"/>
      <c r="C49" s="248"/>
      <c r="D49" s="248"/>
      <c r="E49" s="248"/>
      <c r="F49" s="248"/>
      <c r="G49" s="248"/>
      <c r="H49" s="248"/>
      <c r="I49" s="248"/>
      <c r="J49" s="212" t="str">
        <f t="shared" si="9"/>
        <v/>
      </c>
      <c r="K49" s="213" t="str">
        <f t="shared" si="10"/>
        <v/>
      </c>
      <c r="L49" s="160"/>
      <c r="M49" s="160"/>
      <c r="N49" s="214"/>
      <c r="O49" s="175"/>
      <c r="P49" s="175"/>
      <c r="Q49" s="175"/>
      <c r="R49" s="175"/>
      <c r="S49" s="175"/>
      <c r="T49" s="175"/>
      <c r="U49" s="175"/>
      <c r="V49" s="175"/>
      <c r="W49" s="215"/>
      <c r="X49" s="207"/>
      <c r="Y49" s="207"/>
      <c r="Z49" s="207"/>
      <c r="AA49" s="207"/>
      <c r="AB49" s="207"/>
      <c r="AC49" s="207"/>
      <c r="AD49" s="208"/>
      <c r="AE49" s="173"/>
      <c r="AF49" s="173"/>
      <c r="AG49" s="173"/>
      <c r="AH49" s="173"/>
      <c r="AI49" s="173"/>
      <c r="AJ49" s="173"/>
      <c r="AK49" s="173"/>
      <c r="AL49" s="173"/>
      <c r="AM49" s="173"/>
      <c r="AN49" s="173"/>
      <c r="AO49" s="173"/>
      <c r="AP49" s="173"/>
      <c r="AQ49" s="173"/>
      <c r="AR49" s="151"/>
      <c r="AS49" s="173"/>
      <c r="AT49" s="173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</row>
    <row r="50" spans="1:59" ht="12.75">
      <c r="A50" s="210" t="str">
        <f t="shared" si="8"/>
        <v>Hương Sơn</v>
      </c>
      <c r="B50" s="211"/>
      <c r="C50" s="248"/>
      <c r="D50" s="248"/>
      <c r="E50" s="248"/>
      <c r="F50" s="248"/>
      <c r="G50" s="248"/>
      <c r="H50" s="248"/>
      <c r="I50" s="248"/>
      <c r="J50" s="212" t="str">
        <f t="shared" si="9"/>
        <v/>
      </c>
      <c r="K50" s="213" t="str">
        <f t="shared" si="10"/>
        <v/>
      </c>
      <c r="L50" s="160"/>
      <c r="M50" s="160"/>
      <c r="N50" s="214"/>
      <c r="O50" s="175"/>
      <c r="P50" s="175"/>
      <c r="Q50" s="175"/>
      <c r="R50" s="175"/>
      <c r="S50" s="175"/>
      <c r="T50" s="175"/>
      <c r="U50" s="175"/>
      <c r="V50" s="175"/>
      <c r="W50" s="215"/>
      <c r="X50" s="207"/>
      <c r="Y50" s="207"/>
      <c r="Z50" s="207"/>
      <c r="AA50" s="207"/>
      <c r="AB50" s="207"/>
      <c r="AC50" s="207"/>
      <c r="AD50" s="208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  <c r="AP50" s="173"/>
      <c r="AQ50" s="173"/>
      <c r="AR50" s="151"/>
      <c r="AS50" s="173"/>
      <c r="AT50" s="173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</row>
    <row r="51" spans="1:59" ht="12.75" customHeight="1">
      <c r="A51" s="210" t="str">
        <f t="shared" si="8"/>
        <v>Hương Khê</v>
      </c>
      <c r="B51" s="211"/>
      <c r="C51" s="248"/>
      <c r="D51" s="248"/>
      <c r="E51" s="248"/>
      <c r="F51" s="248"/>
      <c r="G51" s="248"/>
      <c r="H51" s="248"/>
      <c r="I51" s="248"/>
      <c r="J51" s="212" t="str">
        <f t="shared" si="9"/>
        <v/>
      </c>
      <c r="K51" s="213" t="str">
        <f t="shared" si="10"/>
        <v/>
      </c>
      <c r="L51" s="160"/>
      <c r="M51" s="160"/>
      <c r="N51" s="214"/>
      <c r="O51" s="175"/>
      <c r="P51" s="175"/>
      <c r="Q51" s="175"/>
      <c r="R51" s="175"/>
      <c r="S51" s="175"/>
      <c r="T51" s="175"/>
      <c r="U51" s="175"/>
      <c r="V51" s="175"/>
      <c r="W51" s="215"/>
      <c r="X51" s="207"/>
      <c r="Y51" s="207"/>
      <c r="Z51" s="207"/>
      <c r="AA51" s="207"/>
      <c r="AB51" s="207"/>
      <c r="AC51" s="207"/>
      <c r="AD51" s="208"/>
      <c r="AE51" s="179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  <c r="AP51" s="173"/>
      <c r="AQ51" s="173"/>
      <c r="AR51" s="151"/>
      <c r="AS51" s="173"/>
      <c r="AT51" s="173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</row>
    <row r="52" spans="1:59" ht="12.75" customHeight="1">
      <c r="A52" s="210" t="str">
        <f t="shared" si="8"/>
        <v>Hoành Sơn</v>
      </c>
      <c r="B52" s="211"/>
      <c r="C52" s="248"/>
      <c r="D52" s="248"/>
      <c r="E52" s="248"/>
      <c r="F52" s="248"/>
      <c r="G52" s="248"/>
      <c r="H52" s="248"/>
      <c r="I52" s="248"/>
      <c r="J52" s="212" t="str">
        <f t="shared" si="9"/>
        <v/>
      </c>
      <c r="K52" s="213" t="str">
        <f t="shared" si="10"/>
        <v/>
      </c>
      <c r="L52" s="160"/>
      <c r="M52" s="160"/>
      <c r="N52" s="214"/>
      <c r="O52" s="175"/>
      <c r="P52" s="175"/>
      <c r="Q52" s="175"/>
      <c r="R52" s="175"/>
      <c r="S52" s="175"/>
      <c r="T52" s="175"/>
      <c r="U52" s="175"/>
      <c r="V52" s="175"/>
      <c r="W52" s="215"/>
      <c r="X52" s="207"/>
      <c r="Y52" s="207"/>
      <c r="Z52" s="207"/>
      <c r="AA52" s="207"/>
      <c r="AB52" s="207"/>
      <c r="AC52" s="207"/>
      <c r="AD52" s="208"/>
      <c r="AE52" s="179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  <c r="AP52" s="173"/>
      <c r="AQ52" s="173"/>
      <c r="AR52" s="151"/>
      <c r="AS52" s="173"/>
      <c r="AT52" s="173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</row>
    <row r="53" spans="1:59" ht="10.5" customHeight="1" thickBot="1">
      <c r="A53" s="185"/>
      <c r="B53" s="249"/>
      <c r="C53" s="251"/>
      <c r="D53" s="250"/>
      <c r="E53" s="250"/>
      <c r="F53" s="250"/>
      <c r="G53" s="250"/>
      <c r="H53" s="250"/>
      <c r="I53" s="250"/>
      <c r="J53" s="177"/>
      <c r="K53" s="177"/>
      <c r="L53" s="216"/>
      <c r="M53" s="216"/>
      <c r="N53" s="216"/>
      <c r="O53" s="176"/>
      <c r="P53" s="217"/>
      <c r="Q53" s="176"/>
      <c r="R53" s="176"/>
      <c r="S53" s="176"/>
      <c r="T53" s="176"/>
      <c r="U53" s="176"/>
      <c r="V53" s="176"/>
      <c r="W53" s="209"/>
      <c r="X53" s="209"/>
      <c r="Y53" s="209"/>
      <c r="Z53" s="209"/>
      <c r="AA53" s="209"/>
      <c r="AB53" s="218"/>
      <c r="AC53" s="218"/>
      <c r="AD53" s="219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</row>
    <row r="54" spans="1:59">
      <c r="B54" s="54"/>
      <c r="K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159"/>
      <c r="AF54" s="159"/>
      <c r="AG54" s="159"/>
      <c r="AH54" s="159"/>
      <c r="AI54" s="159"/>
      <c r="AJ54" s="159"/>
      <c r="AK54" s="159"/>
      <c r="AL54" s="159"/>
      <c r="AM54" s="159"/>
    </row>
    <row r="55" spans="1:59" s="118" customFormat="1" ht="14.25" hidden="1" customHeight="1">
      <c r="A55" s="130" t="s">
        <v>105</v>
      </c>
      <c r="B55" s="85" t="str">
        <f t="shared" ref="B55:I57" si="11">IF(COUNT(O31)&gt;0,O31,"")</f>
        <v/>
      </c>
      <c r="C55" s="85" t="str">
        <f t="shared" si="11"/>
        <v/>
      </c>
      <c r="D55" s="85" t="str">
        <f t="shared" si="11"/>
        <v/>
      </c>
      <c r="E55" s="85" t="str">
        <f t="shared" si="11"/>
        <v/>
      </c>
      <c r="F55" s="85" t="str">
        <f t="shared" si="11"/>
        <v/>
      </c>
      <c r="G55" s="85" t="str">
        <f t="shared" si="11"/>
        <v/>
      </c>
      <c r="H55" s="85" t="str">
        <f t="shared" si="11"/>
        <v/>
      </c>
      <c r="I55" s="85" t="str">
        <f t="shared" si="11"/>
        <v/>
      </c>
    </row>
    <row r="56" spans="1:59" s="118" customFormat="1" ht="14.25" hidden="1" customHeight="1">
      <c r="A56" s="131" t="s">
        <v>106</v>
      </c>
      <c r="B56" s="85" t="str">
        <f t="shared" si="11"/>
        <v/>
      </c>
      <c r="C56" s="85" t="str">
        <f t="shared" si="11"/>
        <v/>
      </c>
      <c r="D56" s="85" t="str">
        <f t="shared" si="11"/>
        <v/>
      </c>
      <c r="E56" s="85" t="str">
        <f t="shared" si="11"/>
        <v/>
      </c>
      <c r="F56" s="85" t="str">
        <f t="shared" si="11"/>
        <v/>
      </c>
      <c r="G56" s="85" t="str">
        <f t="shared" si="11"/>
        <v/>
      </c>
      <c r="H56" s="85" t="str">
        <f t="shared" si="11"/>
        <v/>
      </c>
      <c r="I56" s="85" t="str">
        <f t="shared" si="11"/>
        <v/>
      </c>
      <c r="K56" s="128"/>
      <c r="L56" s="128"/>
      <c r="M56" s="128"/>
      <c r="N56" s="128"/>
      <c r="O56" s="128"/>
      <c r="P56" s="128"/>
      <c r="Q56" s="128"/>
      <c r="R56" s="128"/>
    </row>
    <row r="57" spans="1:59" s="118" customFormat="1" ht="14.25" hidden="1" customHeight="1">
      <c r="A57" s="130" t="s">
        <v>107</v>
      </c>
      <c r="B57" s="85" t="str">
        <f t="shared" si="11"/>
        <v/>
      </c>
      <c r="C57" s="85" t="str">
        <f t="shared" si="11"/>
        <v/>
      </c>
      <c r="D57" s="85" t="str">
        <f t="shared" si="11"/>
        <v/>
      </c>
      <c r="E57" s="85" t="str">
        <f t="shared" si="11"/>
        <v/>
      </c>
      <c r="F57" s="85" t="str">
        <f t="shared" si="11"/>
        <v/>
      </c>
      <c r="G57" s="85" t="str">
        <f t="shared" si="11"/>
        <v/>
      </c>
      <c r="H57" s="85" t="str">
        <f t="shared" si="11"/>
        <v/>
      </c>
      <c r="I57" s="85" t="str">
        <f t="shared" si="11"/>
        <v/>
      </c>
      <c r="K57" s="128"/>
      <c r="L57" s="128"/>
      <c r="M57" s="128"/>
      <c r="N57" s="128"/>
      <c r="O57" s="128"/>
      <c r="P57" s="128"/>
      <c r="Q57" s="128"/>
      <c r="R57" s="128"/>
    </row>
    <row r="58" spans="1:59" s="118" customFormat="1" ht="14.25" hidden="1" customHeight="1">
      <c r="A58" s="129" t="s">
        <v>108</v>
      </c>
      <c r="B58" s="85" t="str">
        <f t="shared" ref="B58:I58" si="12">IF(COUNT(O35)&gt;0,O35,"")</f>
        <v/>
      </c>
      <c r="C58" s="85" t="str">
        <f t="shared" si="12"/>
        <v/>
      </c>
      <c r="D58" s="85" t="str">
        <f t="shared" si="12"/>
        <v/>
      </c>
      <c r="E58" s="85" t="str">
        <f t="shared" si="12"/>
        <v/>
      </c>
      <c r="F58" s="85" t="str">
        <f t="shared" si="12"/>
        <v/>
      </c>
      <c r="G58" s="85" t="str">
        <f t="shared" si="12"/>
        <v/>
      </c>
      <c r="H58" s="85" t="str">
        <f t="shared" si="12"/>
        <v/>
      </c>
      <c r="I58" s="85" t="str">
        <f t="shared" si="12"/>
        <v/>
      </c>
    </row>
    <row r="59" spans="1:59" s="118" customFormat="1" ht="14.25" hidden="1" customHeight="1">
      <c r="A59" s="130" t="s">
        <v>109</v>
      </c>
      <c r="B59" s="85" t="str">
        <f t="shared" ref="B59:I59" si="13">IF(COUNT(O39)&gt;0,O39,"")</f>
        <v/>
      </c>
      <c r="C59" s="85" t="str">
        <f t="shared" si="13"/>
        <v/>
      </c>
      <c r="D59" s="85" t="str">
        <f t="shared" si="13"/>
        <v/>
      </c>
      <c r="E59" s="85" t="str">
        <f t="shared" si="13"/>
        <v/>
      </c>
      <c r="F59" s="85" t="str">
        <f t="shared" si="13"/>
        <v/>
      </c>
      <c r="G59" s="85" t="str">
        <f t="shared" si="13"/>
        <v/>
      </c>
      <c r="H59" s="85" t="str">
        <f t="shared" si="13"/>
        <v/>
      </c>
      <c r="I59" s="85" t="str">
        <f t="shared" si="13"/>
        <v/>
      </c>
    </row>
    <row r="60" spans="1:59" s="118" customFormat="1" ht="14.25" hidden="1" customHeight="1">
      <c r="A60" s="130" t="s">
        <v>110</v>
      </c>
      <c r="B60" s="85" t="str">
        <f t="shared" ref="B60:I61" si="14">IF(COUNT(O44)&gt;0,O44,"")</f>
        <v/>
      </c>
      <c r="C60" s="85" t="str">
        <f t="shared" si="14"/>
        <v/>
      </c>
      <c r="D60" s="85" t="str">
        <f t="shared" si="14"/>
        <v/>
      </c>
      <c r="E60" s="85" t="str">
        <f t="shared" si="14"/>
        <v/>
      </c>
      <c r="F60" s="85" t="str">
        <f t="shared" si="14"/>
        <v/>
      </c>
      <c r="G60" s="85" t="str">
        <f t="shared" si="14"/>
        <v/>
      </c>
      <c r="H60" s="85" t="str">
        <f t="shared" si="14"/>
        <v/>
      </c>
      <c r="I60" s="85" t="str">
        <f t="shared" si="14"/>
        <v/>
      </c>
    </row>
    <row r="61" spans="1:59" s="118" customFormat="1" ht="14.25" hidden="1" customHeight="1">
      <c r="A61" s="130" t="s">
        <v>111</v>
      </c>
      <c r="B61" s="85" t="str">
        <f t="shared" si="14"/>
        <v/>
      </c>
      <c r="C61" s="85" t="str">
        <f t="shared" si="14"/>
        <v/>
      </c>
      <c r="D61" s="85" t="str">
        <f t="shared" si="14"/>
        <v/>
      </c>
      <c r="E61" s="85" t="str">
        <f t="shared" si="14"/>
        <v/>
      </c>
      <c r="F61" s="85" t="str">
        <f t="shared" si="14"/>
        <v/>
      </c>
      <c r="G61" s="85" t="str">
        <f t="shared" si="14"/>
        <v/>
      </c>
      <c r="H61" s="85" t="str">
        <f t="shared" si="14"/>
        <v/>
      </c>
      <c r="I61" s="85" t="str">
        <f t="shared" si="14"/>
        <v/>
      </c>
    </row>
    <row r="62" spans="1:59" hidden="1">
      <c r="A62" s="51"/>
      <c r="B62" s="159"/>
      <c r="C62" s="159"/>
      <c r="K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</row>
    <row r="63" spans="1:59" hidden="1">
      <c r="A63" s="51"/>
      <c r="B63" s="159"/>
      <c r="C63" s="159"/>
      <c r="K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</row>
    <row r="64" spans="1:59" hidden="1">
      <c r="A64" s="51"/>
      <c r="B64" s="159"/>
      <c r="C64" s="159"/>
      <c r="K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</row>
    <row r="65" spans="1:31" hidden="1">
      <c r="A65" s="51"/>
      <c r="B65" s="159"/>
      <c r="C65" s="159"/>
      <c r="K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</row>
    <row r="66" spans="1:31" hidden="1">
      <c r="A66" s="51"/>
      <c r="B66" s="159"/>
      <c r="C66" s="159"/>
      <c r="K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</row>
    <row r="67" spans="1:31" hidden="1">
      <c r="A67" s="51"/>
      <c r="B67" s="159"/>
      <c r="C67" s="159"/>
      <c r="K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</row>
    <row r="68" spans="1:31" hidden="1">
      <c r="A68" s="51"/>
      <c r="B68" s="159"/>
      <c r="C68" s="159"/>
      <c r="K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</row>
    <row r="69" spans="1:31" hidden="1">
      <c r="A69" s="51"/>
      <c r="B69" s="159"/>
      <c r="C69" s="159"/>
      <c r="K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</row>
    <row r="70" spans="1:31" hidden="1">
      <c r="A70" s="51"/>
      <c r="B70" s="159"/>
      <c r="C70" s="159"/>
      <c r="K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</row>
    <row r="71" spans="1:31" hidden="1">
      <c r="A71" s="51"/>
      <c r="B71" s="159"/>
      <c r="C71" s="159"/>
      <c r="K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</row>
    <row r="72" spans="1:31" hidden="1">
      <c r="A72" s="51"/>
      <c r="B72" s="159"/>
      <c r="C72" s="159"/>
      <c r="K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</row>
    <row r="73" spans="1:31" hidden="1">
      <c r="A73" s="51"/>
      <c r="B73" s="159"/>
      <c r="C73" s="159"/>
      <c r="K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</row>
    <row r="74" spans="1:31" hidden="1">
      <c r="A74" s="51"/>
      <c r="B74" s="159"/>
      <c r="C74" s="159"/>
      <c r="K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</row>
    <row r="75" spans="1:31" hidden="1">
      <c r="A75" s="51"/>
      <c r="B75" s="159"/>
      <c r="C75" s="159"/>
      <c r="K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</row>
    <row r="76" spans="1:31" hidden="1">
      <c r="A76" s="51"/>
      <c r="B76" s="159"/>
      <c r="C76" s="159"/>
      <c r="K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</row>
    <row r="77" spans="1:31" hidden="1">
      <c r="A77" s="51"/>
      <c r="B77" s="159"/>
      <c r="C77" s="159"/>
      <c r="K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</row>
    <row r="78" spans="1:31" hidden="1">
      <c r="A78" s="51"/>
      <c r="B78" s="159"/>
      <c r="C78" s="159"/>
      <c r="K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</row>
    <row r="79" spans="1:31" hidden="1">
      <c r="B79" s="54"/>
      <c r="K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</row>
    <row r="80" spans="1:31" hidden="1">
      <c r="B80" s="54"/>
      <c r="K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</row>
    <row r="81" spans="2:31" hidden="1">
      <c r="B81" s="54"/>
      <c r="K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</row>
    <row r="82" spans="2:31" hidden="1">
      <c r="B82" s="54"/>
      <c r="K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</row>
    <row r="83" spans="2:31" hidden="1">
      <c r="B83" s="54"/>
      <c r="K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</row>
    <row r="84" spans="2:31" hidden="1">
      <c r="B84" s="54"/>
      <c r="K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</row>
    <row r="85" spans="2:31" hidden="1">
      <c r="B85" s="54"/>
      <c r="K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</row>
    <row r="86" spans="2:31" hidden="1">
      <c r="B86" s="54"/>
      <c r="K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</row>
    <row r="87" spans="2:31" hidden="1">
      <c r="B87" s="54"/>
      <c r="K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</row>
    <row r="88" spans="2:31" hidden="1">
      <c r="B88" s="54"/>
      <c r="K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</row>
    <row r="89" spans="2:31" hidden="1">
      <c r="B89" s="54"/>
      <c r="K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</row>
    <row r="90" spans="2:31" hidden="1">
      <c r="B90" s="54"/>
      <c r="K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</row>
    <row r="91" spans="2:31" hidden="1">
      <c r="B91" s="54"/>
      <c r="K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</row>
    <row r="92" spans="2:31" hidden="1">
      <c r="B92" s="54"/>
      <c r="K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</row>
    <row r="93" spans="2:31" hidden="1">
      <c r="B93" s="54"/>
      <c r="K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</row>
    <row r="94" spans="2:31" hidden="1">
      <c r="B94" s="54"/>
      <c r="K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</row>
    <row r="95" spans="2:31" hidden="1">
      <c r="B95" s="54"/>
      <c r="K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</row>
    <row r="96" spans="2:31" hidden="1">
      <c r="B96" s="54"/>
      <c r="K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</row>
    <row r="97" spans="2:31" hidden="1">
      <c r="B97" s="54"/>
      <c r="K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</row>
    <row r="98" spans="2:31" hidden="1">
      <c r="B98" s="54"/>
      <c r="K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</row>
    <row r="99" spans="2:31" hidden="1">
      <c r="B99" s="54"/>
      <c r="K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</row>
    <row r="100" spans="2:31" hidden="1">
      <c r="B100" s="54"/>
      <c r="K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</row>
    <row r="101" spans="2:31" hidden="1">
      <c r="B101" s="54"/>
      <c r="K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</row>
    <row r="102" spans="2:31" hidden="1">
      <c r="B102" s="54"/>
      <c r="K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</row>
    <row r="103" spans="2:31" hidden="1">
      <c r="B103" s="54"/>
      <c r="K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</row>
    <row r="104" spans="2:31" hidden="1">
      <c r="B104" s="54"/>
      <c r="K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</row>
    <row r="105" spans="2:31" hidden="1">
      <c r="B105" s="54"/>
      <c r="K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</row>
    <row r="106" spans="2:31" hidden="1">
      <c r="B106" s="54"/>
      <c r="K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</row>
    <row r="107" spans="2:31" hidden="1">
      <c r="B107" s="54"/>
      <c r="K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BG108"/>
  <sheetViews>
    <sheetView showGridLines="0" zoomScaleNormal="100" workbookViewId="0">
      <selection activeCell="A6" sqref="A6"/>
    </sheetView>
  </sheetViews>
  <sheetFormatPr defaultColWidth="0" defaultRowHeight="11.25" zeroHeight="1"/>
  <cols>
    <col min="1" max="1" width="15" style="1" customWidth="1"/>
    <col min="2" max="2" width="6.83203125" style="1" customWidth="1"/>
    <col min="3" max="10" width="5.83203125" style="54" customWidth="1"/>
    <col min="11" max="11" width="5.83203125" style="118" customWidth="1"/>
    <col min="12" max="13" width="5.83203125" style="54" customWidth="1"/>
    <col min="14" max="17" width="6.83203125" style="54" customWidth="1"/>
    <col min="18" max="26" width="6.83203125" style="118" customWidth="1"/>
    <col min="27" max="27" width="6.1640625" style="118" customWidth="1"/>
    <col min="28" max="31" width="6" style="118" customWidth="1"/>
    <col min="32" max="32" width="5.83203125" style="1" customWidth="1"/>
    <col min="33" max="34" width="6" style="1" customWidth="1"/>
    <col min="35" max="35" width="6.6640625" style="1" customWidth="1"/>
    <col min="36" max="36" width="6.33203125" style="1" hidden="1" customWidth="1"/>
    <col min="37" max="16384" width="6" style="1" hidden="1"/>
  </cols>
  <sheetData>
    <row r="1" spans="1:49" s="118" customFormat="1" ht="24" customHeight="1" thickBot="1">
      <c r="A1" s="54"/>
      <c r="B1" s="186"/>
      <c r="C1" s="187"/>
      <c r="D1" s="526" t="s">
        <v>78</v>
      </c>
      <c r="E1" s="526"/>
      <c r="F1" s="526"/>
      <c r="G1" s="526"/>
      <c r="H1" s="526"/>
      <c r="I1" s="526"/>
      <c r="J1" s="526"/>
      <c r="K1" s="526"/>
      <c r="L1" s="526"/>
      <c r="M1" s="526"/>
      <c r="N1" s="526"/>
      <c r="O1" s="526"/>
      <c r="P1" s="526"/>
      <c r="Q1" s="526"/>
      <c r="R1" s="526"/>
      <c r="S1" s="526"/>
      <c r="T1" s="526"/>
      <c r="U1" s="526"/>
      <c r="V1" s="526"/>
      <c r="W1" s="526"/>
      <c r="X1" s="527"/>
      <c r="Y1" s="527"/>
      <c r="Z1" s="527"/>
      <c r="AA1" s="168"/>
      <c r="AB1" s="168"/>
      <c r="AC1" s="168"/>
      <c r="AD1" s="168"/>
      <c r="AE1" s="168"/>
      <c r="AF1" s="168"/>
      <c r="AG1" s="168"/>
      <c r="AH1" s="168"/>
      <c r="AI1" s="172"/>
      <c r="AJ1" s="172"/>
      <c r="AK1" s="120"/>
      <c r="AL1" s="120"/>
      <c r="AM1" s="120"/>
      <c r="AN1" s="120"/>
      <c r="AO1" s="120"/>
      <c r="AP1" s="120"/>
    </row>
    <row r="2" spans="1:49" s="118" customFormat="1" ht="12" thickBot="1">
      <c r="A2" s="188"/>
      <c r="B2" s="188"/>
      <c r="C2" s="189" t="s">
        <v>37</v>
      </c>
      <c r="D2" s="190"/>
      <c r="E2" s="190"/>
      <c r="F2" s="190"/>
      <c r="G2" s="190"/>
      <c r="H2" s="190"/>
      <c r="I2" s="190"/>
      <c r="J2" s="191"/>
      <c r="K2" s="189" t="s">
        <v>37</v>
      </c>
      <c r="L2" s="190"/>
      <c r="M2" s="191"/>
      <c r="N2" s="528" t="s">
        <v>40</v>
      </c>
      <c r="O2" s="529"/>
      <c r="P2" s="529"/>
      <c r="Q2" s="529"/>
      <c r="R2" s="529"/>
      <c r="S2" s="528" t="s">
        <v>83</v>
      </c>
      <c r="T2" s="529"/>
      <c r="U2" s="529"/>
      <c r="V2" s="529"/>
      <c r="W2" s="529"/>
      <c r="X2" s="529"/>
      <c r="Y2" s="529"/>
      <c r="Z2" s="530"/>
      <c r="AA2" s="528" t="s">
        <v>127</v>
      </c>
      <c r="AB2" s="529"/>
      <c r="AC2" s="529"/>
      <c r="AD2" s="529"/>
      <c r="AE2" s="529"/>
      <c r="AF2" s="529"/>
      <c r="AG2" s="529"/>
      <c r="AH2" s="530"/>
      <c r="AI2" s="196"/>
      <c r="AJ2" s="153"/>
      <c r="AK2" s="154"/>
      <c r="AL2" s="153"/>
      <c r="AM2" s="153"/>
      <c r="AN2" s="153"/>
      <c r="AO2" s="153"/>
      <c r="AP2" s="153"/>
    </row>
    <row r="3" spans="1:49" s="118" customFormat="1" ht="12" thickBot="1">
      <c r="A3" s="192" t="s">
        <v>19</v>
      </c>
      <c r="B3" s="192" t="s">
        <v>41</v>
      </c>
      <c r="C3" s="193">
        <v>22</v>
      </c>
      <c r="D3" s="194">
        <v>1</v>
      </c>
      <c r="E3" s="194">
        <v>4</v>
      </c>
      <c r="F3" s="194">
        <v>7</v>
      </c>
      <c r="G3" s="194">
        <v>10</v>
      </c>
      <c r="H3" s="194">
        <v>13</v>
      </c>
      <c r="I3" s="194">
        <v>16</v>
      </c>
      <c r="J3" s="194">
        <v>19</v>
      </c>
      <c r="K3" s="193" t="s">
        <v>42</v>
      </c>
      <c r="L3" s="194" t="s">
        <v>43</v>
      </c>
      <c r="M3" s="195" t="s">
        <v>44</v>
      </c>
      <c r="N3" s="193">
        <v>1</v>
      </c>
      <c r="O3" s="194">
        <v>7</v>
      </c>
      <c r="P3" s="194">
        <v>13</v>
      </c>
      <c r="Q3" s="194">
        <v>19</v>
      </c>
      <c r="R3" s="197" t="s">
        <v>45</v>
      </c>
      <c r="S3" s="193">
        <v>22</v>
      </c>
      <c r="T3" s="194">
        <v>1</v>
      </c>
      <c r="U3" s="194">
        <v>4</v>
      </c>
      <c r="V3" s="194">
        <v>7</v>
      </c>
      <c r="W3" s="194">
        <v>10</v>
      </c>
      <c r="X3" s="194">
        <v>13</v>
      </c>
      <c r="Y3" s="194">
        <v>16</v>
      </c>
      <c r="Z3" s="195">
        <v>19</v>
      </c>
      <c r="AA3" s="193">
        <v>22</v>
      </c>
      <c r="AB3" s="194">
        <v>1</v>
      </c>
      <c r="AC3" s="194">
        <v>4</v>
      </c>
      <c r="AD3" s="194">
        <v>7</v>
      </c>
      <c r="AE3" s="194">
        <v>10</v>
      </c>
      <c r="AF3" s="194">
        <v>13</v>
      </c>
      <c r="AG3" s="194">
        <v>16</v>
      </c>
      <c r="AH3" s="195">
        <v>19</v>
      </c>
      <c r="AI3" s="54"/>
      <c r="AK3" s="154"/>
      <c r="AL3" s="154"/>
      <c r="AM3" s="154"/>
      <c r="AN3" s="154"/>
      <c r="AO3" s="154"/>
      <c r="AP3" s="154"/>
      <c r="AR3" s="124" t="s">
        <v>46</v>
      </c>
      <c r="AS3" s="125"/>
      <c r="AT3" s="125"/>
      <c r="AU3" s="126"/>
    </row>
    <row r="4" spans="1:49" s="118" customFormat="1" ht="13.5" thickTop="1">
      <c r="A4" s="183" t="s">
        <v>128</v>
      </c>
      <c r="B4" s="220">
        <v>48840</v>
      </c>
      <c r="C4" s="221"/>
      <c r="D4" s="160"/>
      <c r="E4" s="160"/>
      <c r="F4" s="160"/>
      <c r="G4" s="160"/>
      <c r="H4" s="160"/>
      <c r="I4" s="160"/>
      <c r="J4" s="160"/>
      <c r="K4" s="222" t="str">
        <f>IF(COUNT(AR4:AU4)&gt;0,AVERAGE(AR4:AU4)," ")</f>
        <v xml:space="preserve"> </v>
      </c>
      <c r="L4" s="223" t="str">
        <f>IF(COUNT(L31,M31,N31)&gt;0,MIN(L31,M31,N31),"")</f>
        <v/>
      </c>
      <c r="M4" s="243" t="str">
        <f>IF(COUNT(AP31)&gt;0,AP31,"")</f>
        <v/>
      </c>
      <c r="N4" s="160"/>
      <c r="O4" s="160"/>
      <c r="P4" s="160"/>
      <c r="Q4" s="224"/>
      <c r="R4" s="243"/>
      <c r="S4" s="225"/>
      <c r="T4" s="225"/>
      <c r="U4" s="226"/>
      <c r="V4" s="226"/>
      <c r="W4" s="226"/>
      <c r="X4" s="226"/>
      <c r="Y4" s="226"/>
      <c r="Z4" s="227"/>
      <c r="AA4" s="228"/>
      <c r="AB4" s="229"/>
      <c r="AC4" s="229"/>
      <c r="AD4" s="229"/>
      <c r="AE4" s="229"/>
      <c r="AF4" s="229"/>
      <c r="AG4" s="229"/>
      <c r="AH4" s="230"/>
      <c r="AI4" s="54"/>
      <c r="AK4" s="155"/>
      <c r="AL4" s="155"/>
      <c r="AM4" s="155"/>
      <c r="AN4" s="155"/>
      <c r="AO4" s="155"/>
      <c r="AP4" s="155"/>
      <c r="AR4" s="118" t="str">
        <f t="shared" ref="AR4:AT5" si="0">IF(COUNT(D4,H4)=2,AVERAGE(D4,H4)," ")</f>
        <v xml:space="preserve"> </v>
      </c>
      <c r="AS4" s="118" t="str">
        <f t="shared" si="0"/>
        <v xml:space="preserve"> </v>
      </c>
      <c r="AT4" s="118" t="str">
        <f t="shared" si="0"/>
        <v xml:space="preserve"> </v>
      </c>
      <c r="AU4" s="118" t="str">
        <f>IF(COUNT(G4,C4)=2,AVERAGE(G4,C4)," ")</f>
        <v xml:space="preserve"> </v>
      </c>
      <c r="AV4" s="85"/>
      <c r="AW4" s="85"/>
    </row>
    <row r="5" spans="1:49" s="118" customFormat="1" ht="12.75">
      <c r="A5" s="183" t="s">
        <v>129</v>
      </c>
      <c r="B5" s="231" t="s">
        <v>148</v>
      </c>
      <c r="C5" s="232"/>
      <c r="D5" s="160"/>
      <c r="E5" s="160"/>
      <c r="F5" s="160"/>
      <c r="G5" s="160"/>
      <c r="H5" s="160"/>
      <c r="I5" s="160"/>
      <c r="J5" s="160"/>
      <c r="K5" s="222" t="str">
        <f>IF(COUNT(AR5:AU5)&gt;0,AVERAGE(AR5:AU5)," ")</f>
        <v xml:space="preserve"> </v>
      </c>
      <c r="L5" s="223" t="str">
        <f>IF(COUNT(L32,M32,N32)&gt;0,MIN(L32,M32,N32),"")</f>
        <v/>
      </c>
      <c r="M5" s="243" t="str">
        <f>IF(COUNT(AP32)&gt;0,AP32,"")</f>
        <v/>
      </c>
      <c r="N5" s="160"/>
      <c r="O5" s="160"/>
      <c r="P5" s="160"/>
      <c r="Q5" s="224"/>
      <c r="R5" s="243"/>
      <c r="S5" s="225"/>
      <c r="T5" s="225"/>
      <c r="U5" s="226"/>
      <c r="V5" s="226"/>
      <c r="W5" s="226"/>
      <c r="X5" s="226"/>
      <c r="Y5" s="226"/>
      <c r="Z5" s="227"/>
      <c r="AA5" s="228"/>
      <c r="AB5" s="229"/>
      <c r="AC5" s="229"/>
      <c r="AD5" s="229"/>
      <c r="AE5" s="229"/>
      <c r="AF5" s="229"/>
      <c r="AG5" s="229"/>
      <c r="AH5" s="230"/>
      <c r="AI5" s="54"/>
      <c r="AK5" s="155"/>
      <c r="AL5" s="155"/>
      <c r="AM5" s="155"/>
      <c r="AN5" s="155"/>
      <c r="AO5" s="155"/>
      <c r="AP5" s="155"/>
      <c r="AR5" s="118" t="str">
        <f t="shared" si="0"/>
        <v xml:space="preserve"> </v>
      </c>
      <c r="AS5" s="118" t="str">
        <f t="shared" si="0"/>
        <v xml:space="preserve"> </v>
      </c>
      <c r="AT5" s="118" t="str">
        <f t="shared" si="0"/>
        <v xml:space="preserve"> </v>
      </c>
      <c r="AU5" s="118" t="str">
        <f>IF(COUNT(G5,C5)=2,AVERAGE(G5,C5)," ")</f>
        <v xml:space="preserve"> </v>
      </c>
      <c r="AV5" s="85"/>
      <c r="AW5" s="85"/>
    </row>
    <row r="6" spans="1:49" s="118" customFormat="1" ht="12.75">
      <c r="A6" s="183" t="s">
        <v>130</v>
      </c>
      <c r="B6" s="231">
        <v>48842</v>
      </c>
      <c r="C6" s="232"/>
      <c r="D6" s="160"/>
      <c r="E6" s="160"/>
      <c r="F6" s="160"/>
      <c r="G6" s="160"/>
      <c r="H6" s="160"/>
      <c r="I6" s="160"/>
      <c r="J6" s="160"/>
      <c r="K6" s="222" t="str">
        <f t="shared" ref="K6:K25" si="1">IF(COUNT(AR6:AU6)&gt;0,AVERAGE(AR6:AU6)," ")</f>
        <v xml:space="preserve"> </v>
      </c>
      <c r="L6" s="223" t="str">
        <f t="shared" ref="L6:L25" si="2">IF(COUNT(L33,M33,N33)&gt;0,MIN(L33,M33,N33),"")</f>
        <v/>
      </c>
      <c r="M6" s="243" t="str">
        <f t="shared" ref="M6:M25" si="3">IF(COUNT(AP33)&gt;0,AP33,"")</f>
        <v/>
      </c>
      <c r="N6" s="160"/>
      <c r="O6" s="160"/>
      <c r="P6" s="160"/>
      <c r="Q6" s="224"/>
      <c r="R6" s="243"/>
      <c r="S6" s="225"/>
      <c r="T6" s="225"/>
      <c r="U6" s="226"/>
      <c r="V6" s="226"/>
      <c r="W6" s="226"/>
      <c r="X6" s="226"/>
      <c r="Y6" s="226"/>
      <c r="Z6" s="227"/>
      <c r="AA6" s="228"/>
      <c r="AB6" s="229"/>
      <c r="AC6" s="229"/>
      <c r="AD6" s="229"/>
      <c r="AE6" s="229"/>
      <c r="AF6" s="229"/>
      <c r="AG6" s="229"/>
      <c r="AH6" s="230"/>
      <c r="AI6" s="54"/>
      <c r="AK6" s="155"/>
      <c r="AL6" s="155"/>
      <c r="AM6" s="155"/>
      <c r="AN6" s="155"/>
      <c r="AO6" s="155"/>
      <c r="AP6" s="155"/>
      <c r="AR6" s="118" t="str">
        <f t="shared" ref="AR6:AR25" si="4">IF(COUNT(D6,H6)=2,AVERAGE(D6,H6)," ")</f>
        <v xml:space="preserve"> </v>
      </c>
      <c r="AS6" s="118" t="str">
        <f t="shared" ref="AS6:AS25" si="5">IF(COUNT(E6,I6)=2,AVERAGE(E6,I6)," ")</f>
        <v xml:space="preserve"> </v>
      </c>
      <c r="AT6" s="118" t="str">
        <f t="shared" ref="AT6:AT25" si="6">IF(COUNT(F6,J6)=2,AVERAGE(F6,J6)," ")</f>
        <v xml:space="preserve"> </v>
      </c>
      <c r="AU6" s="118" t="str">
        <f t="shared" ref="AU6:AU25" si="7">IF(COUNT(G6,C6)=2,AVERAGE(G6,C6)," ")</f>
        <v xml:space="preserve"> </v>
      </c>
      <c r="AV6" s="85"/>
      <c r="AW6" s="85"/>
    </row>
    <row r="7" spans="1:49" s="118" customFormat="1" ht="12.75">
      <c r="A7" s="183" t="s">
        <v>131</v>
      </c>
      <c r="B7" s="231" t="s">
        <v>149</v>
      </c>
      <c r="C7" s="232"/>
      <c r="D7" s="160"/>
      <c r="E7" s="160"/>
      <c r="F7" s="160"/>
      <c r="G7" s="160"/>
      <c r="H7" s="160"/>
      <c r="I7" s="160"/>
      <c r="J7" s="160"/>
      <c r="K7" s="222" t="str">
        <f t="shared" si="1"/>
        <v xml:space="preserve"> </v>
      </c>
      <c r="L7" s="223" t="str">
        <f t="shared" si="2"/>
        <v/>
      </c>
      <c r="M7" s="243" t="str">
        <f t="shared" si="3"/>
        <v/>
      </c>
      <c r="N7" s="160"/>
      <c r="O7" s="160"/>
      <c r="P7" s="160"/>
      <c r="Q7" s="224"/>
      <c r="R7" s="243"/>
      <c r="S7" s="225"/>
      <c r="T7" s="225"/>
      <c r="U7" s="226"/>
      <c r="V7" s="226"/>
      <c r="W7" s="226"/>
      <c r="X7" s="226"/>
      <c r="Y7" s="226"/>
      <c r="Z7" s="227"/>
      <c r="AA7" s="228"/>
      <c r="AB7" s="229"/>
      <c r="AC7" s="229"/>
      <c r="AD7" s="229"/>
      <c r="AE7" s="229"/>
      <c r="AF7" s="229"/>
      <c r="AG7" s="229"/>
      <c r="AH7" s="230"/>
      <c r="AI7" s="54"/>
      <c r="AK7" s="155"/>
      <c r="AL7" s="155"/>
      <c r="AM7" s="155"/>
      <c r="AN7" s="155"/>
      <c r="AO7" s="155"/>
      <c r="AP7" s="155"/>
      <c r="AR7" s="118" t="str">
        <f t="shared" si="4"/>
        <v xml:space="preserve"> </v>
      </c>
      <c r="AS7" s="118" t="str">
        <f t="shared" si="5"/>
        <v xml:space="preserve"> </v>
      </c>
      <c r="AT7" s="118" t="str">
        <f t="shared" si="6"/>
        <v xml:space="preserve"> </v>
      </c>
      <c r="AU7" s="118" t="str">
        <f t="shared" si="7"/>
        <v xml:space="preserve"> </v>
      </c>
      <c r="AV7" s="85"/>
      <c r="AW7" s="85"/>
    </row>
    <row r="8" spans="1:49" s="118" customFormat="1" ht="12.75">
      <c r="A8" s="183" t="s">
        <v>132</v>
      </c>
      <c r="B8" s="231" t="s">
        <v>150</v>
      </c>
      <c r="C8" s="232"/>
      <c r="D8" s="160"/>
      <c r="E8" s="160"/>
      <c r="F8" s="160"/>
      <c r="G8" s="160"/>
      <c r="H8" s="160"/>
      <c r="I8" s="160"/>
      <c r="J8" s="160"/>
      <c r="K8" s="222" t="str">
        <f t="shared" si="1"/>
        <v xml:space="preserve"> </v>
      </c>
      <c r="L8" s="223" t="str">
        <f t="shared" si="2"/>
        <v/>
      </c>
      <c r="M8" s="243" t="str">
        <f t="shared" si="3"/>
        <v/>
      </c>
      <c r="N8" s="160"/>
      <c r="O8" s="160"/>
      <c r="P8" s="160"/>
      <c r="Q8" s="224"/>
      <c r="R8" s="243"/>
      <c r="S8" s="225"/>
      <c r="T8" s="225"/>
      <c r="U8" s="226"/>
      <c r="V8" s="226"/>
      <c r="W8" s="226"/>
      <c r="X8" s="226"/>
      <c r="Y8" s="226"/>
      <c r="Z8" s="227"/>
      <c r="AA8" s="228"/>
      <c r="AB8" s="229"/>
      <c r="AC8" s="229"/>
      <c r="AD8" s="229"/>
      <c r="AE8" s="229"/>
      <c r="AF8" s="229"/>
      <c r="AG8" s="229"/>
      <c r="AH8" s="230"/>
      <c r="AI8" s="54"/>
      <c r="AK8" s="155"/>
      <c r="AL8" s="155"/>
      <c r="AM8" s="155"/>
      <c r="AN8" s="155"/>
      <c r="AO8" s="155"/>
      <c r="AP8" s="155"/>
      <c r="AR8" s="118" t="str">
        <f t="shared" si="4"/>
        <v xml:space="preserve"> </v>
      </c>
      <c r="AS8" s="118" t="str">
        <f t="shared" si="5"/>
        <v xml:space="preserve"> </v>
      </c>
      <c r="AT8" s="118" t="str">
        <f t="shared" si="6"/>
        <v xml:space="preserve"> </v>
      </c>
      <c r="AU8" s="118" t="str">
        <f t="shared" si="7"/>
        <v xml:space="preserve"> </v>
      </c>
      <c r="AV8" s="85"/>
      <c r="AW8" s="85"/>
    </row>
    <row r="9" spans="1:49" s="118" customFormat="1" ht="12.75">
      <c r="A9" s="183" t="s">
        <v>133</v>
      </c>
      <c r="B9" s="231" t="s">
        <v>151</v>
      </c>
      <c r="C9" s="232"/>
      <c r="D9" s="160"/>
      <c r="E9" s="160"/>
      <c r="F9" s="160"/>
      <c r="G9" s="160"/>
      <c r="H9" s="160"/>
      <c r="I9" s="160"/>
      <c r="J9" s="160"/>
      <c r="K9" s="222" t="str">
        <f t="shared" si="1"/>
        <v xml:space="preserve"> </v>
      </c>
      <c r="L9" s="223" t="str">
        <f t="shared" si="2"/>
        <v/>
      </c>
      <c r="M9" s="243" t="str">
        <f t="shared" si="3"/>
        <v/>
      </c>
      <c r="N9" s="160"/>
      <c r="O9" s="160"/>
      <c r="P9" s="160"/>
      <c r="Q9" s="224"/>
      <c r="R9" s="243"/>
      <c r="S9" s="225"/>
      <c r="T9" s="225"/>
      <c r="U9" s="226"/>
      <c r="V9" s="226"/>
      <c r="W9" s="226"/>
      <c r="X9" s="226"/>
      <c r="Y9" s="226"/>
      <c r="Z9" s="227"/>
      <c r="AA9" s="228"/>
      <c r="AB9" s="229"/>
      <c r="AC9" s="229"/>
      <c r="AD9" s="229"/>
      <c r="AE9" s="229"/>
      <c r="AF9" s="229"/>
      <c r="AG9" s="229"/>
      <c r="AH9" s="230"/>
      <c r="AI9" s="54"/>
      <c r="AK9" s="155"/>
      <c r="AL9" s="155"/>
      <c r="AM9" s="155"/>
      <c r="AN9" s="155"/>
      <c r="AO9" s="155"/>
      <c r="AP9" s="155"/>
      <c r="AR9" s="118" t="str">
        <f t="shared" si="4"/>
        <v xml:space="preserve"> </v>
      </c>
      <c r="AS9" s="118" t="str">
        <f t="shared" si="5"/>
        <v xml:space="preserve"> </v>
      </c>
      <c r="AT9" s="118" t="str">
        <f t="shared" si="6"/>
        <v xml:space="preserve"> </v>
      </c>
      <c r="AU9" s="118" t="str">
        <f t="shared" si="7"/>
        <v xml:space="preserve"> </v>
      </c>
      <c r="AV9" s="85"/>
      <c r="AW9" s="85"/>
    </row>
    <row r="10" spans="1:49" s="118" customFormat="1" ht="12.75">
      <c r="A10" s="183" t="s">
        <v>134</v>
      </c>
      <c r="B10" s="231" t="s">
        <v>152</v>
      </c>
      <c r="C10" s="232"/>
      <c r="D10" s="160"/>
      <c r="E10" s="160"/>
      <c r="F10" s="160"/>
      <c r="G10" s="160"/>
      <c r="H10" s="160"/>
      <c r="I10" s="160"/>
      <c r="J10" s="160"/>
      <c r="K10" s="222" t="str">
        <f t="shared" si="1"/>
        <v xml:space="preserve"> </v>
      </c>
      <c r="L10" s="223" t="str">
        <f t="shared" si="2"/>
        <v/>
      </c>
      <c r="M10" s="243" t="str">
        <f t="shared" si="3"/>
        <v/>
      </c>
      <c r="N10" s="160"/>
      <c r="O10" s="160"/>
      <c r="P10" s="160"/>
      <c r="Q10" s="224"/>
      <c r="R10" s="243"/>
      <c r="S10" s="225"/>
      <c r="T10" s="225"/>
      <c r="U10" s="226"/>
      <c r="V10" s="226"/>
      <c r="W10" s="226"/>
      <c r="X10" s="226"/>
      <c r="Y10" s="226"/>
      <c r="Z10" s="227"/>
      <c r="AA10" s="228"/>
      <c r="AB10" s="229"/>
      <c r="AC10" s="229"/>
      <c r="AD10" s="229"/>
      <c r="AE10" s="229"/>
      <c r="AF10" s="229"/>
      <c r="AG10" s="229"/>
      <c r="AH10" s="230"/>
      <c r="AI10" s="54"/>
      <c r="AK10" s="155"/>
      <c r="AL10" s="155"/>
      <c r="AM10" s="155"/>
      <c r="AN10" s="155"/>
      <c r="AO10" s="155"/>
      <c r="AP10" s="155"/>
      <c r="AR10" s="118" t="str">
        <f t="shared" si="4"/>
        <v xml:space="preserve"> </v>
      </c>
      <c r="AS10" s="118" t="str">
        <f t="shared" si="5"/>
        <v xml:space="preserve"> </v>
      </c>
      <c r="AT10" s="118" t="str">
        <f t="shared" si="6"/>
        <v xml:space="preserve"> </v>
      </c>
      <c r="AU10" s="118" t="str">
        <f t="shared" si="7"/>
        <v xml:space="preserve"> </v>
      </c>
      <c r="AV10" s="85"/>
      <c r="AW10" s="85"/>
    </row>
    <row r="11" spans="1:49" s="118" customFormat="1" ht="12.75">
      <c r="A11" s="183" t="s">
        <v>192</v>
      </c>
      <c r="B11" s="300" t="s">
        <v>189</v>
      </c>
      <c r="C11" s="232"/>
      <c r="D11" s="160"/>
      <c r="E11" s="160"/>
      <c r="F11" s="160"/>
      <c r="G11" s="160"/>
      <c r="H11" s="160"/>
      <c r="I11" s="160"/>
      <c r="J11" s="160"/>
      <c r="K11" s="222" t="str">
        <f t="shared" si="1"/>
        <v xml:space="preserve"> </v>
      </c>
      <c r="L11" s="223" t="str">
        <f t="shared" si="2"/>
        <v/>
      </c>
      <c r="M11" s="243" t="str">
        <f t="shared" si="3"/>
        <v/>
      </c>
      <c r="N11" s="160"/>
      <c r="O11" s="160"/>
      <c r="P11" s="160"/>
      <c r="Q11" s="224"/>
      <c r="R11" s="243"/>
      <c r="S11" s="225"/>
      <c r="T11" s="225"/>
      <c r="U11" s="226"/>
      <c r="V11" s="226"/>
      <c r="W11" s="226"/>
      <c r="X11" s="226"/>
      <c r="Y11" s="226"/>
      <c r="Z11" s="227"/>
      <c r="AA11" s="228"/>
      <c r="AB11" s="229"/>
      <c r="AC11" s="229"/>
      <c r="AD11" s="229"/>
      <c r="AE11" s="229"/>
      <c r="AF11" s="229"/>
      <c r="AG11" s="229"/>
      <c r="AH11" s="230"/>
      <c r="AI11" s="54"/>
      <c r="AK11" s="155"/>
      <c r="AL11" s="155"/>
      <c r="AM11" s="155"/>
      <c r="AN11" s="155"/>
      <c r="AO11" s="155"/>
      <c r="AP11" s="155"/>
      <c r="AR11" s="118" t="str">
        <f t="shared" si="4"/>
        <v xml:space="preserve"> </v>
      </c>
      <c r="AS11" s="118" t="str">
        <f t="shared" si="5"/>
        <v xml:space="preserve"> </v>
      </c>
      <c r="AT11" s="118" t="str">
        <f t="shared" si="6"/>
        <v xml:space="preserve"> </v>
      </c>
      <c r="AU11" s="118" t="str">
        <f t="shared" si="7"/>
        <v xml:space="preserve"> </v>
      </c>
      <c r="AV11" s="85"/>
      <c r="AW11" s="85"/>
    </row>
    <row r="12" spans="1:49" s="118" customFormat="1" ht="12.75">
      <c r="A12" s="183" t="s">
        <v>135</v>
      </c>
      <c r="B12" s="231">
        <v>48845</v>
      </c>
      <c r="C12" s="232"/>
      <c r="D12" s="160"/>
      <c r="E12" s="160"/>
      <c r="F12" s="160"/>
      <c r="G12" s="160"/>
      <c r="H12" s="160"/>
      <c r="I12" s="160"/>
      <c r="J12" s="160"/>
      <c r="K12" s="222" t="str">
        <f t="shared" si="1"/>
        <v xml:space="preserve"> </v>
      </c>
      <c r="L12" s="223" t="str">
        <f t="shared" si="2"/>
        <v/>
      </c>
      <c r="M12" s="243" t="str">
        <f t="shared" si="3"/>
        <v/>
      </c>
      <c r="N12" s="160"/>
      <c r="O12" s="160"/>
      <c r="P12" s="160"/>
      <c r="Q12" s="224"/>
      <c r="R12" s="243"/>
      <c r="S12" s="225"/>
      <c r="T12" s="225"/>
      <c r="U12" s="226"/>
      <c r="V12" s="226"/>
      <c r="W12" s="226"/>
      <c r="X12" s="226"/>
      <c r="Y12" s="226"/>
      <c r="Z12" s="227"/>
      <c r="AA12" s="228"/>
      <c r="AB12" s="229"/>
      <c r="AC12" s="229"/>
      <c r="AD12" s="229"/>
      <c r="AE12" s="229"/>
      <c r="AF12" s="229"/>
      <c r="AG12" s="229"/>
      <c r="AH12" s="230"/>
      <c r="AI12" s="54"/>
      <c r="AK12" s="155"/>
      <c r="AL12" s="155"/>
      <c r="AM12" s="155"/>
      <c r="AN12" s="155"/>
      <c r="AO12" s="155"/>
      <c r="AP12" s="155"/>
      <c r="AR12" s="118" t="str">
        <f t="shared" si="4"/>
        <v xml:space="preserve"> </v>
      </c>
      <c r="AS12" s="118" t="str">
        <f t="shared" si="5"/>
        <v xml:space="preserve"> </v>
      </c>
      <c r="AT12" s="118" t="str">
        <f t="shared" si="6"/>
        <v xml:space="preserve"> </v>
      </c>
      <c r="AU12" s="118" t="str">
        <f t="shared" si="7"/>
        <v xml:space="preserve"> </v>
      </c>
      <c r="AV12" s="85"/>
      <c r="AW12" s="85"/>
    </row>
    <row r="13" spans="1:49" s="118" customFormat="1" ht="12.75">
      <c r="A13" s="183" t="s">
        <v>136</v>
      </c>
      <c r="B13" s="231" t="s">
        <v>153</v>
      </c>
      <c r="C13" s="232"/>
      <c r="D13" s="160"/>
      <c r="E13" s="160"/>
      <c r="F13" s="160"/>
      <c r="G13" s="160"/>
      <c r="H13" s="160"/>
      <c r="I13" s="160"/>
      <c r="J13" s="160"/>
      <c r="K13" s="222" t="str">
        <f t="shared" si="1"/>
        <v xml:space="preserve"> </v>
      </c>
      <c r="L13" s="223" t="str">
        <f t="shared" si="2"/>
        <v/>
      </c>
      <c r="M13" s="243" t="str">
        <f t="shared" si="3"/>
        <v/>
      </c>
      <c r="N13" s="160"/>
      <c r="O13" s="160"/>
      <c r="P13" s="160"/>
      <c r="Q13" s="224"/>
      <c r="R13" s="243"/>
      <c r="S13" s="225"/>
      <c r="T13" s="225"/>
      <c r="U13" s="226"/>
      <c r="V13" s="226"/>
      <c r="W13" s="226"/>
      <c r="X13" s="226"/>
      <c r="Y13" s="226"/>
      <c r="Z13" s="227"/>
      <c r="AA13" s="228"/>
      <c r="AB13" s="229"/>
      <c r="AC13" s="229"/>
      <c r="AD13" s="229"/>
      <c r="AE13" s="229"/>
      <c r="AF13" s="229"/>
      <c r="AG13" s="229"/>
      <c r="AH13" s="230"/>
      <c r="AI13" s="54"/>
      <c r="AK13" s="155"/>
      <c r="AL13" s="155"/>
      <c r="AM13" s="155"/>
      <c r="AN13" s="155"/>
      <c r="AO13" s="155"/>
      <c r="AP13" s="155"/>
      <c r="AR13" s="118" t="str">
        <f t="shared" si="4"/>
        <v xml:space="preserve"> </v>
      </c>
      <c r="AS13" s="118" t="str">
        <f t="shared" si="5"/>
        <v xml:space="preserve"> </v>
      </c>
      <c r="AT13" s="118" t="str">
        <f t="shared" si="6"/>
        <v xml:space="preserve"> </v>
      </c>
      <c r="AU13" s="118" t="str">
        <f t="shared" si="7"/>
        <v xml:space="preserve"> </v>
      </c>
      <c r="AV13" s="85"/>
      <c r="AW13" s="85"/>
    </row>
    <row r="14" spans="1:49" s="118" customFormat="1" ht="12.75">
      <c r="A14" s="183" t="s">
        <v>137</v>
      </c>
      <c r="B14" s="231" t="s">
        <v>154</v>
      </c>
      <c r="C14" s="232"/>
      <c r="D14" s="160"/>
      <c r="E14" s="160"/>
      <c r="F14" s="160"/>
      <c r="G14" s="160"/>
      <c r="H14" s="160"/>
      <c r="I14" s="160"/>
      <c r="J14" s="160"/>
      <c r="K14" s="222" t="str">
        <f t="shared" si="1"/>
        <v xml:space="preserve"> </v>
      </c>
      <c r="L14" s="223" t="str">
        <f t="shared" si="2"/>
        <v/>
      </c>
      <c r="M14" s="243" t="str">
        <f t="shared" si="3"/>
        <v/>
      </c>
      <c r="N14" s="160"/>
      <c r="O14" s="160"/>
      <c r="P14" s="160"/>
      <c r="Q14" s="224"/>
      <c r="R14" s="243"/>
      <c r="S14" s="225"/>
      <c r="T14" s="225"/>
      <c r="U14" s="226"/>
      <c r="V14" s="226"/>
      <c r="W14" s="226"/>
      <c r="X14" s="226"/>
      <c r="Y14" s="226"/>
      <c r="Z14" s="227"/>
      <c r="AA14" s="228"/>
      <c r="AB14" s="229"/>
      <c r="AC14" s="229"/>
      <c r="AD14" s="229"/>
      <c r="AE14" s="229"/>
      <c r="AF14" s="229"/>
      <c r="AG14" s="229"/>
      <c r="AH14" s="230"/>
      <c r="AI14" s="54"/>
      <c r="AK14" s="155"/>
      <c r="AL14" s="155"/>
      <c r="AM14" s="155"/>
      <c r="AN14" s="155"/>
      <c r="AO14" s="155"/>
      <c r="AP14" s="155"/>
      <c r="AR14" s="118" t="str">
        <f t="shared" si="4"/>
        <v xml:space="preserve"> </v>
      </c>
      <c r="AS14" s="118" t="str">
        <f t="shared" si="5"/>
        <v xml:space="preserve"> </v>
      </c>
      <c r="AT14" s="118" t="str">
        <f t="shared" si="6"/>
        <v xml:space="preserve"> </v>
      </c>
      <c r="AU14" s="118" t="str">
        <f t="shared" si="7"/>
        <v xml:space="preserve"> </v>
      </c>
      <c r="AV14" s="85"/>
      <c r="AW14" s="85"/>
    </row>
    <row r="15" spans="1:49" s="118" customFormat="1" ht="12.75">
      <c r="A15" s="183" t="s">
        <v>138</v>
      </c>
      <c r="B15" s="231" t="s">
        <v>155</v>
      </c>
      <c r="C15" s="232"/>
      <c r="D15" s="160"/>
      <c r="E15" s="160"/>
      <c r="F15" s="160"/>
      <c r="G15" s="160"/>
      <c r="H15" s="160"/>
      <c r="I15" s="160"/>
      <c r="J15" s="160"/>
      <c r="K15" s="222" t="str">
        <f t="shared" si="1"/>
        <v xml:space="preserve"> </v>
      </c>
      <c r="L15" s="223" t="str">
        <f t="shared" si="2"/>
        <v/>
      </c>
      <c r="M15" s="243" t="str">
        <f t="shared" si="3"/>
        <v/>
      </c>
      <c r="N15" s="160"/>
      <c r="O15" s="160"/>
      <c r="P15" s="160"/>
      <c r="Q15" s="224"/>
      <c r="R15" s="243"/>
      <c r="S15" s="225"/>
      <c r="T15" s="225"/>
      <c r="U15" s="226"/>
      <c r="V15" s="226"/>
      <c r="W15" s="226"/>
      <c r="X15" s="226"/>
      <c r="Y15" s="226"/>
      <c r="Z15" s="227"/>
      <c r="AA15" s="228"/>
      <c r="AB15" s="229"/>
      <c r="AC15" s="229"/>
      <c r="AD15" s="229"/>
      <c r="AE15" s="229"/>
      <c r="AF15" s="229"/>
      <c r="AG15" s="229"/>
      <c r="AH15" s="230"/>
      <c r="AI15" s="54"/>
      <c r="AK15" s="155"/>
      <c r="AL15" s="155"/>
      <c r="AM15" s="155"/>
      <c r="AN15" s="155"/>
      <c r="AO15" s="155"/>
      <c r="AP15" s="155"/>
      <c r="AR15" s="118" t="str">
        <f t="shared" si="4"/>
        <v xml:space="preserve"> </v>
      </c>
      <c r="AS15" s="118" t="str">
        <f t="shared" si="5"/>
        <v xml:space="preserve"> </v>
      </c>
      <c r="AT15" s="118" t="str">
        <f t="shared" si="6"/>
        <v xml:space="preserve"> </v>
      </c>
      <c r="AU15" s="118" t="str">
        <f t="shared" si="7"/>
        <v xml:space="preserve"> </v>
      </c>
      <c r="AV15" s="85"/>
      <c r="AW15" s="85"/>
    </row>
    <row r="16" spans="1:49" s="118" customFormat="1" ht="12.75">
      <c r="A16" s="203" t="s">
        <v>139</v>
      </c>
      <c r="B16" s="231" t="s">
        <v>156</v>
      </c>
      <c r="C16" s="232"/>
      <c r="D16" s="160"/>
      <c r="E16" s="160"/>
      <c r="F16" s="160"/>
      <c r="G16" s="160"/>
      <c r="H16" s="160"/>
      <c r="I16" s="160"/>
      <c r="J16" s="160"/>
      <c r="K16" s="222" t="str">
        <f t="shared" si="1"/>
        <v xml:space="preserve"> </v>
      </c>
      <c r="L16" s="223" t="str">
        <f t="shared" si="2"/>
        <v/>
      </c>
      <c r="M16" s="243" t="str">
        <f t="shared" si="3"/>
        <v/>
      </c>
      <c r="N16" s="160"/>
      <c r="O16" s="160"/>
      <c r="P16" s="160"/>
      <c r="Q16" s="224"/>
      <c r="R16" s="243"/>
      <c r="S16" s="225"/>
      <c r="T16" s="225"/>
      <c r="U16" s="226"/>
      <c r="V16" s="226"/>
      <c r="W16" s="226"/>
      <c r="X16" s="226"/>
      <c r="Y16" s="226"/>
      <c r="Z16" s="227"/>
      <c r="AA16" s="228"/>
      <c r="AB16" s="229"/>
      <c r="AC16" s="229"/>
      <c r="AD16" s="229"/>
      <c r="AE16" s="229"/>
      <c r="AF16" s="229"/>
      <c r="AG16" s="229"/>
      <c r="AH16" s="230"/>
      <c r="AI16" s="54"/>
      <c r="AK16" s="155"/>
      <c r="AL16" s="155"/>
      <c r="AM16" s="155"/>
      <c r="AN16" s="155"/>
      <c r="AO16" s="155"/>
      <c r="AP16" s="155"/>
      <c r="AR16" s="118" t="str">
        <f t="shared" si="4"/>
        <v xml:space="preserve"> </v>
      </c>
      <c r="AS16" s="118" t="str">
        <f t="shared" si="5"/>
        <v xml:space="preserve"> </v>
      </c>
      <c r="AT16" s="118" t="str">
        <f t="shared" si="6"/>
        <v xml:space="preserve"> </v>
      </c>
      <c r="AU16" s="118" t="str">
        <f t="shared" si="7"/>
        <v xml:space="preserve"> </v>
      </c>
      <c r="AV16" s="85"/>
      <c r="AW16" s="85"/>
    </row>
    <row r="17" spans="1:59" s="118" customFormat="1" ht="12.75">
      <c r="A17" s="183" t="s">
        <v>140</v>
      </c>
      <c r="B17" s="231" t="s">
        <v>157</v>
      </c>
      <c r="C17" s="232"/>
      <c r="D17" s="160"/>
      <c r="E17" s="160"/>
      <c r="F17" s="160"/>
      <c r="G17" s="160"/>
      <c r="H17" s="160"/>
      <c r="I17" s="160"/>
      <c r="J17" s="160"/>
      <c r="K17" s="222" t="str">
        <f t="shared" si="1"/>
        <v xml:space="preserve"> </v>
      </c>
      <c r="L17" s="223" t="str">
        <f t="shared" si="2"/>
        <v/>
      </c>
      <c r="M17" s="243" t="str">
        <f t="shared" si="3"/>
        <v/>
      </c>
      <c r="N17" s="160"/>
      <c r="O17" s="160"/>
      <c r="P17" s="160"/>
      <c r="Q17" s="224"/>
      <c r="R17" s="243"/>
      <c r="S17" s="225"/>
      <c r="T17" s="225"/>
      <c r="U17" s="226"/>
      <c r="V17" s="226"/>
      <c r="W17" s="226"/>
      <c r="X17" s="226"/>
      <c r="Y17" s="226"/>
      <c r="Z17" s="227"/>
      <c r="AA17" s="228"/>
      <c r="AB17" s="229"/>
      <c r="AC17" s="229"/>
      <c r="AD17" s="229"/>
      <c r="AE17" s="229"/>
      <c r="AF17" s="229"/>
      <c r="AG17" s="229"/>
      <c r="AH17" s="230"/>
      <c r="AI17" s="54"/>
      <c r="AK17" s="155"/>
      <c r="AL17" s="155"/>
      <c r="AM17" s="155"/>
      <c r="AN17" s="155"/>
      <c r="AO17" s="155"/>
      <c r="AP17" s="155"/>
      <c r="AR17" s="118" t="str">
        <f t="shared" si="4"/>
        <v xml:space="preserve"> </v>
      </c>
      <c r="AS17" s="118" t="str">
        <f t="shared" si="5"/>
        <v xml:space="preserve"> </v>
      </c>
      <c r="AT17" s="118" t="str">
        <f t="shared" si="6"/>
        <v xml:space="preserve"> </v>
      </c>
      <c r="AU17" s="118" t="str">
        <f t="shared" si="7"/>
        <v xml:space="preserve"> </v>
      </c>
      <c r="AV17" s="85"/>
      <c r="AW17" s="85"/>
    </row>
    <row r="18" spans="1:59" s="118" customFormat="1" ht="12.75">
      <c r="A18" s="203" t="s">
        <v>141</v>
      </c>
      <c r="B18" s="231" t="s">
        <v>158</v>
      </c>
      <c r="C18" s="232"/>
      <c r="D18" s="160"/>
      <c r="E18" s="160"/>
      <c r="F18" s="160"/>
      <c r="G18" s="160"/>
      <c r="H18" s="160"/>
      <c r="I18" s="160"/>
      <c r="J18" s="160"/>
      <c r="K18" s="222" t="str">
        <f t="shared" si="1"/>
        <v xml:space="preserve"> </v>
      </c>
      <c r="L18" s="223" t="str">
        <f t="shared" si="2"/>
        <v/>
      </c>
      <c r="M18" s="243" t="str">
        <f t="shared" si="3"/>
        <v/>
      </c>
      <c r="N18" s="160"/>
      <c r="O18" s="160"/>
      <c r="P18" s="160"/>
      <c r="Q18" s="224"/>
      <c r="R18" s="243"/>
      <c r="S18" s="225"/>
      <c r="T18" s="225"/>
      <c r="U18" s="226"/>
      <c r="V18" s="226"/>
      <c r="W18" s="226"/>
      <c r="X18" s="226"/>
      <c r="Y18" s="226"/>
      <c r="Z18" s="227"/>
      <c r="AA18" s="228"/>
      <c r="AB18" s="229"/>
      <c r="AC18" s="229"/>
      <c r="AD18" s="229"/>
      <c r="AE18" s="229"/>
      <c r="AF18" s="229"/>
      <c r="AG18" s="229"/>
      <c r="AH18" s="230"/>
      <c r="AI18" s="54"/>
      <c r="AK18" s="155"/>
      <c r="AL18" s="155"/>
      <c r="AM18" s="155"/>
      <c r="AN18" s="155"/>
      <c r="AO18" s="155"/>
      <c r="AP18" s="155"/>
      <c r="AR18" s="118" t="str">
        <f t="shared" si="4"/>
        <v xml:space="preserve"> </v>
      </c>
      <c r="AS18" s="118" t="str">
        <f t="shared" si="5"/>
        <v xml:space="preserve"> </v>
      </c>
      <c r="AT18" s="118" t="str">
        <f t="shared" si="6"/>
        <v xml:space="preserve"> </v>
      </c>
      <c r="AU18" s="118" t="str">
        <f t="shared" si="7"/>
        <v xml:space="preserve"> </v>
      </c>
      <c r="AV18" s="85"/>
      <c r="AW18" s="85"/>
    </row>
    <row r="19" spans="1:59" s="118" customFormat="1" ht="12.75">
      <c r="A19" s="183" t="s">
        <v>142</v>
      </c>
      <c r="B19" s="231" t="s">
        <v>159</v>
      </c>
      <c r="C19" s="232"/>
      <c r="D19" s="160"/>
      <c r="E19" s="160"/>
      <c r="F19" s="160"/>
      <c r="G19" s="160"/>
      <c r="H19" s="160"/>
      <c r="I19" s="160"/>
      <c r="J19" s="160"/>
      <c r="K19" s="222" t="str">
        <f t="shared" si="1"/>
        <v xml:space="preserve"> </v>
      </c>
      <c r="L19" s="223" t="str">
        <f t="shared" si="2"/>
        <v/>
      </c>
      <c r="M19" s="243" t="str">
        <f t="shared" si="3"/>
        <v/>
      </c>
      <c r="N19" s="160"/>
      <c r="O19" s="160"/>
      <c r="P19" s="160"/>
      <c r="Q19" s="224"/>
      <c r="R19" s="243"/>
      <c r="S19" s="225"/>
      <c r="T19" s="225"/>
      <c r="U19" s="226"/>
      <c r="V19" s="226"/>
      <c r="W19" s="226"/>
      <c r="X19" s="226"/>
      <c r="Y19" s="226"/>
      <c r="Z19" s="227"/>
      <c r="AA19" s="228"/>
      <c r="AB19" s="229"/>
      <c r="AC19" s="229"/>
      <c r="AD19" s="229"/>
      <c r="AE19" s="229"/>
      <c r="AF19" s="229"/>
      <c r="AG19" s="229"/>
      <c r="AH19" s="230"/>
      <c r="AI19" s="54"/>
      <c r="AK19" s="155"/>
      <c r="AL19" s="155"/>
      <c r="AM19" s="155"/>
      <c r="AN19" s="155"/>
      <c r="AO19" s="155"/>
      <c r="AP19" s="155"/>
      <c r="AR19" s="118" t="str">
        <f t="shared" si="4"/>
        <v xml:space="preserve"> </v>
      </c>
      <c r="AS19" s="118" t="str">
        <f t="shared" si="5"/>
        <v xml:space="preserve"> </v>
      </c>
      <c r="AT19" s="118" t="str">
        <f t="shared" si="6"/>
        <v xml:space="preserve"> </v>
      </c>
      <c r="AU19" s="118" t="str">
        <f t="shared" si="7"/>
        <v xml:space="preserve"> </v>
      </c>
      <c r="AV19" s="85"/>
      <c r="AW19" s="85"/>
    </row>
    <row r="20" spans="1:59" s="118" customFormat="1" ht="12.75" customHeight="1">
      <c r="A20" s="183" t="s">
        <v>143</v>
      </c>
      <c r="B20" s="231">
        <v>48844</v>
      </c>
      <c r="C20" s="232"/>
      <c r="D20" s="160"/>
      <c r="E20" s="160"/>
      <c r="F20" s="160"/>
      <c r="G20" s="160"/>
      <c r="H20" s="160"/>
      <c r="I20" s="160"/>
      <c r="J20" s="160"/>
      <c r="K20" s="222" t="str">
        <f t="shared" si="1"/>
        <v xml:space="preserve"> </v>
      </c>
      <c r="L20" s="223" t="str">
        <f t="shared" si="2"/>
        <v/>
      </c>
      <c r="M20" s="243" t="str">
        <f t="shared" si="3"/>
        <v/>
      </c>
      <c r="N20" s="160"/>
      <c r="O20" s="160"/>
      <c r="P20" s="160"/>
      <c r="Q20" s="224"/>
      <c r="R20" s="243"/>
      <c r="S20" s="225"/>
      <c r="T20" s="225"/>
      <c r="U20" s="226"/>
      <c r="V20" s="226"/>
      <c r="W20" s="226"/>
      <c r="X20" s="226"/>
      <c r="Y20" s="226"/>
      <c r="Z20" s="227"/>
      <c r="AA20" s="228"/>
      <c r="AB20" s="229"/>
      <c r="AC20" s="229"/>
      <c r="AD20" s="229"/>
      <c r="AE20" s="229"/>
      <c r="AF20" s="229"/>
      <c r="AG20" s="229"/>
      <c r="AH20" s="230"/>
      <c r="AI20" s="54"/>
      <c r="AK20" s="155"/>
      <c r="AL20" s="155"/>
      <c r="AM20" s="155"/>
      <c r="AN20" s="155"/>
      <c r="AO20" s="155"/>
      <c r="AP20" s="155"/>
      <c r="AR20" s="118" t="str">
        <f t="shared" si="4"/>
        <v xml:space="preserve"> </v>
      </c>
      <c r="AS20" s="118" t="str">
        <f t="shared" si="5"/>
        <v xml:space="preserve"> </v>
      </c>
      <c r="AT20" s="118" t="str">
        <f t="shared" si="6"/>
        <v xml:space="preserve"> </v>
      </c>
      <c r="AU20" s="118" t="str">
        <f t="shared" si="7"/>
        <v xml:space="preserve"> </v>
      </c>
      <c r="AV20" s="85"/>
      <c r="AW20" s="85"/>
    </row>
    <row r="21" spans="1:59" s="118" customFormat="1" ht="12.75" customHeight="1">
      <c r="A21" s="183" t="s">
        <v>144</v>
      </c>
      <c r="B21" s="231">
        <v>48846</v>
      </c>
      <c r="C21" s="232"/>
      <c r="D21" s="160"/>
      <c r="E21" s="160"/>
      <c r="F21" s="160"/>
      <c r="G21" s="160"/>
      <c r="H21" s="160"/>
      <c r="I21" s="160"/>
      <c r="J21" s="160"/>
      <c r="K21" s="222" t="str">
        <f t="shared" si="1"/>
        <v xml:space="preserve"> </v>
      </c>
      <c r="L21" s="223" t="str">
        <f t="shared" si="2"/>
        <v/>
      </c>
      <c r="M21" s="243" t="str">
        <f t="shared" si="3"/>
        <v/>
      </c>
      <c r="N21" s="160"/>
      <c r="O21" s="160"/>
      <c r="P21" s="160"/>
      <c r="Q21" s="224"/>
      <c r="R21" s="243"/>
      <c r="S21" s="225"/>
      <c r="T21" s="225"/>
      <c r="U21" s="226"/>
      <c r="V21" s="226"/>
      <c r="W21" s="226"/>
      <c r="X21" s="226"/>
      <c r="Y21" s="226"/>
      <c r="Z21" s="227"/>
      <c r="AA21" s="228"/>
      <c r="AB21" s="229"/>
      <c r="AC21" s="229"/>
      <c r="AD21" s="229"/>
      <c r="AE21" s="229"/>
      <c r="AF21" s="229"/>
      <c r="AG21" s="229"/>
      <c r="AH21" s="230"/>
      <c r="AI21" s="54"/>
      <c r="AK21" s="155"/>
      <c r="AL21" s="155"/>
      <c r="AM21" s="155"/>
      <c r="AN21" s="155"/>
      <c r="AO21" s="155"/>
      <c r="AP21" s="155"/>
      <c r="AR21" s="118" t="str">
        <f t="shared" si="4"/>
        <v xml:space="preserve"> </v>
      </c>
      <c r="AS21" s="118" t="str">
        <f t="shared" si="5"/>
        <v xml:space="preserve"> </v>
      </c>
      <c r="AT21" s="118" t="str">
        <f t="shared" si="6"/>
        <v xml:space="preserve"> </v>
      </c>
      <c r="AU21" s="118" t="str">
        <f t="shared" si="7"/>
        <v xml:space="preserve"> </v>
      </c>
      <c r="AV21" s="85"/>
      <c r="AW21" s="85"/>
    </row>
    <row r="22" spans="1:59" s="118" customFormat="1" ht="12.75" customHeight="1">
      <c r="A22" s="183" t="s">
        <v>145</v>
      </c>
      <c r="B22" s="231" t="s">
        <v>160</v>
      </c>
      <c r="C22" s="232"/>
      <c r="D22" s="160"/>
      <c r="E22" s="160"/>
      <c r="F22" s="160"/>
      <c r="G22" s="160"/>
      <c r="H22" s="160"/>
      <c r="I22" s="160"/>
      <c r="J22" s="160"/>
      <c r="K22" s="222" t="str">
        <f t="shared" si="1"/>
        <v xml:space="preserve"> </v>
      </c>
      <c r="L22" s="223" t="str">
        <f t="shared" si="2"/>
        <v/>
      </c>
      <c r="M22" s="243" t="str">
        <f t="shared" si="3"/>
        <v/>
      </c>
      <c r="N22" s="160"/>
      <c r="O22" s="160"/>
      <c r="P22" s="160"/>
      <c r="Q22" s="224"/>
      <c r="R22" s="243"/>
      <c r="S22" s="225"/>
      <c r="T22" s="225"/>
      <c r="U22" s="226"/>
      <c r="V22" s="226"/>
      <c r="W22" s="226"/>
      <c r="X22" s="226"/>
      <c r="Y22" s="226"/>
      <c r="Z22" s="227"/>
      <c r="AA22" s="228"/>
      <c r="AB22" s="229"/>
      <c r="AC22" s="229"/>
      <c r="AD22" s="229"/>
      <c r="AE22" s="229"/>
      <c r="AF22" s="229"/>
      <c r="AG22" s="229"/>
      <c r="AH22" s="230"/>
      <c r="AI22" s="54"/>
      <c r="AK22" s="155"/>
      <c r="AL22" s="155"/>
      <c r="AM22" s="155"/>
      <c r="AN22" s="155"/>
      <c r="AO22" s="155"/>
      <c r="AP22" s="155"/>
      <c r="AR22" s="118" t="str">
        <f t="shared" si="4"/>
        <v xml:space="preserve"> </v>
      </c>
      <c r="AS22" s="118" t="str">
        <f t="shared" si="5"/>
        <v xml:space="preserve"> </v>
      </c>
      <c r="AT22" s="118" t="str">
        <f t="shared" si="6"/>
        <v xml:space="preserve"> </v>
      </c>
      <c r="AU22" s="118" t="str">
        <f t="shared" si="7"/>
        <v xml:space="preserve"> </v>
      </c>
      <c r="AV22" s="85"/>
      <c r="AW22" s="85"/>
    </row>
    <row r="23" spans="1:59" s="118" customFormat="1" ht="12.75" customHeight="1">
      <c r="A23" s="183" t="s">
        <v>146</v>
      </c>
      <c r="B23" s="231" t="s">
        <v>161</v>
      </c>
      <c r="C23" s="232"/>
      <c r="D23" s="160"/>
      <c r="E23" s="160"/>
      <c r="F23" s="160"/>
      <c r="G23" s="160"/>
      <c r="H23" s="160"/>
      <c r="I23" s="160"/>
      <c r="J23" s="160"/>
      <c r="K23" s="222" t="str">
        <f t="shared" si="1"/>
        <v xml:space="preserve"> </v>
      </c>
      <c r="L23" s="223" t="str">
        <f t="shared" si="2"/>
        <v/>
      </c>
      <c r="M23" s="243" t="str">
        <f t="shared" si="3"/>
        <v/>
      </c>
      <c r="N23" s="160"/>
      <c r="O23" s="160"/>
      <c r="P23" s="160"/>
      <c r="Q23" s="224"/>
      <c r="R23" s="243"/>
      <c r="S23" s="225"/>
      <c r="T23" s="225"/>
      <c r="U23" s="226"/>
      <c r="V23" s="226"/>
      <c r="W23" s="226"/>
      <c r="X23" s="226"/>
      <c r="Y23" s="226"/>
      <c r="Z23" s="227"/>
      <c r="AA23" s="228"/>
      <c r="AB23" s="229"/>
      <c r="AC23" s="229"/>
      <c r="AD23" s="229"/>
      <c r="AE23" s="229"/>
      <c r="AF23" s="229"/>
      <c r="AG23" s="229"/>
      <c r="AH23" s="230"/>
      <c r="AI23" s="54"/>
      <c r="AK23" s="155"/>
      <c r="AL23" s="155"/>
      <c r="AM23" s="155"/>
      <c r="AN23" s="155"/>
      <c r="AO23" s="155"/>
      <c r="AP23" s="155"/>
      <c r="AR23" s="118" t="str">
        <f t="shared" si="4"/>
        <v xml:space="preserve"> </v>
      </c>
      <c r="AS23" s="118" t="str">
        <f t="shared" si="5"/>
        <v xml:space="preserve"> </v>
      </c>
      <c r="AT23" s="118" t="str">
        <f t="shared" si="6"/>
        <v xml:space="preserve"> </v>
      </c>
      <c r="AU23" s="118" t="str">
        <f t="shared" si="7"/>
        <v xml:space="preserve"> </v>
      </c>
      <c r="AV23" s="85"/>
      <c r="AW23" s="85"/>
    </row>
    <row r="24" spans="1:59" s="118" customFormat="1" ht="12.75" customHeight="1">
      <c r="A24" s="183" t="s">
        <v>147</v>
      </c>
      <c r="B24" s="231" t="s">
        <v>162</v>
      </c>
      <c r="C24" s="232"/>
      <c r="D24" s="160"/>
      <c r="E24" s="160"/>
      <c r="F24" s="160"/>
      <c r="G24" s="160"/>
      <c r="H24" s="160"/>
      <c r="I24" s="160"/>
      <c r="J24" s="160"/>
      <c r="K24" s="222" t="str">
        <f t="shared" si="1"/>
        <v xml:space="preserve"> </v>
      </c>
      <c r="L24" s="223" t="str">
        <f t="shared" si="2"/>
        <v/>
      </c>
      <c r="M24" s="243" t="str">
        <f t="shared" si="3"/>
        <v/>
      </c>
      <c r="N24" s="160"/>
      <c r="O24" s="160"/>
      <c r="P24" s="160"/>
      <c r="Q24" s="224"/>
      <c r="R24" s="243"/>
      <c r="S24" s="225"/>
      <c r="T24" s="225"/>
      <c r="U24" s="226"/>
      <c r="V24" s="226"/>
      <c r="W24" s="226"/>
      <c r="X24" s="226"/>
      <c r="Y24" s="226"/>
      <c r="Z24" s="227"/>
      <c r="AA24" s="228"/>
      <c r="AB24" s="229"/>
      <c r="AC24" s="229"/>
      <c r="AD24" s="229"/>
      <c r="AE24" s="229"/>
      <c r="AF24" s="229"/>
      <c r="AG24" s="229"/>
      <c r="AH24" s="230"/>
      <c r="AI24" s="54"/>
      <c r="AK24" s="155"/>
      <c r="AL24" s="155"/>
      <c r="AM24" s="155"/>
      <c r="AN24" s="155"/>
      <c r="AO24" s="155"/>
      <c r="AP24" s="155"/>
      <c r="AR24" s="118" t="str">
        <f t="shared" si="4"/>
        <v xml:space="preserve"> </v>
      </c>
      <c r="AS24" s="118" t="str">
        <f t="shared" si="5"/>
        <v xml:space="preserve"> </v>
      </c>
      <c r="AT24" s="118" t="str">
        <f t="shared" si="6"/>
        <v xml:space="preserve"> </v>
      </c>
      <c r="AU24" s="118" t="str">
        <f t="shared" si="7"/>
        <v xml:space="preserve"> </v>
      </c>
      <c r="AV24" s="85"/>
      <c r="AW24" s="85"/>
    </row>
    <row r="25" spans="1:59" s="118" customFormat="1" ht="12.75" customHeight="1">
      <c r="A25" s="299" t="s">
        <v>191</v>
      </c>
      <c r="B25" s="301" t="s">
        <v>190</v>
      </c>
      <c r="C25" s="232"/>
      <c r="D25" s="160"/>
      <c r="E25" s="160"/>
      <c r="F25" s="160"/>
      <c r="G25" s="160"/>
      <c r="H25" s="160"/>
      <c r="I25" s="160"/>
      <c r="J25" s="160"/>
      <c r="K25" s="222" t="str">
        <f t="shared" si="1"/>
        <v xml:space="preserve"> </v>
      </c>
      <c r="L25" s="223" t="str">
        <f t="shared" si="2"/>
        <v/>
      </c>
      <c r="M25" s="243" t="str">
        <f t="shared" si="3"/>
        <v/>
      </c>
      <c r="N25" s="160"/>
      <c r="O25" s="160"/>
      <c r="P25" s="160"/>
      <c r="Q25" s="224"/>
      <c r="R25" s="243"/>
      <c r="S25" s="225"/>
      <c r="T25" s="225"/>
      <c r="U25" s="226"/>
      <c r="V25" s="226"/>
      <c r="W25" s="226"/>
      <c r="X25" s="226"/>
      <c r="Y25" s="226"/>
      <c r="Z25" s="227"/>
      <c r="AA25" s="228"/>
      <c r="AB25" s="229"/>
      <c r="AC25" s="229"/>
      <c r="AD25" s="229"/>
      <c r="AE25" s="229"/>
      <c r="AF25" s="229"/>
      <c r="AG25" s="229"/>
      <c r="AH25" s="230"/>
      <c r="AI25" s="54"/>
      <c r="AK25" s="155"/>
      <c r="AL25" s="155"/>
      <c r="AM25" s="155"/>
      <c r="AN25" s="155"/>
      <c r="AO25" s="155"/>
      <c r="AP25" s="155"/>
      <c r="AR25" s="118" t="str">
        <f t="shared" si="4"/>
        <v xml:space="preserve"> </v>
      </c>
      <c r="AS25" s="118" t="str">
        <f t="shared" si="5"/>
        <v xml:space="preserve"> </v>
      </c>
      <c r="AT25" s="118" t="str">
        <f t="shared" si="6"/>
        <v xml:space="preserve"> </v>
      </c>
      <c r="AU25" s="118" t="str">
        <f t="shared" si="7"/>
        <v xml:space="preserve"> </v>
      </c>
      <c r="AV25" s="85"/>
      <c r="AW25" s="85"/>
    </row>
    <row r="26" spans="1:59" s="118" customFormat="1" ht="9" customHeight="1" thickBot="1">
      <c r="A26" s="233"/>
      <c r="B26" s="234"/>
      <c r="C26" s="235"/>
      <c r="D26" s="235"/>
      <c r="E26" s="235"/>
      <c r="F26" s="235"/>
      <c r="G26" s="235"/>
      <c r="H26" s="235"/>
      <c r="I26" s="235"/>
      <c r="J26" s="235"/>
      <c r="K26" s="236" t="str">
        <f>IF(COUNT(AR26:AU26)&gt;0,AVERAGE(AR26:AU26)," ")</f>
        <v xml:space="preserve"> </v>
      </c>
      <c r="L26" s="244"/>
      <c r="M26" s="237"/>
      <c r="N26" s="245"/>
      <c r="O26" s="238"/>
      <c r="P26" s="238"/>
      <c r="Q26" s="246"/>
      <c r="R26" s="247"/>
      <c r="S26" s="239"/>
      <c r="T26" s="240"/>
      <c r="U26" s="240"/>
      <c r="V26" s="240"/>
      <c r="W26" s="240"/>
      <c r="X26" s="240"/>
      <c r="Y26" s="240"/>
      <c r="Z26" s="181"/>
      <c r="AA26" s="241"/>
      <c r="AB26" s="242"/>
      <c r="AC26" s="242"/>
      <c r="AD26" s="242"/>
      <c r="AE26" s="242"/>
      <c r="AF26" s="242"/>
      <c r="AG26" s="242"/>
      <c r="AH26" s="169"/>
      <c r="AI26" s="54"/>
      <c r="AK26" s="128"/>
      <c r="AL26" s="128"/>
      <c r="AM26" s="128"/>
      <c r="AN26" s="128"/>
      <c r="AO26" s="128"/>
      <c r="AP26" s="128"/>
      <c r="AR26" s="118" t="str">
        <f>IF(COUNT(D26,H26)=2,AVERAGE(D26,H26)," ")</f>
        <v xml:space="preserve"> </v>
      </c>
      <c r="AS26" s="118" t="str">
        <f>IF(COUNT(E26,I26)=2,AVERAGE(E26,I26)," ")</f>
        <v xml:space="preserve"> </v>
      </c>
      <c r="AT26" s="118" t="str">
        <f>IF(COUNT(F26,J26)=2,AVERAGE(F26,J26)," ")</f>
        <v xml:space="preserve"> </v>
      </c>
      <c r="AU26" s="118" t="str">
        <f>IF(COUNT(G26,C26)=2,AVERAGE(G26,C26)," ")</f>
        <v xml:space="preserve"> </v>
      </c>
    </row>
    <row r="27" spans="1:59" s="118" customFormat="1" ht="6.75" customHeight="1"/>
    <row r="28" spans="1:59" s="118" customFormat="1" ht="21" customHeight="1" thickBot="1">
      <c r="A28" s="182" t="s">
        <v>164</v>
      </c>
      <c r="B28" s="150"/>
      <c r="C28" s="150"/>
      <c r="D28" s="150"/>
      <c r="E28" s="150"/>
    </row>
    <row r="29" spans="1:59" s="118" customFormat="1" ht="13.5" thickTop="1">
      <c r="A29" s="171"/>
      <c r="B29" s="524" t="s">
        <v>124</v>
      </c>
      <c r="C29" s="522"/>
      <c r="D29" s="522"/>
      <c r="E29" s="522"/>
      <c r="F29" s="522"/>
      <c r="G29" s="522"/>
      <c r="H29" s="522"/>
      <c r="I29" s="522"/>
      <c r="J29" s="522"/>
      <c r="K29" s="523"/>
      <c r="L29" s="524" t="s">
        <v>126</v>
      </c>
      <c r="M29" s="522"/>
      <c r="N29" s="522"/>
      <c r="O29" s="521" t="s">
        <v>123</v>
      </c>
      <c r="P29" s="522"/>
      <c r="Q29" s="522"/>
      <c r="R29" s="522"/>
      <c r="S29" s="522"/>
      <c r="T29" s="522"/>
      <c r="U29" s="522"/>
      <c r="V29" s="523"/>
      <c r="W29" s="525" t="s">
        <v>125</v>
      </c>
      <c r="X29" s="522"/>
      <c r="Y29" s="522"/>
      <c r="Z29" s="522"/>
      <c r="AA29" s="522"/>
      <c r="AB29" s="522"/>
      <c r="AC29" s="522"/>
      <c r="AD29" s="523"/>
      <c r="AE29" s="178"/>
      <c r="AF29" s="180"/>
      <c r="AG29" s="180"/>
      <c r="AH29" s="180"/>
      <c r="AI29" s="180"/>
      <c r="AJ29" s="180"/>
      <c r="AK29" s="180"/>
      <c r="AL29" s="180"/>
      <c r="AM29" s="152"/>
      <c r="AN29" s="152"/>
      <c r="AO29" s="152"/>
      <c r="AP29" s="152"/>
      <c r="AQ29" s="152"/>
      <c r="AR29" s="152"/>
      <c r="AS29" s="152"/>
      <c r="AT29" s="152"/>
      <c r="AU29" s="152"/>
      <c r="AV29" s="152"/>
      <c r="AW29" s="152"/>
      <c r="AX29" s="152"/>
      <c r="AY29" s="152"/>
    </row>
    <row r="30" spans="1:59" s="118" customFormat="1" ht="13.5" thickBot="1">
      <c r="A30" s="170" t="s">
        <v>19</v>
      </c>
      <c r="B30" s="117">
        <v>22</v>
      </c>
      <c r="C30" s="123">
        <v>1</v>
      </c>
      <c r="D30" s="123">
        <v>4</v>
      </c>
      <c r="E30" s="123">
        <v>7</v>
      </c>
      <c r="F30" s="123">
        <v>10</v>
      </c>
      <c r="G30" s="123">
        <v>13</v>
      </c>
      <c r="H30" s="123">
        <v>16</v>
      </c>
      <c r="I30" s="123">
        <v>19</v>
      </c>
      <c r="J30" s="117" t="s">
        <v>42</v>
      </c>
      <c r="K30" s="119" t="s">
        <v>89</v>
      </c>
      <c r="L30" s="127" t="s">
        <v>47</v>
      </c>
      <c r="M30" s="127" t="s">
        <v>47</v>
      </c>
      <c r="N30" s="119" t="s">
        <v>47</v>
      </c>
      <c r="O30" s="117">
        <v>22</v>
      </c>
      <c r="P30" s="123">
        <v>1</v>
      </c>
      <c r="Q30" s="123">
        <v>4</v>
      </c>
      <c r="R30" s="123">
        <v>7</v>
      </c>
      <c r="S30" s="123">
        <v>10</v>
      </c>
      <c r="T30" s="123">
        <v>13</v>
      </c>
      <c r="U30" s="123">
        <v>16</v>
      </c>
      <c r="V30" s="123">
        <v>19</v>
      </c>
      <c r="W30" s="123">
        <v>22</v>
      </c>
      <c r="X30" s="123">
        <v>1</v>
      </c>
      <c r="Y30" s="123">
        <v>4</v>
      </c>
      <c r="Z30" s="123">
        <v>7</v>
      </c>
      <c r="AA30" s="123">
        <v>10</v>
      </c>
      <c r="AB30" s="123">
        <v>13</v>
      </c>
      <c r="AC30" s="123">
        <v>16</v>
      </c>
      <c r="AD30" s="119">
        <v>19</v>
      </c>
      <c r="AE30" s="154"/>
      <c r="AF30" s="154"/>
      <c r="AG30" s="154"/>
      <c r="AH30" s="154"/>
      <c r="AI30" s="154"/>
      <c r="AJ30" s="154"/>
      <c r="AK30" s="154"/>
      <c r="AL30" s="154"/>
      <c r="AM30" s="152"/>
      <c r="AN30" s="152"/>
      <c r="AO30" s="152"/>
      <c r="AP30" s="152"/>
      <c r="AQ30" s="152"/>
      <c r="AR30" s="152"/>
      <c r="AS30" s="152"/>
      <c r="AT30" s="152"/>
      <c r="AU30" s="152"/>
      <c r="AV30" s="152"/>
      <c r="AW30" s="152"/>
      <c r="AX30" s="152"/>
      <c r="AY30" s="152"/>
      <c r="AZ30" s="152"/>
      <c r="BA30" s="152"/>
      <c r="BB30" s="152"/>
      <c r="BC30" s="152"/>
      <c r="BD30" s="152"/>
      <c r="BE30" s="152"/>
      <c r="BF30" s="152"/>
      <c r="BG30" s="152"/>
    </row>
    <row r="31" spans="1:59" ht="13.5" thickTop="1">
      <c r="A31" s="210" t="str">
        <f>A4</f>
        <v>Thanh Hoá</v>
      </c>
      <c r="B31" s="211"/>
      <c r="C31" s="248"/>
      <c r="D31" s="248"/>
      <c r="E31" s="248"/>
      <c r="F31" s="248"/>
      <c r="G31" s="248"/>
      <c r="H31" s="248"/>
      <c r="I31" s="248"/>
      <c r="J31" s="212" t="str">
        <f>IF(COUNT(C31,D31,E31,F31,G31,H31,I31,B31)&gt;3,AVERAGE(C31,D31,E31,F31,G31,H31,I31,B31),"")</f>
        <v/>
      </c>
      <c r="K31" s="213" t="str">
        <f>IF(COUNT(J31)&gt;0,MIN(C31,D31,E31,F31,G31,H31,I31,B31),"")</f>
        <v/>
      </c>
      <c r="L31" s="160"/>
      <c r="M31" s="160"/>
      <c r="N31" s="214"/>
      <c r="O31" s="175"/>
      <c r="P31" s="175"/>
      <c r="Q31" s="175"/>
      <c r="R31" s="175"/>
      <c r="S31" s="175"/>
      <c r="T31" s="175"/>
      <c r="U31" s="175"/>
      <c r="V31" s="175"/>
      <c r="W31" s="215"/>
      <c r="X31" s="207"/>
      <c r="Y31" s="207"/>
      <c r="Z31" s="207"/>
      <c r="AA31" s="207"/>
      <c r="AB31" s="207"/>
      <c r="AC31" s="207"/>
      <c r="AD31" s="208"/>
      <c r="AE31" s="173"/>
      <c r="AF31" s="173"/>
      <c r="AG31" s="173"/>
      <c r="AH31" s="173"/>
      <c r="AI31" s="173"/>
      <c r="AJ31" s="173"/>
      <c r="AK31" s="173"/>
      <c r="AL31" s="173"/>
      <c r="AM31" s="173"/>
      <c r="AN31" s="173"/>
      <c r="AO31" s="173"/>
      <c r="AP31" s="173"/>
      <c r="AQ31" s="173"/>
      <c r="AR31" s="151"/>
      <c r="AS31" s="173"/>
      <c r="AT31" s="173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</row>
    <row r="32" spans="1:59" ht="12.75">
      <c r="A32" s="210" t="str">
        <f t="shared" ref="A32:A52" si="8">A5</f>
        <v>Yên Định</v>
      </c>
      <c r="B32" s="211"/>
      <c r="C32" s="248"/>
      <c r="D32" s="248"/>
      <c r="E32" s="248"/>
      <c r="F32" s="248"/>
      <c r="G32" s="248"/>
      <c r="H32" s="248"/>
      <c r="I32" s="248"/>
      <c r="J32" s="212" t="str">
        <f t="shared" ref="J32:J52" si="9">IF(COUNT(C32,D32,E32,F32,G32,H32,I32,B32)&gt;3,AVERAGE(C32,D32,E32,F32,G32,H32,I32,B32),"")</f>
        <v/>
      </c>
      <c r="K32" s="213" t="str">
        <f t="shared" ref="K32:K52" si="10">IF(COUNT(J32)&gt;0,MIN(C32,D32,E32,F32,G32,H32,I32,B32),"")</f>
        <v/>
      </c>
      <c r="L32" s="160"/>
      <c r="M32" s="160"/>
      <c r="N32" s="214"/>
      <c r="O32" s="175"/>
      <c r="P32" s="175"/>
      <c r="Q32" s="175"/>
      <c r="R32" s="175"/>
      <c r="S32" s="175"/>
      <c r="T32" s="175"/>
      <c r="U32" s="175"/>
      <c r="V32" s="175"/>
      <c r="W32" s="215"/>
      <c r="X32" s="207"/>
      <c r="Y32" s="207"/>
      <c r="Z32" s="207"/>
      <c r="AA32" s="207"/>
      <c r="AB32" s="207"/>
      <c r="AC32" s="207"/>
      <c r="AD32" s="208"/>
      <c r="AE32" s="173"/>
      <c r="AF32" s="173"/>
      <c r="AG32" s="173"/>
      <c r="AH32" s="173"/>
      <c r="AI32" s="173"/>
      <c r="AJ32" s="173"/>
      <c r="AK32" s="173"/>
      <c r="AL32" s="173"/>
      <c r="AM32" s="173"/>
      <c r="AN32" s="173"/>
      <c r="AO32" s="173"/>
      <c r="AP32" s="173"/>
      <c r="AQ32" s="173"/>
      <c r="AR32" s="151"/>
      <c r="AS32" s="173"/>
      <c r="AT32" s="173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</row>
    <row r="33" spans="1:59" ht="12.75">
      <c r="A33" s="210" t="str">
        <f t="shared" si="8"/>
        <v>Hồi Xuân</v>
      </c>
      <c r="B33" s="211"/>
      <c r="C33" s="248"/>
      <c r="D33" s="248"/>
      <c r="E33" s="248"/>
      <c r="F33" s="248"/>
      <c r="G33" s="248"/>
      <c r="H33" s="248"/>
      <c r="I33" s="248"/>
      <c r="J33" s="212" t="str">
        <f t="shared" si="9"/>
        <v/>
      </c>
      <c r="K33" s="213" t="str">
        <f t="shared" si="10"/>
        <v/>
      </c>
      <c r="L33" s="160"/>
      <c r="M33" s="160"/>
      <c r="N33" s="214"/>
      <c r="O33" s="175"/>
      <c r="P33" s="175"/>
      <c r="Q33" s="175"/>
      <c r="R33" s="175"/>
      <c r="S33" s="175"/>
      <c r="T33" s="175"/>
      <c r="U33" s="175"/>
      <c r="V33" s="175"/>
      <c r="W33" s="215"/>
      <c r="X33" s="207"/>
      <c r="Y33" s="207"/>
      <c r="Z33" s="207"/>
      <c r="AA33" s="207"/>
      <c r="AB33" s="207"/>
      <c r="AC33" s="207"/>
      <c r="AD33" s="208"/>
      <c r="AE33" s="173"/>
      <c r="AF33" s="173"/>
      <c r="AG33" s="173"/>
      <c r="AH33" s="173"/>
      <c r="AI33" s="173"/>
      <c r="AJ33" s="173"/>
      <c r="AK33" s="173"/>
      <c r="AL33" s="173"/>
      <c r="AM33" s="173"/>
      <c r="AN33" s="173"/>
      <c r="AO33" s="173"/>
      <c r="AP33" s="173"/>
      <c r="AQ33" s="173"/>
      <c r="AR33" s="151"/>
      <c r="AS33" s="173"/>
      <c r="AT33" s="173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</row>
    <row r="34" spans="1:59" ht="12.75">
      <c r="A34" s="210" t="str">
        <f t="shared" si="8"/>
        <v>Như Xuân</v>
      </c>
      <c r="B34" s="211"/>
      <c r="C34" s="248"/>
      <c r="D34" s="248"/>
      <c r="E34" s="248"/>
      <c r="F34" s="248"/>
      <c r="G34" s="248"/>
      <c r="H34" s="248"/>
      <c r="I34" s="248"/>
      <c r="J34" s="212" t="str">
        <f t="shared" si="9"/>
        <v/>
      </c>
      <c r="K34" s="213" t="str">
        <f t="shared" si="10"/>
        <v/>
      </c>
      <c r="L34" s="160"/>
      <c r="M34" s="160"/>
      <c r="N34" s="214"/>
      <c r="O34" s="175"/>
      <c r="P34" s="175"/>
      <c r="Q34" s="175"/>
      <c r="R34" s="175"/>
      <c r="S34" s="175"/>
      <c r="T34" s="175"/>
      <c r="U34" s="175"/>
      <c r="V34" s="175"/>
      <c r="W34" s="215"/>
      <c r="X34" s="207"/>
      <c r="Y34" s="207"/>
      <c r="Z34" s="207"/>
      <c r="AA34" s="207"/>
      <c r="AB34" s="207"/>
      <c r="AC34" s="207"/>
      <c r="AD34" s="208"/>
      <c r="AE34" s="173"/>
      <c r="AF34" s="173"/>
      <c r="AG34" s="173"/>
      <c r="AH34" s="173"/>
      <c r="AI34" s="173"/>
      <c r="AJ34" s="173"/>
      <c r="AK34" s="173"/>
      <c r="AL34" s="173"/>
      <c r="AM34" s="173"/>
      <c r="AN34" s="173"/>
      <c r="AO34" s="174"/>
      <c r="AP34" s="173"/>
      <c r="AQ34" s="173"/>
      <c r="AR34" s="151"/>
      <c r="AS34" s="173"/>
      <c r="AT34" s="173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</row>
    <row r="35" spans="1:59" ht="12.75">
      <c r="A35" s="210" t="str">
        <f t="shared" si="8"/>
        <v>Tĩnh Gia</v>
      </c>
      <c r="B35" s="211"/>
      <c r="C35" s="248"/>
      <c r="D35" s="248"/>
      <c r="E35" s="248"/>
      <c r="F35" s="248"/>
      <c r="G35" s="248"/>
      <c r="H35" s="248"/>
      <c r="I35" s="248"/>
      <c r="J35" s="212" t="str">
        <f t="shared" si="9"/>
        <v/>
      </c>
      <c r="K35" s="213" t="str">
        <f t="shared" si="10"/>
        <v/>
      </c>
      <c r="L35" s="160"/>
      <c r="M35" s="160"/>
      <c r="N35" s="214"/>
      <c r="O35" s="175"/>
      <c r="P35" s="175"/>
      <c r="Q35" s="175"/>
      <c r="R35" s="175"/>
      <c r="S35" s="175"/>
      <c r="T35" s="175"/>
      <c r="U35" s="175"/>
      <c r="V35" s="175"/>
      <c r="W35" s="215"/>
      <c r="X35" s="207"/>
      <c r="Y35" s="207"/>
      <c r="Z35" s="207"/>
      <c r="AA35" s="207"/>
      <c r="AB35" s="207"/>
      <c r="AC35" s="207"/>
      <c r="AD35" s="208"/>
      <c r="AE35" s="173"/>
      <c r="AF35" s="173"/>
      <c r="AG35" s="173"/>
      <c r="AH35" s="173"/>
      <c r="AI35" s="173"/>
      <c r="AJ35" s="173"/>
      <c r="AK35" s="173"/>
      <c r="AL35" s="173"/>
      <c r="AM35" s="173"/>
      <c r="AN35" s="173"/>
      <c r="AO35" s="173"/>
      <c r="AP35" s="173"/>
      <c r="AQ35" s="173"/>
      <c r="AR35" s="151"/>
      <c r="AS35" s="173"/>
      <c r="AT35" s="173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</row>
    <row r="36" spans="1:59" ht="12.75">
      <c r="A36" s="210" t="str">
        <f t="shared" si="8"/>
        <v>Bái Thượng</v>
      </c>
      <c r="B36" s="211"/>
      <c r="C36" s="248"/>
      <c r="D36" s="248"/>
      <c r="E36" s="248"/>
      <c r="F36" s="248"/>
      <c r="G36" s="248"/>
      <c r="H36" s="248"/>
      <c r="I36" s="248"/>
      <c r="J36" s="212" t="str">
        <f t="shared" si="9"/>
        <v/>
      </c>
      <c r="K36" s="213" t="str">
        <f t="shared" si="10"/>
        <v/>
      </c>
      <c r="L36" s="160"/>
      <c r="M36" s="160"/>
      <c r="N36" s="214"/>
      <c r="O36" s="175"/>
      <c r="P36" s="175"/>
      <c r="Q36" s="175"/>
      <c r="R36" s="175"/>
      <c r="S36" s="175"/>
      <c r="T36" s="175"/>
      <c r="U36" s="175"/>
      <c r="V36" s="175"/>
      <c r="W36" s="215"/>
      <c r="X36" s="207"/>
      <c r="Y36" s="207"/>
      <c r="Z36" s="207"/>
      <c r="AA36" s="207"/>
      <c r="AB36" s="207"/>
      <c r="AC36" s="207"/>
      <c r="AD36" s="208"/>
      <c r="AE36" s="173"/>
      <c r="AF36" s="173"/>
      <c r="AG36" s="173"/>
      <c r="AH36" s="173"/>
      <c r="AI36" s="173"/>
      <c r="AJ36" s="173"/>
      <c r="AK36" s="173"/>
      <c r="AL36" s="173"/>
      <c r="AM36" s="173"/>
      <c r="AN36" s="173"/>
      <c r="AO36" s="173"/>
      <c r="AP36" s="173"/>
      <c r="AQ36" s="173"/>
      <c r="AR36" s="151"/>
      <c r="AS36" s="173"/>
      <c r="AT36" s="173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</row>
    <row r="37" spans="1:59" ht="12.75">
      <c r="A37" s="210" t="str">
        <f t="shared" si="8"/>
        <v>Sầm Sơn</v>
      </c>
      <c r="B37" s="211"/>
      <c r="C37" s="248"/>
      <c r="D37" s="248"/>
      <c r="E37" s="248"/>
      <c r="F37" s="248"/>
      <c r="G37" s="248"/>
      <c r="H37" s="248"/>
      <c r="I37" s="248"/>
      <c r="J37" s="212" t="str">
        <f t="shared" si="9"/>
        <v/>
      </c>
      <c r="K37" s="213" t="str">
        <f t="shared" si="10"/>
        <v/>
      </c>
      <c r="L37" s="160"/>
      <c r="M37" s="160"/>
      <c r="N37" s="214"/>
      <c r="O37" s="175"/>
      <c r="P37" s="175"/>
      <c r="Q37" s="175"/>
      <c r="R37" s="175"/>
      <c r="S37" s="175"/>
      <c r="T37" s="175"/>
      <c r="U37" s="175"/>
      <c r="V37" s="175"/>
      <c r="W37" s="215"/>
      <c r="X37" s="207"/>
      <c r="Y37" s="207"/>
      <c r="Z37" s="207"/>
      <c r="AA37" s="207"/>
      <c r="AB37" s="207"/>
      <c r="AC37" s="207"/>
      <c r="AD37" s="208"/>
      <c r="AE37" s="173"/>
      <c r="AF37" s="173"/>
      <c r="AG37" s="173"/>
      <c r="AH37" s="173"/>
      <c r="AI37" s="173"/>
      <c r="AJ37" s="173"/>
      <c r="AK37" s="173"/>
      <c r="AL37" s="173"/>
      <c r="AM37" s="173"/>
      <c r="AN37" s="173"/>
      <c r="AO37" s="173"/>
      <c r="AP37" s="173"/>
      <c r="AQ37" s="173"/>
      <c r="AR37" s="151"/>
      <c r="AS37" s="173"/>
      <c r="AT37" s="173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</row>
    <row r="38" spans="1:59" ht="12.75">
      <c r="A38" s="210" t="str">
        <f t="shared" si="8"/>
        <v>Nga Sơn</v>
      </c>
      <c r="B38" s="211"/>
      <c r="C38" s="248"/>
      <c r="D38" s="248"/>
      <c r="E38" s="248"/>
      <c r="F38" s="248"/>
      <c r="G38" s="248"/>
      <c r="H38" s="248"/>
      <c r="I38" s="248"/>
      <c r="J38" s="212" t="str">
        <f t="shared" si="9"/>
        <v/>
      </c>
      <c r="K38" s="213" t="str">
        <f t="shared" si="10"/>
        <v/>
      </c>
      <c r="L38" s="160"/>
      <c r="M38" s="160"/>
      <c r="N38" s="214"/>
      <c r="O38" s="175"/>
      <c r="P38" s="175"/>
      <c r="Q38" s="175"/>
      <c r="R38" s="175"/>
      <c r="S38" s="175"/>
      <c r="T38" s="175"/>
      <c r="U38" s="175"/>
      <c r="V38" s="175"/>
      <c r="W38" s="215"/>
      <c r="X38" s="207"/>
      <c r="Y38" s="207"/>
      <c r="Z38" s="207"/>
      <c r="AA38" s="207"/>
      <c r="AB38" s="207"/>
      <c r="AC38" s="207"/>
      <c r="AD38" s="208"/>
      <c r="AE38" s="173"/>
      <c r="AF38" s="173"/>
      <c r="AG38" s="173"/>
      <c r="AH38" s="173"/>
      <c r="AI38" s="173"/>
      <c r="AJ38" s="173"/>
      <c r="AK38" s="173"/>
      <c r="AL38" s="173"/>
      <c r="AM38" s="173"/>
      <c r="AN38" s="173"/>
      <c r="AO38" s="173"/>
      <c r="AP38" s="173"/>
      <c r="AQ38" s="173"/>
      <c r="AR38" s="151"/>
      <c r="AS38" s="173"/>
      <c r="AT38" s="173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</row>
    <row r="39" spans="1:59" ht="12.75">
      <c r="A39" s="210" t="str">
        <f t="shared" si="8"/>
        <v>Vinh</v>
      </c>
      <c r="B39" s="211"/>
      <c r="C39" s="248"/>
      <c r="D39" s="248"/>
      <c r="E39" s="248"/>
      <c r="F39" s="248"/>
      <c r="G39" s="248"/>
      <c r="H39" s="248"/>
      <c r="I39" s="248"/>
      <c r="J39" s="212" t="str">
        <f t="shared" si="9"/>
        <v/>
      </c>
      <c r="K39" s="213" t="str">
        <f t="shared" si="10"/>
        <v/>
      </c>
      <c r="L39" s="160"/>
      <c r="M39" s="160"/>
      <c r="N39" s="214"/>
      <c r="O39" s="175"/>
      <c r="P39" s="175"/>
      <c r="Q39" s="175"/>
      <c r="R39" s="175"/>
      <c r="S39" s="175"/>
      <c r="T39" s="175"/>
      <c r="U39" s="175"/>
      <c r="V39" s="175"/>
      <c r="W39" s="215"/>
      <c r="X39" s="207"/>
      <c r="Y39" s="207"/>
      <c r="Z39" s="207"/>
      <c r="AA39" s="207"/>
      <c r="AB39" s="207"/>
      <c r="AC39" s="207"/>
      <c r="AD39" s="208"/>
      <c r="AE39" s="173"/>
      <c r="AF39" s="173"/>
      <c r="AG39" s="173"/>
      <c r="AH39" s="173"/>
      <c r="AI39" s="173"/>
      <c r="AJ39" s="173"/>
      <c r="AK39" s="173"/>
      <c r="AL39" s="173"/>
      <c r="AM39" s="173"/>
      <c r="AN39" s="173"/>
      <c r="AO39" s="173"/>
      <c r="AP39" s="173"/>
      <c r="AQ39" s="173"/>
      <c r="AR39" s="151"/>
      <c r="AS39" s="173"/>
      <c r="AT39" s="173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</row>
    <row r="40" spans="1:59" ht="12.75">
      <c r="A40" s="210" t="str">
        <f t="shared" si="8"/>
        <v>Đô Lương</v>
      </c>
      <c r="B40" s="211"/>
      <c r="C40" s="248"/>
      <c r="D40" s="248"/>
      <c r="E40" s="248"/>
      <c r="F40" s="248"/>
      <c r="G40" s="248"/>
      <c r="H40" s="248"/>
      <c r="I40" s="248"/>
      <c r="J40" s="212" t="str">
        <f t="shared" si="9"/>
        <v/>
      </c>
      <c r="K40" s="213" t="str">
        <f t="shared" si="10"/>
        <v/>
      </c>
      <c r="L40" s="160"/>
      <c r="M40" s="160"/>
      <c r="N40" s="214"/>
      <c r="O40" s="175"/>
      <c r="P40" s="175"/>
      <c r="Q40" s="175"/>
      <c r="R40" s="175"/>
      <c r="S40" s="175"/>
      <c r="T40" s="175"/>
      <c r="U40" s="175"/>
      <c r="V40" s="175"/>
      <c r="W40" s="215"/>
      <c r="X40" s="207"/>
      <c r="Y40" s="207"/>
      <c r="Z40" s="207"/>
      <c r="AA40" s="207"/>
      <c r="AB40" s="207"/>
      <c r="AC40" s="207"/>
      <c r="AD40" s="208"/>
      <c r="AE40" s="173"/>
      <c r="AF40" s="173"/>
      <c r="AG40" s="173"/>
      <c r="AH40" s="173"/>
      <c r="AI40" s="173"/>
      <c r="AJ40" s="173"/>
      <c r="AK40" s="173"/>
      <c r="AL40" s="173"/>
      <c r="AM40" s="173"/>
      <c r="AN40" s="173"/>
      <c r="AO40" s="173"/>
      <c r="AP40" s="173"/>
      <c r="AQ40" s="173"/>
      <c r="AR40" s="151"/>
      <c r="AS40" s="173"/>
      <c r="AT40" s="173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</row>
    <row r="41" spans="1:59" ht="12.75">
      <c r="A41" s="210" t="str">
        <f t="shared" si="8"/>
        <v>Tây Hiếu</v>
      </c>
      <c r="B41" s="211"/>
      <c r="C41" s="248"/>
      <c r="D41" s="248"/>
      <c r="E41" s="248"/>
      <c r="F41" s="248"/>
      <c r="G41" s="248"/>
      <c r="H41" s="248"/>
      <c r="I41" s="248"/>
      <c r="J41" s="212" t="str">
        <f t="shared" si="9"/>
        <v/>
      </c>
      <c r="K41" s="213" t="str">
        <f t="shared" si="10"/>
        <v/>
      </c>
      <c r="L41" s="160"/>
      <c r="M41" s="160"/>
      <c r="N41" s="214"/>
      <c r="O41" s="175"/>
      <c r="P41" s="175"/>
      <c r="Q41" s="175"/>
      <c r="R41" s="175"/>
      <c r="S41" s="175"/>
      <c r="T41" s="175"/>
      <c r="U41" s="175"/>
      <c r="V41" s="175"/>
      <c r="W41" s="215"/>
      <c r="X41" s="207"/>
      <c r="Y41" s="207"/>
      <c r="Z41" s="207"/>
      <c r="AA41" s="207"/>
      <c r="AB41" s="207"/>
      <c r="AC41" s="207"/>
      <c r="AD41" s="208"/>
      <c r="AE41" s="173"/>
      <c r="AF41" s="173"/>
      <c r="AG41" s="173"/>
      <c r="AH41" s="173"/>
      <c r="AI41" s="173"/>
      <c r="AJ41" s="173"/>
      <c r="AK41" s="173"/>
      <c r="AL41" s="173"/>
      <c r="AM41" s="173"/>
      <c r="AN41" s="173"/>
      <c r="AO41" s="173"/>
      <c r="AP41" s="173"/>
      <c r="AQ41" s="173"/>
      <c r="AR41" s="151"/>
      <c r="AS41" s="173"/>
      <c r="AT41" s="173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</row>
    <row r="42" spans="1:59" ht="12.75">
      <c r="A42" s="210" t="str">
        <f t="shared" si="8"/>
        <v>Quỳ Châu</v>
      </c>
      <c r="B42" s="211"/>
      <c r="C42" s="248"/>
      <c r="D42" s="248"/>
      <c r="E42" s="248"/>
      <c r="F42" s="248"/>
      <c r="G42" s="248"/>
      <c r="H42" s="248"/>
      <c r="I42" s="248"/>
      <c r="J42" s="212" t="str">
        <f t="shared" si="9"/>
        <v/>
      </c>
      <c r="K42" s="213" t="str">
        <f t="shared" si="10"/>
        <v/>
      </c>
      <c r="L42" s="160"/>
      <c r="M42" s="160"/>
      <c r="N42" s="214"/>
      <c r="O42" s="175"/>
      <c r="P42" s="175"/>
      <c r="Q42" s="175"/>
      <c r="R42" s="175"/>
      <c r="S42" s="175"/>
      <c r="T42" s="175"/>
      <c r="U42" s="175"/>
      <c r="V42" s="175"/>
      <c r="W42" s="215"/>
      <c r="X42" s="207"/>
      <c r="Y42" s="207"/>
      <c r="Z42" s="207"/>
      <c r="AA42" s="207"/>
      <c r="AB42" s="207"/>
      <c r="AC42" s="207"/>
      <c r="AD42" s="208"/>
      <c r="AE42" s="173"/>
      <c r="AF42" s="173"/>
      <c r="AG42" s="173"/>
      <c r="AH42" s="173"/>
      <c r="AI42" s="173"/>
      <c r="AJ42" s="173"/>
      <c r="AK42" s="173"/>
      <c r="AL42" s="173"/>
      <c r="AM42" s="173"/>
      <c r="AN42" s="173"/>
      <c r="AO42" s="173"/>
      <c r="AP42" s="173"/>
      <c r="AQ42" s="173"/>
      <c r="AR42" s="151"/>
      <c r="AS42" s="173"/>
      <c r="AT42" s="173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</row>
    <row r="43" spans="1:59" ht="12.75">
      <c r="A43" s="210" t="str">
        <f t="shared" si="8"/>
        <v>Quỳ Hợp</v>
      </c>
      <c r="B43" s="211"/>
      <c r="C43" s="248"/>
      <c r="D43" s="248"/>
      <c r="E43" s="248"/>
      <c r="F43" s="248"/>
      <c r="G43" s="248"/>
      <c r="H43" s="248"/>
      <c r="I43" s="248"/>
      <c r="J43" s="212" t="str">
        <f t="shared" si="9"/>
        <v/>
      </c>
      <c r="K43" s="213" t="str">
        <f t="shared" si="10"/>
        <v/>
      </c>
      <c r="L43" s="160"/>
      <c r="M43" s="160"/>
      <c r="N43" s="214"/>
      <c r="O43" s="175"/>
      <c r="P43" s="175"/>
      <c r="Q43" s="175"/>
      <c r="R43" s="175"/>
      <c r="S43" s="175"/>
      <c r="T43" s="175"/>
      <c r="U43" s="175"/>
      <c r="V43" s="175"/>
      <c r="W43" s="215"/>
      <c r="X43" s="207"/>
      <c r="Y43" s="207"/>
      <c r="Z43" s="207"/>
      <c r="AA43" s="207"/>
      <c r="AB43" s="207"/>
      <c r="AC43" s="207"/>
      <c r="AD43" s="208"/>
      <c r="AE43" s="173"/>
      <c r="AF43" s="173"/>
      <c r="AG43" s="173"/>
      <c r="AH43" s="173"/>
      <c r="AI43" s="173"/>
      <c r="AJ43" s="173"/>
      <c r="AK43" s="173"/>
      <c r="AL43" s="173"/>
      <c r="AM43" s="173"/>
      <c r="AN43" s="173"/>
      <c r="AO43" s="173"/>
      <c r="AP43" s="173"/>
      <c r="AQ43" s="173"/>
      <c r="AR43" s="151"/>
      <c r="AS43" s="173"/>
      <c r="AT43" s="173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</row>
    <row r="44" spans="1:59" ht="12.75">
      <c r="A44" s="210" t="str">
        <f t="shared" si="8"/>
        <v>Quỳnh Lưu</v>
      </c>
      <c r="B44" s="211"/>
      <c r="C44" s="248"/>
      <c r="D44" s="248"/>
      <c r="E44" s="248"/>
      <c r="F44" s="248"/>
      <c r="G44" s="248"/>
      <c r="H44" s="248"/>
      <c r="I44" s="248"/>
      <c r="J44" s="212" t="str">
        <f t="shared" si="9"/>
        <v/>
      </c>
      <c r="K44" s="213" t="str">
        <f t="shared" si="10"/>
        <v/>
      </c>
      <c r="L44" s="160"/>
      <c r="M44" s="160"/>
      <c r="N44" s="214"/>
      <c r="O44" s="175"/>
      <c r="P44" s="175"/>
      <c r="Q44" s="175"/>
      <c r="R44" s="175"/>
      <c r="S44" s="175"/>
      <c r="T44" s="175"/>
      <c r="U44" s="175"/>
      <c r="V44" s="175"/>
      <c r="W44" s="215"/>
      <c r="X44" s="207"/>
      <c r="Y44" s="207"/>
      <c r="Z44" s="207"/>
      <c r="AA44" s="207"/>
      <c r="AB44" s="207"/>
      <c r="AC44" s="207"/>
      <c r="AD44" s="208"/>
      <c r="AE44" s="173"/>
      <c r="AF44" s="173"/>
      <c r="AG44" s="173"/>
      <c r="AH44" s="173"/>
      <c r="AI44" s="173"/>
      <c r="AJ44" s="173"/>
      <c r="AK44" s="173"/>
      <c r="AL44" s="173"/>
      <c r="AM44" s="173"/>
      <c r="AN44" s="173"/>
      <c r="AO44" s="173"/>
      <c r="AP44" s="173"/>
      <c r="AQ44" s="173"/>
      <c r="AR44" s="151"/>
      <c r="AS44" s="173"/>
      <c r="AT44" s="173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</row>
    <row r="45" spans="1:59" ht="12.75">
      <c r="A45" s="210" t="str">
        <f t="shared" si="8"/>
        <v>Con Cuông</v>
      </c>
      <c r="B45" s="211"/>
      <c r="C45" s="248"/>
      <c r="D45" s="248"/>
      <c r="E45" s="248"/>
      <c r="F45" s="248"/>
      <c r="G45" s="248"/>
      <c r="H45" s="248"/>
      <c r="I45" s="248"/>
      <c r="J45" s="212" t="str">
        <f t="shared" si="9"/>
        <v/>
      </c>
      <c r="K45" s="213" t="str">
        <f t="shared" si="10"/>
        <v/>
      </c>
      <c r="L45" s="160"/>
      <c r="M45" s="160"/>
      <c r="N45" s="214"/>
      <c r="O45" s="175"/>
      <c r="P45" s="175"/>
      <c r="Q45" s="175"/>
      <c r="R45" s="175"/>
      <c r="S45" s="175"/>
      <c r="T45" s="175"/>
      <c r="U45" s="175"/>
      <c r="V45" s="175"/>
      <c r="W45" s="215"/>
      <c r="X45" s="207"/>
      <c r="Y45" s="207"/>
      <c r="Z45" s="207"/>
      <c r="AA45" s="207"/>
      <c r="AB45" s="207"/>
      <c r="AC45" s="207"/>
      <c r="AD45" s="208"/>
      <c r="AE45" s="173"/>
      <c r="AF45" s="173"/>
      <c r="AG45" s="173"/>
      <c r="AH45" s="173"/>
      <c r="AI45" s="173"/>
      <c r="AJ45" s="173"/>
      <c r="AK45" s="173"/>
      <c r="AL45" s="173"/>
      <c r="AM45" s="173"/>
      <c r="AN45" s="173"/>
      <c r="AO45" s="173"/>
      <c r="AP45" s="173"/>
      <c r="AQ45" s="173"/>
      <c r="AR45" s="151"/>
      <c r="AS45" s="173"/>
      <c r="AT45" s="173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</row>
    <row r="46" spans="1:59" ht="12.75">
      <c r="A46" s="210" t="str">
        <f t="shared" si="8"/>
        <v>Hòn Ngư</v>
      </c>
      <c r="B46" s="211"/>
      <c r="C46" s="248"/>
      <c r="D46" s="248"/>
      <c r="E46" s="248"/>
      <c r="F46" s="248"/>
      <c r="G46" s="248"/>
      <c r="H46" s="248"/>
      <c r="I46" s="248"/>
      <c r="J46" s="212" t="str">
        <f t="shared" si="9"/>
        <v/>
      </c>
      <c r="K46" s="213" t="str">
        <f t="shared" si="10"/>
        <v/>
      </c>
      <c r="L46" s="160"/>
      <c r="M46" s="160"/>
      <c r="N46" s="214"/>
      <c r="O46" s="175"/>
      <c r="P46" s="175"/>
      <c r="Q46" s="175"/>
      <c r="R46" s="175"/>
      <c r="S46" s="175"/>
      <c r="T46" s="175"/>
      <c r="U46" s="175"/>
      <c r="V46" s="175"/>
      <c r="W46" s="215"/>
      <c r="X46" s="207"/>
      <c r="Y46" s="207"/>
      <c r="Z46" s="207"/>
      <c r="AA46" s="207"/>
      <c r="AB46" s="207"/>
      <c r="AC46" s="207"/>
      <c r="AD46" s="208"/>
      <c r="AE46" s="173"/>
      <c r="AF46" s="173"/>
      <c r="AG46" s="173"/>
      <c r="AH46" s="173"/>
      <c r="AI46" s="173"/>
      <c r="AJ46" s="173"/>
      <c r="AK46" s="173"/>
      <c r="AL46" s="173"/>
      <c r="AM46" s="173"/>
      <c r="AN46" s="173"/>
      <c r="AO46" s="173"/>
      <c r="AP46" s="173"/>
      <c r="AQ46" s="173"/>
      <c r="AR46" s="151"/>
      <c r="AS46" s="173"/>
      <c r="AT46" s="173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</row>
    <row r="47" spans="1:59" ht="12.75">
      <c r="A47" s="210" t="str">
        <f t="shared" si="8"/>
        <v>Tương Dương</v>
      </c>
      <c r="B47" s="211"/>
      <c r="C47" s="248"/>
      <c r="D47" s="248"/>
      <c r="E47" s="248"/>
      <c r="F47" s="248"/>
      <c r="G47" s="248"/>
      <c r="H47" s="248"/>
      <c r="I47" s="248"/>
      <c r="J47" s="212" t="str">
        <f t="shared" si="9"/>
        <v/>
      </c>
      <c r="K47" s="213" t="str">
        <f t="shared" si="10"/>
        <v/>
      </c>
      <c r="L47" s="160"/>
      <c r="M47" s="160"/>
      <c r="N47" s="214"/>
      <c r="O47" s="175"/>
      <c r="P47" s="175"/>
      <c r="Q47" s="175"/>
      <c r="R47" s="175"/>
      <c r="S47" s="175"/>
      <c r="T47" s="175"/>
      <c r="U47" s="175"/>
      <c r="V47" s="175"/>
      <c r="W47" s="215"/>
      <c r="X47" s="207"/>
      <c r="Y47" s="207"/>
      <c r="Z47" s="207"/>
      <c r="AA47" s="207"/>
      <c r="AB47" s="207"/>
      <c r="AC47" s="207"/>
      <c r="AD47" s="208"/>
      <c r="AE47" s="173"/>
      <c r="AF47" s="173"/>
      <c r="AG47" s="173"/>
      <c r="AH47" s="173"/>
      <c r="AI47" s="173"/>
      <c r="AJ47" s="173"/>
      <c r="AK47" s="173"/>
      <c r="AL47" s="173"/>
      <c r="AM47" s="173"/>
      <c r="AN47" s="173"/>
      <c r="AO47" s="173"/>
      <c r="AP47" s="173"/>
      <c r="AQ47" s="173"/>
      <c r="AR47" s="151"/>
      <c r="AS47" s="173"/>
      <c r="AT47" s="173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</row>
    <row r="48" spans="1:59" ht="12.75">
      <c r="A48" s="210" t="str">
        <f t="shared" si="8"/>
        <v>Hà Tĩnh</v>
      </c>
      <c r="B48" s="211"/>
      <c r="C48" s="248"/>
      <c r="D48" s="248"/>
      <c r="E48" s="248"/>
      <c r="F48" s="248"/>
      <c r="G48" s="248"/>
      <c r="H48" s="248"/>
      <c r="I48" s="248"/>
      <c r="J48" s="212" t="str">
        <f t="shared" si="9"/>
        <v/>
      </c>
      <c r="K48" s="213" t="str">
        <f t="shared" si="10"/>
        <v/>
      </c>
      <c r="L48" s="160"/>
      <c r="M48" s="160"/>
      <c r="N48" s="214"/>
      <c r="O48" s="175"/>
      <c r="P48" s="175"/>
      <c r="Q48" s="175"/>
      <c r="R48" s="175"/>
      <c r="S48" s="175"/>
      <c r="T48" s="175"/>
      <c r="U48" s="175"/>
      <c r="V48" s="175"/>
      <c r="W48" s="215"/>
      <c r="X48" s="207"/>
      <c r="Y48" s="207"/>
      <c r="Z48" s="207"/>
      <c r="AA48" s="207"/>
      <c r="AB48" s="207"/>
      <c r="AC48" s="207"/>
      <c r="AD48" s="208"/>
      <c r="AE48" s="173"/>
      <c r="AF48" s="173"/>
      <c r="AG48" s="173"/>
      <c r="AH48" s="173"/>
      <c r="AI48" s="173"/>
      <c r="AJ48" s="173"/>
      <c r="AK48" s="173"/>
      <c r="AL48" s="173"/>
      <c r="AM48" s="173"/>
      <c r="AN48" s="173"/>
      <c r="AO48" s="173"/>
      <c r="AP48" s="173"/>
      <c r="AQ48" s="173"/>
      <c r="AR48" s="151"/>
      <c r="AS48" s="173"/>
      <c r="AT48" s="173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</row>
    <row r="49" spans="1:59" ht="12.75">
      <c r="A49" s="210" t="str">
        <f t="shared" si="8"/>
        <v>Kỳ Anh</v>
      </c>
      <c r="B49" s="211"/>
      <c r="C49" s="248"/>
      <c r="D49" s="248"/>
      <c r="E49" s="248"/>
      <c r="F49" s="248"/>
      <c r="G49" s="248"/>
      <c r="H49" s="248"/>
      <c r="I49" s="248"/>
      <c r="J49" s="212" t="str">
        <f t="shared" si="9"/>
        <v/>
      </c>
      <c r="K49" s="213" t="str">
        <f t="shared" si="10"/>
        <v/>
      </c>
      <c r="L49" s="160"/>
      <c r="M49" s="160"/>
      <c r="N49" s="214"/>
      <c r="O49" s="175"/>
      <c r="P49" s="175"/>
      <c r="Q49" s="175"/>
      <c r="R49" s="175"/>
      <c r="S49" s="175"/>
      <c r="T49" s="175"/>
      <c r="U49" s="175"/>
      <c r="V49" s="175"/>
      <c r="W49" s="215"/>
      <c r="X49" s="207"/>
      <c r="Y49" s="207"/>
      <c r="Z49" s="207"/>
      <c r="AA49" s="207"/>
      <c r="AB49" s="207"/>
      <c r="AC49" s="207"/>
      <c r="AD49" s="208"/>
      <c r="AE49" s="173"/>
      <c r="AF49" s="173"/>
      <c r="AG49" s="173"/>
      <c r="AH49" s="173"/>
      <c r="AI49" s="173"/>
      <c r="AJ49" s="173"/>
      <c r="AK49" s="173"/>
      <c r="AL49" s="173"/>
      <c r="AM49" s="173"/>
      <c r="AN49" s="173"/>
      <c r="AO49" s="173"/>
      <c r="AP49" s="173"/>
      <c r="AQ49" s="173"/>
      <c r="AR49" s="151"/>
      <c r="AS49" s="173"/>
      <c r="AT49" s="173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</row>
    <row r="50" spans="1:59" ht="12.75">
      <c r="A50" s="210" t="str">
        <f t="shared" si="8"/>
        <v>Hương Sơn</v>
      </c>
      <c r="B50" s="211"/>
      <c r="C50" s="248"/>
      <c r="D50" s="248"/>
      <c r="E50" s="248"/>
      <c r="F50" s="248"/>
      <c r="G50" s="248"/>
      <c r="H50" s="248"/>
      <c r="I50" s="248"/>
      <c r="J50" s="212" t="str">
        <f t="shared" si="9"/>
        <v/>
      </c>
      <c r="K50" s="213" t="str">
        <f t="shared" si="10"/>
        <v/>
      </c>
      <c r="L50" s="160"/>
      <c r="M50" s="160"/>
      <c r="N50" s="214"/>
      <c r="O50" s="175"/>
      <c r="P50" s="175"/>
      <c r="Q50" s="175"/>
      <c r="R50" s="175"/>
      <c r="S50" s="175"/>
      <c r="T50" s="175"/>
      <c r="U50" s="175"/>
      <c r="V50" s="175"/>
      <c r="W50" s="215"/>
      <c r="X50" s="207"/>
      <c r="Y50" s="207"/>
      <c r="Z50" s="207"/>
      <c r="AA50" s="207"/>
      <c r="AB50" s="207"/>
      <c r="AC50" s="207"/>
      <c r="AD50" s="208"/>
      <c r="AE50" s="173"/>
      <c r="AF50" s="173"/>
      <c r="AG50" s="173"/>
      <c r="AH50" s="173"/>
      <c r="AI50" s="173"/>
      <c r="AJ50" s="173"/>
      <c r="AK50" s="173"/>
      <c r="AL50" s="173"/>
      <c r="AM50" s="173"/>
      <c r="AN50" s="173"/>
      <c r="AO50" s="173"/>
      <c r="AP50" s="173"/>
      <c r="AQ50" s="173"/>
      <c r="AR50" s="151"/>
      <c r="AS50" s="173"/>
      <c r="AT50" s="173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</row>
    <row r="51" spans="1:59" ht="12.75" customHeight="1">
      <c r="A51" s="210" t="str">
        <f t="shared" si="8"/>
        <v>Hương Khê</v>
      </c>
      <c r="B51" s="211"/>
      <c r="C51" s="248"/>
      <c r="D51" s="248"/>
      <c r="E51" s="248"/>
      <c r="F51" s="248"/>
      <c r="G51" s="248"/>
      <c r="H51" s="248"/>
      <c r="I51" s="248"/>
      <c r="J51" s="212" t="str">
        <f t="shared" si="9"/>
        <v/>
      </c>
      <c r="K51" s="213" t="str">
        <f t="shared" si="10"/>
        <v/>
      </c>
      <c r="L51" s="160"/>
      <c r="M51" s="160"/>
      <c r="N51" s="214"/>
      <c r="O51" s="175"/>
      <c r="P51" s="175"/>
      <c r="Q51" s="175"/>
      <c r="R51" s="175"/>
      <c r="S51" s="175"/>
      <c r="T51" s="175"/>
      <c r="U51" s="175"/>
      <c r="V51" s="175"/>
      <c r="W51" s="215"/>
      <c r="X51" s="207"/>
      <c r="Y51" s="207"/>
      <c r="Z51" s="207"/>
      <c r="AA51" s="207"/>
      <c r="AB51" s="207"/>
      <c r="AC51" s="207"/>
      <c r="AD51" s="208"/>
      <c r="AE51" s="179"/>
      <c r="AF51" s="173"/>
      <c r="AG51" s="173"/>
      <c r="AH51" s="173"/>
      <c r="AI51" s="173"/>
      <c r="AJ51" s="173"/>
      <c r="AK51" s="173"/>
      <c r="AL51" s="173"/>
      <c r="AM51" s="173"/>
      <c r="AN51" s="173"/>
      <c r="AO51" s="173"/>
      <c r="AP51" s="173"/>
      <c r="AQ51" s="173"/>
      <c r="AR51" s="151"/>
      <c r="AS51" s="173"/>
      <c r="AT51" s="173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</row>
    <row r="52" spans="1:59" ht="12.75" customHeight="1">
      <c r="A52" s="210" t="str">
        <f t="shared" si="8"/>
        <v>Hoành Sơn</v>
      </c>
      <c r="B52" s="211"/>
      <c r="C52" s="248"/>
      <c r="D52" s="248"/>
      <c r="E52" s="248"/>
      <c r="F52" s="248"/>
      <c r="G52" s="248"/>
      <c r="H52" s="248"/>
      <c r="I52" s="248"/>
      <c r="J52" s="212" t="str">
        <f t="shared" si="9"/>
        <v/>
      </c>
      <c r="K52" s="213" t="str">
        <f t="shared" si="10"/>
        <v/>
      </c>
      <c r="L52" s="160"/>
      <c r="M52" s="160"/>
      <c r="N52" s="214"/>
      <c r="O52" s="175"/>
      <c r="P52" s="175"/>
      <c r="Q52" s="175"/>
      <c r="R52" s="175"/>
      <c r="S52" s="175"/>
      <c r="T52" s="175"/>
      <c r="U52" s="175"/>
      <c r="V52" s="175"/>
      <c r="W52" s="215"/>
      <c r="X52" s="207"/>
      <c r="Y52" s="207"/>
      <c r="Z52" s="207"/>
      <c r="AA52" s="207"/>
      <c r="AB52" s="207"/>
      <c r="AC52" s="207"/>
      <c r="AD52" s="208"/>
      <c r="AE52" s="179"/>
      <c r="AF52" s="173"/>
      <c r="AG52" s="173"/>
      <c r="AH52" s="173"/>
      <c r="AI52" s="173"/>
      <c r="AJ52" s="173"/>
      <c r="AK52" s="173"/>
      <c r="AL52" s="173"/>
      <c r="AM52" s="173"/>
      <c r="AN52" s="173"/>
      <c r="AO52" s="173"/>
      <c r="AP52" s="173"/>
      <c r="AQ52" s="173"/>
      <c r="AR52" s="151"/>
      <c r="AS52" s="173"/>
      <c r="AT52" s="173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</row>
    <row r="53" spans="1:59" ht="10.5" customHeight="1" thickBot="1">
      <c r="A53" s="185"/>
      <c r="B53" s="249"/>
      <c r="C53" s="251"/>
      <c r="D53" s="250"/>
      <c r="E53" s="250"/>
      <c r="F53" s="250"/>
      <c r="G53" s="250"/>
      <c r="H53" s="250"/>
      <c r="I53" s="250"/>
      <c r="J53" s="177"/>
      <c r="K53" s="177"/>
      <c r="L53" s="216"/>
      <c r="M53" s="216"/>
      <c r="N53" s="216"/>
      <c r="O53" s="176"/>
      <c r="P53" s="217"/>
      <c r="Q53" s="176"/>
      <c r="R53" s="176"/>
      <c r="S53" s="176"/>
      <c r="T53" s="176"/>
      <c r="U53" s="176"/>
      <c r="V53" s="176"/>
      <c r="W53" s="209"/>
      <c r="X53" s="209"/>
      <c r="Y53" s="209"/>
      <c r="Z53" s="209"/>
      <c r="AA53" s="209"/>
      <c r="AB53" s="218"/>
      <c r="AC53" s="218"/>
      <c r="AD53" s="219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</row>
    <row r="54" spans="1:59">
      <c r="B54" s="54"/>
      <c r="K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159"/>
      <c r="AF54" s="159"/>
      <c r="AG54" s="159"/>
      <c r="AH54" s="159"/>
      <c r="AI54" s="159"/>
      <c r="AJ54" s="159"/>
      <c r="AK54" s="159"/>
      <c r="AL54" s="159"/>
      <c r="AM54" s="159"/>
    </row>
    <row r="55" spans="1:59" s="118" customFormat="1" ht="14.25" hidden="1" customHeight="1">
      <c r="A55" s="130" t="s">
        <v>105</v>
      </c>
      <c r="B55" s="85" t="str">
        <f t="shared" ref="B55:I57" si="11">IF(COUNT(O31)&gt;0,O31,"")</f>
        <v/>
      </c>
      <c r="C55" s="85" t="str">
        <f t="shared" si="11"/>
        <v/>
      </c>
      <c r="D55" s="85" t="str">
        <f t="shared" si="11"/>
        <v/>
      </c>
      <c r="E55" s="85" t="str">
        <f t="shared" si="11"/>
        <v/>
      </c>
      <c r="F55" s="85" t="str">
        <f t="shared" si="11"/>
        <v/>
      </c>
      <c r="G55" s="85" t="str">
        <f t="shared" si="11"/>
        <v/>
      </c>
      <c r="H55" s="85" t="str">
        <f t="shared" si="11"/>
        <v/>
      </c>
      <c r="I55" s="85" t="str">
        <f t="shared" si="11"/>
        <v/>
      </c>
    </row>
    <row r="56" spans="1:59" s="118" customFormat="1" ht="14.25" hidden="1" customHeight="1">
      <c r="A56" s="131" t="s">
        <v>106</v>
      </c>
      <c r="B56" s="85" t="str">
        <f t="shared" si="11"/>
        <v/>
      </c>
      <c r="C56" s="85" t="str">
        <f t="shared" si="11"/>
        <v/>
      </c>
      <c r="D56" s="85" t="str">
        <f t="shared" si="11"/>
        <v/>
      </c>
      <c r="E56" s="85" t="str">
        <f t="shared" si="11"/>
        <v/>
      </c>
      <c r="F56" s="85" t="str">
        <f t="shared" si="11"/>
        <v/>
      </c>
      <c r="G56" s="85" t="str">
        <f t="shared" si="11"/>
        <v/>
      </c>
      <c r="H56" s="85" t="str">
        <f t="shared" si="11"/>
        <v/>
      </c>
      <c r="I56" s="85" t="str">
        <f t="shared" si="11"/>
        <v/>
      </c>
      <c r="K56" s="128"/>
      <c r="L56" s="128"/>
      <c r="M56" s="128"/>
      <c r="N56" s="128"/>
      <c r="O56" s="128"/>
      <c r="P56" s="128"/>
      <c r="Q56" s="128"/>
      <c r="R56" s="128"/>
    </row>
    <row r="57" spans="1:59" s="118" customFormat="1" ht="14.25" hidden="1" customHeight="1">
      <c r="A57" s="130" t="s">
        <v>107</v>
      </c>
      <c r="B57" s="85" t="str">
        <f t="shared" si="11"/>
        <v/>
      </c>
      <c r="C57" s="85" t="str">
        <f t="shared" si="11"/>
        <v/>
      </c>
      <c r="D57" s="85" t="str">
        <f t="shared" si="11"/>
        <v/>
      </c>
      <c r="E57" s="85" t="str">
        <f t="shared" si="11"/>
        <v/>
      </c>
      <c r="F57" s="85" t="str">
        <f t="shared" si="11"/>
        <v/>
      </c>
      <c r="G57" s="85" t="str">
        <f t="shared" si="11"/>
        <v/>
      </c>
      <c r="H57" s="85" t="str">
        <f t="shared" si="11"/>
        <v/>
      </c>
      <c r="I57" s="85" t="str">
        <f t="shared" si="11"/>
        <v/>
      </c>
      <c r="K57" s="128"/>
      <c r="L57" s="128"/>
      <c r="M57" s="128"/>
      <c r="N57" s="128"/>
      <c r="O57" s="128"/>
      <c r="P57" s="128"/>
      <c r="Q57" s="128"/>
      <c r="R57" s="128"/>
    </row>
    <row r="58" spans="1:59" s="118" customFormat="1" ht="14.25" hidden="1" customHeight="1">
      <c r="A58" s="129" t="s">
        <v>108</v>
      </c>
      <c r="B58" s="85" t="str">
        <f t="shared" ref="B58:I58" si="12">IF(COUNT(O35)&gt;0,O35,"")</f>
        <v/>
      </c>
      <c r="C58" s="85" t="str">
        <f t="shared" si="12"/>
        <v/>
      </c>
      <c r="D58" s="85" t="str">
        <f t="shared" si="12"/>
        <v/>
      </c>
      <c r="E58" s="85" t="str">
        <f t="shared" si="12"/>
        <v/>
      </c>
      <c r="F58" s="85" t="str">
        <f t="shared" si="12"/>
        <v/>
      </c>
      <c r="G58" s="85" t="str">
        <f t="shared" si="12"/>
        <v/>
      </c>
      <c r="H58" s="85" t="str">
        <f t="shared" si="12"/>
        <v/>
      </c>
      <c r="I58" s="85" t="str">
        <f t="shared" si="12"/>
        <v/>
      </c>
    </row>
    <row r="59" spans="1:59" s="118" customFormat="1" ht="14.25" hidden="1" customHeight="1">
      <c r="A59" s="130" t="s">
        <v>109</v>
      </c>
      <c r="B59" s="85" t="str">
        <f t="shared" ref="B59:I59" si="13">IF(COUNT(O39)&gt;0,O39,"")</f>
        <v/>
      </c>
      <c r="C59" s="85" t="str">
        <f t="shared" si="13"/>
        <v/>
      </c>
      <c r="D59" s="85" t="str">
        <f t="shared" si="13"/>
        <v/>
      </c>
      <c r="E59" s="85" t="str">
        <f t="shared" si="13"/>
        <v/>
      </c>
      <c r="F59" s="85" t="str">
        <f t="shared" si="13"/>
        <v/>
      </c>
      <c r="G59" s="85" t="str">
        <f t="shared" si="13"/>
        <v/>
      </c>
      <c r="H59" s="85" t="str">
        <f t="shared" si="13"/>
        <v/>
      </c>
      <c r="I59" s="85" t="str">
        <f t="shared" si="13"/>
        <v/>
      </c>
    </row>
    <row r="60" spans="1:59" s="118" customFormat="1" ht="14.25" hidden="1" customHeight="1">
      <c r="A60" s="130" t="s">
        <v>110</v>
      </c>
      <c r="B60" s="85" t="str">
        <f t="shared" ref="B60:I61" si="14">IF(COUNT(O44)&gt;0,O44,"")</f>
        <v/>
      </c>
      <c r="C60" s="85" t="str">
        <f t="shared" si="14"/>
        <v/>
      </c>
      <c r="D60" s="85" t="str">
        <f t="shared" si="14"/>
        <v/>
      </c>
      <c r="E60" s="85" t="str">
        <f t="shared" si="14"/>
        <v/>
      </c>
      <c r="F60" s="85" t="str">
        <f t="shared" si="14"/>
        <v/>
      </c>
      <c r="G60" s="85" t="str">
        <f t="shared" si="14"/>
        <v/>
      </c>
      <c r="H60" s="85" t="str">
        <f t="shared" si="14"/>
        <v/>
      </c>
      <c r="I60" s="85" t="str">
        <f t="shared" si="14"/>
        <v/>
      </c>
    </row>
    <row r="61" spans="1:59" s="118" customFormat="1" ht="14.25" hidden="1" customHeight="1">
      <c r="A61" s="130" t="s">
        <v>111</v>
      </c>
      <c r="B61" s="85" t="str">
        <f t="shared" si="14"/>
        <v/>
      </c>
      <c r="C61" s="85" t="str">
        <f t="shared" si="14"/>
        <v/>
      </c>
      <c r="D61" s="85" t="str">
        <f t="shared" si="14"/>
        <v/>
      </c>
      <c r="E61" s="85" t="str">
        <f t="shared" si="14"/>
        <v/>
      </c>
      <c r="F61" s="85" t="str">
        <f t="shared" si="14"/>
        <v/>
      </c>
      <c r="G61" s="85" t="str">
        <f t="shared" si="14"/>
        <v/>
      </c>
      <c r="H61" s="85" t="str">
        <f t="shared" si="14"/>
        <v/>
      </c>
      <c r="I61" s="85" t="str">
        <f t="shared" si="14"/>
        <v/>
      </c>
    </row>
    <row r="62" spans="1:59" hidden="1">
      <c r="A62" s="51"/>
      <c r="B62" s="159"/>
      <c r="C62" s="159"/>
      <c r="K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</row>
    <row r="63" spans="1:59" hidden="1">
      <c r="A63" s="51"/>
      <c r="B63" s="159"/>
      <c r="C63" s="159"/>
      <c r="K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</row>
    <row r="64" spans="1:59" hidden="1">
      <c r="A64" s="51"/>
      <c r="B64" s="159"/>
      <c r="C64" s="159"/>
      <c r="K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</row>
    <row r="65" spans="1:31" hidden="1">
      <c r="A65" s="51"/>
      <c r="B65" s="159"/>
      <c r="C65" s="159"/>
      <c r="K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</row>
    <row r="66" spans="1:31" hidden="1">
      <c r="A66" s="51"/>
      <c r="B66" s="159"/>
      <c r="C66" s="159"/>
      <c r="K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</row>
    <row r="67" spans="1:31" hidden="1">
      <c r="A67" s="51"/>
      <c r="B67" s="159"/>
      <c r="C67" s="159"/>
      <c r="K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</row>
    <row r="68" spans="1:31" hidden="1">
      <c r="A68" s="51"/>
      <c r="B68" s="159"/>
      <c r="C68" s="159"/>
      <c r="K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</row>
    <row r="69" spans="1:31" hidden="1">
      <c r="A69" s="51"/>
      <c r="B69" s="159"/>
      <c r="C69" s="159"/>
      <c r="K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</row>
    <row r="70" spans="1:31" hidden="1">
      <c r="A70" s="51"/>
      <c r="B70" s="159"/>
      <c r="C70" s="159"/>
      <c r="K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</row>
    <row r="71" spans="1:31" hidden="1">
      <c r="A71" s="51"/>
      <c r="B71" s="159"/>
      <c r="C71" s="159"/>
      <c r="K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</row>
    <row r="72" spans="1:31" hidden="1">
      <c r="A72" s="51"/>
      <c r="B72" s="159"/>
      <c r="C72" s="159"/>
      <c r="K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</row>
    <row r="73" spans="1:31" hidden="1">
      <c r="A73" s="51"/>
      <c r="B73" s="159"/>
      <c r="C73" s="159"/>
      <c r="K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</row>
    <row r="74" spans="1:31" hidden="1">
      <c r="A74" s="51"/>
      <c r="B74" s="159"/>
      <c r="C74" s="159"/>
      <c r="K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</row>
    <row r="75" spans="1:31" hidden="1">
      <c r="A75" s="51"/>
      <c r="B75" s="159"/>
      <c r="C75" s="159"/>
      <c r="K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</row>
    <row r="76" spans="1:31" hidden="1">
      <c r="A76" s="51"/>
      <c r="B76" s="159"/>
      <c r="C76" s="159"/>
      <c r="K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</row>
    <row r="77" spans="1:31" hidden="1">
      <c r="A77" s="51"/>
      <c r="B77" s="159"/>
      <c r="C77" s="159"/>
      <c r="K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</row>
    <row r="78" spans="1:31" hidden="1">
      <c r="A78" s="51"/>
      <c r="B78" s="159"/>
      <c r="C78" s="159"/>
      <c r="K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</row>
    <row r="79" spans="1:31" hidden="1">
      <c r="B79" s="54"/>
      <c r="K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</row>
    <row r="80" spans="1:31" hidden="1">
      <c r="B80" s="54"/>
      <c r="K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</row>
    <row r="81" spans="2:31" hidden="1">
      <c r="B81" s="54"/>
      <c r="K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</row>
    <row r="82" spans="2:31" hidden="1">
      <c r="B82" s="54"/>
      <c r="K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</row>
    <row r="83" spans="2:31" hidden="1">
      <c r="B83" s="54"/>
      <c r="K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</row>
    <row r="84" spans="2:31" hidden="1">
      <c r="B84" s="54"/>
      <c r="K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</row>
    <row r="85" spans="2:31" hidden="1">
      <c r="B85" s="54"/>
      <c r="K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</row>
    <row r="86" spans="2:31" hidden="1">
      <c r="B86" s="54"/>
      <c r="K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</row>
    <row r="87" spans="2:31" hidden="1">
      <c r="B87" s="54"/>
      <c r="K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</row>
    <row r="88" spans="2:31" hidden="1">
      <c r="B88" s="54"/>
      <c r="K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</row>
    <row r="89" spans="2:31" hidden="1">
      <c r="B89" s="54"/>
      <c r="K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</row>
    <row r="90" spans="2:31" hidden="1">
      <c r="B90" s="54"/>
      <c r="K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</row>
    <row r="91" spans="2:31" hidden="1">
      <c r="B91" s="54"/>
      <c r="K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</row>
    <row r="92" spans="2:31" hidden="1">
      <c r="B92" s="54"/>
      <c r="K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</row>
    <row r="93" spans="2:31" hidden="1">
      <c r="B93" s="54"/>
      <c r="K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</row>
    <row r="94" spans="2:31" hidden="1">
      <c r="B94" s="54"/>
      <c r="K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</row>
    <row r="95" spans="2:31" hidden="1">
      <c r="B95" s="54"/>
      <c r="K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</row>
    <row r="96" spans="2:31" hidden="1">
      <c r="B96" s="54"/>
      <c r="K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</row>
    <row r="97" spans="2:31" hidden="1">
      <c r="B97" s="54"/>
      <c r="K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</row>
    <row r="98" spans="2:31" hidden="1">
      <c r="B98" s="54"/>
      <c r="K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</row>
    <row r="99" spans="2:31" hidden="1">
      <c r="B99" s="54"/>
      <c r="K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</row>
    <row r="100" spans="2:31" hidden="1">
      <c r="B100" s="54"/>
      <c r="K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</row>
    <row r="101" spans="2:31" hidden="1">
      <c r="B101" s="54"/>
      <c r="K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</row>
    <row r="102" spans="2:31" hidden="1">
      <c r="B102" s="54"/>
      <c r="K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</row>
    <row r="103" spans="2:31" hidden="1">
      <c r="B103" s="54"/>
      <c r="K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</row>
    <row r="104" spans="2:31" hidden="1">
      <c r="B104" s="54"/>
      <c r="K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</row>
    <row r="105" spans="2:31" hidden="1">
      <c r="B105" s="54"/>
      <c r="K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</row>
    <row r="106" spans="2:31" hidden="1">
      <c r="B106" s="54"/>
      <c r="K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</row>
    <row r="107" spans="2:31" hidden="1">
      <c r="B107" s="54"/>
      <c r="K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</row>
    <row r="108" spans="2:31"/>
  </sheetData>
  <mergeCells count="9">
    <mergeCell ref="O29:V29"/>
    <mergeCell ref="B29:K29"/>
    <mergeCell ref="L29:N29"/>
    <mergeCell ref="W29:AD29"/>
    <mergeCell ref="D1:W1"/>
    <mergeCell ref="X1:Z1"/>
    <mergeCell ref="N2:R2"/>
    <mergeCell ref="S2:Z2"/>
    <mergeCell ref="AA2:AH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&amp;A</oddHeader>
    <oddFooter>Page &amp;P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S31"/>
  <sheetViews>
    <sheetView showGridLines="0" zoomScale="75" workbookViewId="0">
      <selection activeCell="J6" sqref="J6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9.33203125" style="5" hidden="1" customWidth="1"/>
    <col min="19" max="19" width="9.6640625" style="5" hidden="1" customWidth="1"/>
    <col min="20" max="16384" width="9.33203125" style="5" hidden="1"/>
  </cols>
  <sheetData>
    <row r="1" spans="1:16" s="122" customFormat="1" ht="29.25" customHeight="1">
      <c r="A1" s="531" t="s">
        <v>112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162" t="s">
        <v>0</v>
      </c>
      <c r="B3" s="86">
        <v>1</v>
      </c>
      <c r="C3" s="86">
        <v>2</v>
      </c>
      <c r="D3" s="86">
        <v>3</v>
      </c>
      <c r="E3" s="86">
        <v>4</v>
      </c>
      <c r="F3" s="86">
        <v>5</v>
      </c>
      <c r="G3" s="61">
        <v>6</v>
      </c>
      <c r="H3" s="86">
        <v>7</v>
      </c>
      <c r="I3" s="86">
        <v>8</v>
      </c>
      <c r="J3" s="86">
        <v>9</v>
      </c>
      <c r="K3" s="86">
        <v>10</v>
      </c>
      <c r="L3" s="88" t="s">
        <v>1</v>
      </c>
      <c r="M3" s="88" t="s">
        <v>2</v>
      </c>
      <c r="N3" s="89" t="s">
        <v>3</v>
      </c>
    </row>
    <row r="4" spans="1:16" s="64" customFormat="1" ht="21" customHeight="1">
      <c r="A4" s="198" t="s">
        <v>128</v>
      </c>
      <c r="B4" s="277" t="str">
        <f>'Tæng kÕt T '!B6</f>
        <v xml:space="preserve"> </v>
      </c>
      <c r="C4" s="277" t="str">
        <f>'Tæng kÕt T '!C6</f>
        <v xml:space="preserve"> </v>
      </c>
      <c r="D4" s="277" t="str">
        <f>'Tæng kÕt T '!D6</f>
        <v xml:space="preserve"> </v>
      </c>
      <c r="E4" s="277" t="str">
        <f>'Tæng kÕt T '!E6</f>
        <v xml:space="preserve"> </v>
      </c>
      <c r="F4" s="278" t="str">
        <f>'Tæng kÕt T '!F6</f>
        <v xml:space="preserve"> </v>
      </c>
      <c r="G4" s="277" t="str">
        <f>'Tæng kÕt T '!G6</f>
        <v xml:space="preserve"> </v>
      </c>
      <c r="H4" s="277" t="str">
        <f>'Tæng kÕt T '!H6</f>
        <v xml:space="preserve"> </v>
      </c>
      <c r="I4" s="277" t="str">
        <f>'Tæng kÕt T '!I6</f>
        <v xml:space="preserve"> </v>
      </c>
      <c r="J4" s="277" t="str">
        <f>'Tæng kÕt T '!J6</f>
        <v xml:space="preserve"> </v>
      </c>
      <c r="K4" s="277" t="str">
        <f>'Tæng kÕt T '!K6</f>
        <v xml:space="preserve"> </v>
      </c>
      <c r="L4" s="279" t="str">
        <f>IF(COUNT(B4:F4)&gt;0,AVERAGE(B4:F4)," ")</f>
        <v xml:space="preserve"> </v>
      </c>
      <c r="M4" s="279" t="str">
        <f>IF(COUNT(G4:K4)&gt;0,AVERAGE(G4:K4)," ")</f>
        <v xml:space="preserve"> </v>
      </c>
      <c r="N4" s="280" t="str">
        <f>IF(COUNT(B4:K4)&gt;0,AVERAGE(B4:K4)," ")</f>
        <v xml:space="preserve"> </v>
      </c>
      <c r="O4" s="267"/>
      <c r="P4" s="96"/>
    </row>
    <row r="5" spans="1:16" s="64" customFormat="1" ht="21" customHeight="1">
      <c r="A5" s="199" t="s">
        <v>129</v>
      </c>
      <c r="B5" s="277" t="str">
        <f>'Tæng kÕt T '!B7</f>
        <v xml:space="preserve"> </v>
      </c>
      <c r="C5" s="277" t="str">
        <f>'Tæng kÕt T '!C7</f>
        <v xml:space="preserve"> </v>
      </c>
      <c r="D5" s="277" t="str">
        <f>'Tæng kÕt T '!D7</f>
        <v xml:space="preserve"> </v>
      </c>
      <c r="E5" s="277" t="str">
        <f>'Tæng kÕt T '!E7</f>
        <v xml:space="preserve"> </v>
      </c>
      <c r="F5" s="278" t="str">
        <f>'Tæng kÕt T '!F7</f>
        <v xml:space="preserve"> </v>
      </c>
      <c r="G5" s="277" t="str">
        <f>'Tæng kÕt T '!G7</f>
        <v xml:space="preserve"> </v>
      </c>
      <c r="H5" s="277" t="str">
        <f>'Tæng kÕt T '!H7</f>
        <v xml:space="preserve"> </v>
      </c>
      <c r="I5" s="277" t="str">
        <f>'Tæng kÕt T '!I7</f>
        <v xml:space="preserve"> </v>
      </c>
      <c r="J5" s="277" t="str">
        <f>'Tæng kÕt T '!J7</f>
        <v xml:space="preserve"> </v>
      </c>
      <c r="K5" s="277" t="str">
        <f>'Tæng kÕt T '!K7</f>
        <v xml:space="preserve"> </v>
      </c>
      <c r="L5" s="279" t="str">
        <f>IF(COUNT(B5:F5)&gt;0,AVERAGE(B5:F5)," ")</f>
        <v xml:space="preserve"> </v>
      </c>
      <c r="M5" s="279" t="str">
        <f>IF(COUNT(G5:K5)&gt;0,AVERAGE(G5:K5)," ")</f>
        <v xml:space="preserve"> </v>
      </c>
      <c r="N5" s="280" t="str">
        <f>IF(COUNT(B5:K5)&gt;0,AVERAGE(B5:K5)," ")</f>
        <v xml:space="preserve"> </v>
      </c>
      <c r="O5" s="267"/>
      <c r="P5" s="96"/>
    </row>
    <row r="6" spans="1:16" s="64" customFormat="1" ht="21" customHeight="1">
      <c r="A6" s="200" t="s">
        <v>130</v>
      </c>
      <c r="B6" s="277" t="str">
        <f>'Tæng kÕt T '!B8</f>
        <v xml:space="preserve"> </v>
      </c>
      <c r="C6" s="277" t="str">
        <f>'Tæng kÕt T '!C8</f>
        <v xml:space="preserve"> </v>
      </c>
      <c r="D6" s="277" t="str">
        <f>'Tæng kÕt T '!D8</f>
        <v xml:space="preserve"> </v>
      </c>
      <c r="E6" s="277" t="str">
        <f>'Tæng kÕt T '!E8</f>
        <v xml:space="preserve"> </v>
      </c>
      <c r="F6" s="278" t="str">
        <f>'Tæng kÕt T '!F8</f>
        <v xml:space="preserve"> </v>
      </c>
      <c r="G6" s="277" t="str">
        <f>'Tæng kÕt T '!G8</f>
        <v xml:space="preserve"> </v>
      </c>
      <c r="H6" s="277" t="str">
        <f>'Tæng kÕt T '!H8</f>
        <v xml:space="preserve"> </v>
      </c>
      <c r="I6" s="277" t="str">
        <f>'Tæng kÕt T '!I8</f>
        <v xml:space="preserve"> </v>
      </c>
      <c r="J6" s="277" t="str">
        <f>'Tæng kÕt T '!J8</f>
        <v xml:space="preserve"> </v>
      </c>
      <c r="K6" s="277" t="str">
        <f>'Tæng kÕt T '!K8</f>
        <v xml:space="preserve"> </v>
      </c>
      <c r="L6" s="279" t="str">
        <f t="shared" ref="L6:L25" si="0">IF(COUNT(B6:F6)&gt;0,AVERAGE(B6:F6)," ")</f>
        <v xml:space="preserve"> </v>
      </c>
      <c r="M6" s="279" t="str">
        <f t="shared" ref="M6:M25" si="1">IF(COUNT(G6:K6)&gt;0,AVERAGE(G6:K6)," ")</f>
        <v xml:space="preserve"> </v>
      </c>
      <c r="N6" s="280" t="str">
        <f t="shared" ref="N6:N25" si="2">IF(COUNT(B6:K6)&gt;0,AVERAGE(B6:K6)," ")</f>
        <v xml:space="preserve"> </v>
      </c>
      <c r="O6" s="267"/>
      <c r="P6" s="294"/>
    </row>
    <row r="7" spans="1:16" s="64" customFormat="1" ht="21" customHeight="1">
      <c r="A7" s="199" t="s">
        <v>131</v>
      </c>
      <c r="B7" s="277" t="str">
        <f>'Tæng kÕt T '!B9</f>
        <v xml:space="preserve"> </v>
      </c>
      <c r="C7" s="277" t="str">
        <f>'Tæng kÕt T '!C9</f>
        <v xml:space="preserve"> </v>
      </c>
      <c r="D7" s="277" t="str">
        <f>'Tæng kÕt T '!D9</f>
        <v xml:space="preserve"> </v>
      </c>
      <c r="E7" s="277" t="str">
        <f>'Tæng kÕt T '!E9</f>
        <v xml:space="preserve"> </v>
      </c>
      <c r="F7" s="278" t="str">
        <f>'Tæng kÕt T '!F9</f>
        <v xml:space="preserve"> </v>
      </c>
      <c r="G7" s="277" t="str">
        <f>'Tæng kÕt T '!G9</f>
        <v xml:space="preserve"> </v>
      </c>
      <c r="H7" s="277" t="str">
        <f>'Tæng kÕt T '!H9</f>
        <v xml:space="preserve"> </v>
      </c>
      <c r="I7" s="277" t="str">
        <f>'Tæng kÕt T '!I9</f>
        <v xml:space="preserve"> </v>
      </c>
      <c r="J7" s="277" t="str">
        <f>'Tæng kÕt T '!J9</f>
        <v xml:space="preserve"> </v>
      </c>
      <c r="K7" s="277" t="str">
        <f>'Tæng kÕt T '!K9</f>
        <v xml:space="preserve"> </v>
      </c>
      <c r="L7" s="279" t="str">
        <f t="shared" si="0"/>
        <v xml:space="preserve"> </v>
      </c>
      <c r="M7" s="279" t="str">
        <f t="shared" si="1"/>
        <v xml:space="preserve"> </v>
      </c>
      <c r="N7" s="280" t="str">
        <f t="shared" si="2"/>
        <v xml:space="preserve"> </v>
      </c>
      <c r="O7" s="267"/>
      <c r="P7" s="96"/>
    </row>
    <row r="8" spans="1:16" s="64" customFormat="1" ht="21" customHeight="1">
      <c r="A8" s="199" t="s">
        <v>132</v>
      </c>
      <c r="B8" s="277" t="str">
        <f>'Tæng kÕt T '!B10</f>
        <v xml:space="preserve"> </v>
      </c>
      <c r="C8" s="277" t="str">
        <f>'Tæng kÕt T '!C10</f>
        <v xml:space="preserve"> </v>
      </c>
      <c r="D8" s="277" t="str">
        <f>'Tæng kÕt T '!D10</f>
        <v xml:space="preserve"> </v>
      </c>
      <c r="E8" s="277" t="str">
        <f>'Tæng kÕt T '!E10</f>
        <v xml:space="preserve"> </v>
      </c>
      <c r="F8" s="278" t="str">
        <f>'Tæng kÕt T '!F10</f>
        <v xml:space="preserve"> </v>
      </c>
      <c r="G8" s="277" t="str">
        <f>'Tæng kÕt T '!G10</f>
        <v xml:space="preserve"> </v>
      </c>
      <c r="H8" s="277" t="str">
        <f>'Tæng kÕt T '!H10</f>
        <v xml:space="preserve"> </v>
      </c>
      <c r="I8" s="277" t="str">
        <f>'Tæng kÕt T '!I10</f>
        <v xml:space="preserve"> </v>
      </c>
      <c r="J8" s="277" t="str">
        <f>'Tæng kÕt T '!J10</f>
        <v xml:space="preserve"> </v>
      </c>
      <c r="K8" s="277" t="str">
        <f>'Tæng kÕt T '!K10</f>
        <v xml:space="preserve"> </v>
      </c>
      <c r="L8" s="279" t="str">
        <f t="shared" si="0"/>
        <v xml:space="preserve"> </v>
      </c>
      <c r="M8" s="279" t="str">
        <f t="shared" si="1"/>
        <v xml:space="preserve"> </v>
      </c>
      <c r="N8" s="280" t="str">
        <f t="shared" si="2"/>
        <v xml:space="preserve"> </v>
      </c>
      <c r="O8" s="267"/>
      <c r="P8" s="96"/>
    </row>
    <row r="9" spans="1:16" s="64" customFormat="1" ht="21" customHeight="1">
      <c r="A9" s="199" t="s">
        <v>133</v>
      </c>
      <c r="B9" s="277" t="str">
        <f>'Tæng kÕt T '!B11</f>
        <v xml:space="preserve"> </v>
      </c>
      <c r="C9" s="277" t="str">
        <f>'Tæng kÕt T '!C11</f>
        <v xml:space="preserve"> </v>
      </c>
      <c r="D9" s="277" t="str">
        <f>'Tæng kÕt T '!D11</f>
        <v xml:space="preserve"> </v>
      </c>
      <c r="E9" s="277" t="str">
        <f>'Tæng kÕt T '!E11</f>
        <v xml:space="preserve"> </v>
      </c>
      <c r="F9" s="278" t="str">
        <f>'Tæng kÕt T '!F11</f>
        <v xml:space="preserve"> </v>
      </c>
      <c r="G9" s="277" t="str">
        <f>'Tæng kÕt T '!G11</f>
        <v xml:space="preserve"> </v>
      </c>
      <c r="H9" s="277" t="str">
        <f>'Tæng kÕt T '!H11</f>
        <v xml:space="preserve"> </v>
      </c>
      <c r="I9" s="277" t="str">
        <f>'Tæng kÕt T '!I11</f>
        <v xml:space="preserve"> </v>
      </c>
      <c r="J9" s="277" t="str">
        <f>'Tæng kÕt T '!J11</f>
        <v xml:space="preserve"> </v>
      </c>
      <c r="K9" s="277" t="str">
        <f>'Tæng kÕt T '!K11</f>
        <v xml:space="preserve"> </v>
      </c>
      <c r="L9" s="279" t="str">
        <f t="shared" si="0"/>
        <v xml:space="preserve"> </v>
      </c>
      <c r="M9" s="279" t="str">
        <f t="shared" si="1"/>
        <v xml:space="preserve"> </v>
      </c>
      <c r="N9" s="280" t="str">
        <f t="shared" si="2"/>
        <v xml:space="preserve"> </v>
      </c>
      <c r="O9" s="267"/>
      <c r="P9" s="97"/>
    </row>
    <row r="10" spans="1:16" s="64" customFormat="1" ht="21" customHeight="1">
      <c r="A10" s="199" t="s">
        <v>134</v>
      </c>
      <c r="B10" s="277" t="str">
        <f>'Tæng kÕt T '!B12</f>
        <v xml:space="preserve"> </v>
      </c>
      <c r="C10" s="277" t="str">
        <f>'Tæng kÕt T '!C12</f>
        <v xml:space="preserve"> </v>
      </c>
      <c r="D10" s="277" t="str">
        <f>'Tæng kÕt T '!D12</f>
        <v xml:space="preserve"> </v>
      </c>
      <c r="E10" s="277" t="str">
        <f>'Tæng kÕt T '!E12</f>
        <v xml:space="preserve"> </v>
      </c>
      <c r="F10" s="278" t="str">
        <f>'Tæng kÕt T '!F12</f>
        <v xml:space="preserve"> </v>
      </c>
      <c r="G10" s="277" t="str">
        <f>'Tæng kÕt T '!G12</f>
        <v xml:space="preserve"> </v>
      </c>
      <c r="H10" s="277" t="str">
        <f>'Tæng kÕt T '!H12</f>
        <v xml:space="preserve"> </v>
      </c>
      <c r="I10" s="277" t="str">
        <f>'Tæng kÕt T '!I12</f>
        <v xml:space="preserve"> </v>
      </c>
      <c r="J10" s="277" t="str">
        <f>'Tæng kÕt T '!J12</f>
        <v xml:space="preserve"> </v>
      </c>
      <c r="K10" s="277" t="str">
        <f>'Tæng kÕt T '!K12</f>
        <v xml:space="preserve"> </v>
      </c>
      <c r="L10" s="279" t="str">
        <f t="shared" si="0"/>
        <v xml:space="preserve"> </v>
      </c>
      <c r="M10" s="279" t="str">
        <f t="shared" si="1"/>
        <v xml:space="preserve"> </v>
      </c>
      <c r="N10" s="280" t="str">
        <f t="shared" si="2"/>
        <v xml:space="preserve"> </v>
      </c>
      <c r="O10" s="267"/>
      <c r="P10" s="96"/>
    </row>
    <row r="11" spans="1:16" s="64" customFormat="1" ht="21" customHeight="1">
      <c r="A11" s="199" t="s">
        <v>192</v>
      </c>
      <c r="B11" s="277" t="str">
        <f>'Tæng kÕt T '!B13</f>
        <v xml:space="preserve"> </v>
      </c>
      <c r="C11" s="277" t="str">
        <f>'Tæng kÕt T '!C13</f>
        <v xml:space="preserve"> </v>
      </c>
      <c r="D11" s="277" t="str">
        <f>'Tæng kÕt T '!D13</f>
        <v xml:space="preserve"> </v>
      </c>
      <c r="E11" s="277" t="str">
        <f>'Tæng kÕt T '!E13</f>
        <v xml:space="preserve"> </v>
      </c>
      <c r="F11" s="278" t="str">
        <f>'Tæng kÕt T '!F13</f>
        <v xml:space="preserve"> </v>
      </c>
      <c r="G11" s="277" t="str">
        <f>'Tæng kÕt T '!G13</f>
        <v xml:space="preserve"> </v>
      </c>
      <c r="H11" s="277" t="str">
        <f>'Tæng kÕt T '!H13</f>
        <v xml:space="preserve"> </v>
      </c>
      <c r="I11" s="277" t="str">
        <f>'Tæng kÕt T '!I13</f>
        <v xml:space="preserve"> </v>
      </c>
      <c r="J11" s="277" t="str">
        <f>'Tæng kÕt T '!J13</f>
        <v xml:space="preserve"> </v>
      </c>
      <c r="K11" s="277" t="str">
        <f>'Tæng kÕt T '!K13</f>
        <v xml:space="preserve"> </v>
      </c>
      <c r="L11" s="279" t="str">
        <f t="shared" si="0"/>
        <v xml:space="preserve"> </v>
      </c>
      <c r="M11" s="279" t="str">
        <f t="shared" si="1"/>
        <v xml:space="preserve"> </v>
      </c>
      <c r="N11" s="280" t="str">
        <f t="shared" si="2"/>
        <v xml:space="preserve"> </v>
      </c>
      <c r="O11" s="267"/>
      <c r="P11" s="96"/>
    </row>
    <row r="12" spans="1:16" s="64" customFormat="1" ht="21" customHeight="1">
      <c r="A12" s="199" t="s">
        <v>135</v>
      </c>
      <c r="B12" s="277" t="str">
        <f>'Tæng kÕt T '!B14</f>
        <v xml:space="preserve"> </v>
      </c>
      <c r="C12" s="277" t="str">
        <f>'Tæng kÕt T '!C14</f>
        <v xml:space="preserve"> </v>
      </c>
      <c r="D12" s="277" t="str">
        <f>'Tæng kÕt T '!D14</f>
        <v xml:space="preserve"> </v>
      </c>
      <c r="E12" s="277" t="str">
        <f>'Tæng kÕt T '!E14</f>
        <v xml:space="preserve"> </v>
      </c>
      <c r="F12" s="278" t="str">
        <f>'Tæng kÕt T '!F14</f>
        <v xml:space="preserve"> </v>
      </c>
      <c r="G12" s="277" t="str">
        <f>'Tæng kÕt T '!G14</f>
        <v xml:space="preserve"> </v>
      </c>
      <c r="H12" s="277" t="str">
        <f>'Tæng kÕt T '!H14</f>
        <v xml:space="preserve"> </v>
      </c>
      <c r="I12" s="277" t="str">
        <f>'Tæng kÕt T '!I14</f>
        <v xml:space="preserve"> </v>
      </c>
      <c r="J12" s="277" t="str">
        <f>'Tæng kÕt T '!J14</f>
        <v xml:space="preserve"> </v>
      </c>
      <c r="K12" s="277" t="str">
        <f>'Tæng kÕt T '!K14</f>
        <v xml:space="preserve"> </v>
      </c>
      <c r="L12" s="279" t="str">
        <f t="shared" si="0"/>
        <v xml:space="preserve"> </v>
      </c>
      <c r="M12" s="279" t="str">
        <f t="shared" si="1"/>
        <v xml:space="preserve"> </v>
      </c>
      <c r="N12" s="280" t="str">
        <f t="shared" si="2"/>
        <v xml:space="preserve"> </v>
      </c>
      <c r="O12" s="267"/>
      <c r="P12" s="96"/>
    </row>
    <row r="13" spans="1:16" s="64" customFormat="1" ht="21" customHeight="1">
      <c r="A13" s="199" t="s">
        <v>136</v>
      </c>
      <c r="B13" s="277" t="str">
        <f>'Tæng kÕt T '!B15</f>
        <v xml:space="preserve"> </v>
      </c>
      <c r="C13" s="277" t="str">
        <f>'Tæng kÕt T '!C15</f>
        <v xml:space="preserve"> </v>
      </c>
      <c r="D13" s="277" t="str">
        <f>'Tæng kÕt T '!D15</f>
        <v xml:space="preserve"> </v>
      </c>
      <c r="E13" s="277" t="str">
        <f>'Tæng kÕt T '!E15</f>
        <v xml:space="preserve"> </v>
      </c>
      <c r="F13" s="278" t="str">
        <f>'Tæng kÕt T '!F15</f>
        <v xml:space="preserve"> </v>
      </c>
      <c r="G13" s="277" t="str">
        <f>'Tæng kÕt T '!G15</f>
        <v xml:space="preserve"> </v>
      </c>
      <c r="H13" s="277" t="str">
        <f>'Tæng kÕt T '!H15</f>
        <v xml:space="preserve"> </v>
      </c>
      <c r="I13" s="277" t="str">
        <f>'Tæng kÕt T '!I15</f>
        <v xml:space="preserve"> </v>
      </c>
      <c r="J13" s="277" t="str">
        <f>'Tæng kÕt T '!J15</f>
        <v xml:space="preserve"> </v>
      </c>
      <c r="K13" s="277" t="str">
        <f>'Tæng kÕt T '!K15</f>
        <v xml:space="preserve"> </v>
      </c>
      <c r="L13" s="279" t="str">
        <f t="shared" si="0"/>
        <v xml:space="preserve"> </v>
      </c>
      <c r="M13" s="279" t="str">
        <f t="shared" si="1"/>
        <v xml:space="preserve"> </v>
      </c>
      <c r="N13" s="280" t="str">
        <f t="shared" si="2"/>
        <v xml:space="preserve"> </v>
      </c>
      <c r="O13" s="267"/>
      <c r="P13" s="96"/>
    </row>
    <row r="14" spans="1:16" s="64" customFormat="1" ht="21" customHeight="1">
      <c r="A14" s="200" t="s">
        <v>137</v>
      </c>
      <c r="B14" s="277" t="str">
        <f>'Tæng kÕt T '!B16</f>
        <v xml:space="preserve"> </v>
      </c>
      <c r="C14" s="277" t="str">
        <f>'Tæng kÕt T '!C16</f>
        <v xml:space="preserve"> </v>
      </c>
      <c r="D14" s="277" t="str">
        <f>'Tæng kÕt T '!D16</f>
        <v xml:space="preserve"> </v>
      </c>
      <c r="E14" s="277" t="str">
        <f>'Tæng kÕt T '!E16</f>
        <v xml:space="preserve"> </v>
      </c>
      <c r="F14" s="278" t="str">
        <f>'Tæng kÕt T '!F16</f>
        <v xml:space="preserve"> </v>
      </c>
      <c r="G14" s="277" t="str">
        <f>'Tæng kÕt T '!G16</f>
        <v xml:space="preserve"> </v>
      </c>
      <c r="H14" s="277" t="str">
        <f>'Tæng kÕt T '!H16</f>
        <v xml:space="preserve"> </v>
      </c>
      <c r="I14" s="277" t="str">
        <f>'Tæng kÕt T '!I16</f>
        <v xml:space="preserve"> </v>
      </c>
      <c r="J14" s="277" t="str">
        <f>'Tæng kÕt T '!J16</f>
        <v xml:space="preserve"> </v>
      </c>
      <c r="K14" s="277" t="str">
        <f>'Tæng kÕt T '!K16</f>
        <v xml:space="preserve"> </v>
      </c>
      <c r="L14" s="279" t="str">
        <f t="shared" si="0"/>
        <v xml:space="preserve"> </v>
      </c>
      <c r="M14" s="279" t="str">
        <f t="shared" si="1"/>
        <v xml:space="preserve"> </v>
      </c>
      <c r="N14" s="280" t="str">
        <f t="shared" si="2"/>
        <v xml:space="preserve"> </v>
      </c>
      <c r="O14" s="267"/>
      <c r="P14" s="294"/>
    </row>
    <row r="15" spans="1:16" s="64" customFormat="1" ht="21" customHeight="1">
      <c r="A15" s="199" t="s">
        <v>138</v>
      </c>
      <c r="B15" s="277" t="str">
        <f>'Tæng kÕt T '!B17</f>
        <v xml:space="preserve"> </v>
      </c>
      <c r="C15" s="277" t="str">
        <f>'Tæng kÕt T '!C17</f>
        <v xml:space="preserve"> </v>
      </c>
      <c r="D15" s="277" t="str">
        <f>'Tæng kÕt T '!D17</f>
        <v xml:space="preserve"> </v>
      </c>
      <c r="E15" s="277" t="str">
        <f>'Tæng kÕt T '!E17</f>
        <v xml:space="preserve"> </v>
      </c>
      <c r="F15" s="278" t="str">
        <f>'Tæng kÕt T '!F17</f>
        <v xml:space="preserve"> </v>
      </c>
      <c r="G15" s="277" t="str">
        <f>'Tæng kÕt T '!G17</f>
        <v xml:space="preserve"> </v>
      </c>
      <c r="H15" s="277" t="str">
        <f>'Tæng kÕt T '!H17</f>
        <v xml:space="preserve"> </v>
      </c>
      <c r="I15" s="277" t="str">
        <f>'Tæng kÕt T '!I17</f>
        <v xml:space="preserve"> </v>
      </c>
      <c r="J15" s="277" t="str">
        <f>'Tæng kÕt T '!J17</f>
        <v xml:space="preserve"> </v>
      </c>
      <c r="K15" s="277" t="str">
        <f>'Tæng kÕt T '!K17</f>
        <v xml:space="preserve"> </v>
      </c>
      <c r="L15" s="279" t="str">
        <f t="shared" si="0"/>
        <v xml:space="preserve"> </v>
      </c>
      <c r="M15" s="279" t="str">
        <f t="shared" si="1"/>
        <v xml:space="preserve"> </v>
      </c>
      <c r="N15" s="280" t="str">
        <f t="shared" si="2"/>
        <v xml:space="preserve"> </v>
      </c>
      <c r="O15" s="267"/>
      <c r="P15" s="96"/>
    </row>
    <row r="16" spans="1:16" s="64" customFormat="1" ht="21" customHeight="1">
      <c r="A16" s="200" t="s">
        <v>139</v>
      </c>
      <c r="B16" s="277" t="str">
        <f>'Tæng kÕt T '!B18</f>
        <v xml:space="preserve"> </v>
      </c>
      <c r="C16" s="277" t="str">
        <f>'Tæng kÕt T '!C18</f>
        <v xml:space="preserve"> </v>
      </c>
      <c r="D16" s="277" t="str">
        <f>'Tæng kÕt T '!D18</f>
        <v xml:space="preserve"> </v>
      </c>
      <c r="E16" s="277" t="str">
        <f>'Tæng kÕt T '!E18</f>
        <v xml:space="preserve"> </v>
      </c>
      <c r="F16" s="278" t="str">
        <f>'Tæng kÕt T '!F18</f>
        <v xml:space="preserve"> </v>
      </c>
      <c r="G16" s="277" t="str">
        <f>'Tæng kÕt T '!G18</f>
        <v xml:space="preserve"> </v>
      </c>
      <c r="H16" s="277" t="str">
        <f>'Tæng kÕt T '!H18</f>
        <v xml:space="preserve"> </v>
      </c>
      <c r="I16" s="277" t="str">
        <f>'Tæng kÕt T '!I18</f>
        <v xml:space="preserve"> </v>
      </c>
      <c r="J16" s="277" t="str">
        <f>'Tæng kÕt T '!J18</f>
        <v xml:space="preserve"> </v>
      </c>
      <c r="K16" s="277" t="str">
        <f>'Tæng kÕt T '!K18</f>
        <v xml:space="preserve"> </v>
      </c>
      <c r="L16" s="279" t="str">
        <f t="shared" si="0"/>
        <v xml:space="preserve"> </v>
      </c>
      <c r="M16" s="279" t="str">
        <f t="shared" si="1"/>
        <v xml:space="preserve"> </v>
      </c>
      <c r="N16" s="280" t="str">
        <f t="shared" si="2"/>
        <v xml:space="preserve"> </v>
      </c>
      <c r="O16" s="267"/>
      <c r="P16" s="294"/>
    </row>
    <row r="17" spans="1:16" s="64" customFormat="1" ht="21" customHeight="1">
      <c r="A17" s="199" t="s">
        <v>140</v>
      </c>
      <c r="B17" s="277" t="str">
        <f>'Tæng kÕt T '!B19</f>
        <v xml:space="preserve"> </v>
      </c>
      <c r="C17" s="277" t="str">
        <f>'Tæng kÕt T '!C19</f>
        <v xml:space="preserve"> </v>
      </c>
      <c r="D17" s="277" t="str">
        <f>'Tæng kÕt T '!D19</f>
        <v xml:space="preserve"> </v>
      </c>
      <c r="E17" s="277" t="str">
        <f>'Tæng kÕt T '!E19</f>
        <v xml:space="preserve"> </v>
      </c>
      <c r="F17" s="278" t="str">
        <f>'Tæng kÕt T '!F19</f>
        <v xml:space="preserve"> </v>
      </c>
      <c r="G17" s="277" t="str">
        <f>'Tæng kÕt T '!G19</f>
        <v xml:space="preserve"> </v>
      </c>
      <c r="H17" s="277" t="str">
        <f>'Tæng kÕt T '!H19</f>
        <v xml:space="preserve"> </v>
      </c>
      <c r="I17" s="277" t="str">
        <f>'Tæng kÕt T '!I19</f>
        <v xml:space="preserve"> </v>
      </c>
      <c r="J17" s="277" t="str">
        <f>'Tæng kÕt T '!J19</f>
        <v xml:space="preserve"> </v>
      </c>
      <c r="K17" s="277" t="str">
        <f>'Tæng kÕt T '!K19</f>
        <v xml:space="preserve"> </v>
      </c>
      <c r="L17" s="279" t="str">
        <f t="shared" si="0"/>
        <v xml:space="preserve"> </v>
      </c>
      <c r="M17" s="279" t="str">
        <f t="shared" si="1"/>
        <v xml:space="preserve"> </v>
      </c>
      <c r="N17" s="280" t="str">
        <f t="shared" si="2"/>
        <v xml:space="preserve"> </v>
      </c>
      <c r="O17" s="267"/>
      <c r="P17" s="294"/>
    </row>
    <row r="18" spans="1:16" s="64" customFormat="1" ht="21" customHeight="1">
      <c r="A18" s="200" t="s">
        <v>141</v>
      </c>
      <c r="B18" s="277" t="str">
        <f>'Tæng kÕt T '!B20</f>
        <v xml:space="preserve"> </v>
      </c>
      <c r="C18" s="277" t="str">
        <f>'Tæng kÕt T '!C20</f>
        <v xml:space="preserve"> </v>
      </c>
      <c r="D18" s="277" t="str">
        <f>'Tæng kÕt T '!D20</f>
        <v xml:space="preserve"> </v>
      </c>
      <c r="E18" s="277" t="str">
        <f>'Tæng kÕt T '!E20</f>
        <v xml:space="preserve"> </v>
      </c>
      <c r="F18" s="278" t="str">
        <f>'Tæng kÕt T '!F20</f>
        <v xml:space="preserve"> </v>
      </c>
      <c r="G18" s="277" t="str">
        <f>'Tæng kÕt T '!G20</f>
        <v xml:space="preserve"> </v>
      </c>
      <c r="H18" s="277" t="str">
        <f>'Tæng kÕt T '!H20</f>
        <v xml:space="preserve"> </v>
      </c>
      <c r="I18" s="277" t="str">
        <f>'Tæng kÕt T '!I20</f>
        <v xml:space="preserve"> </v>
      </c>
      <c r="J18" s="277" t="str">
        <f>'Tæng kÕt T '!J20</f>
        <v xml:space="preserve"> </v>
      </c>
      <c r="K18" s="277" t="str">
        <f>'Tæng kÕt T '!K20</f>
        <v xml:space="preserve"> </v>
      </c>
      <c r="L18" s="279" t="str">
        <f t="shared" si="0"/>
        <v xml:space="preserve"> </v>
      </c>
      <c r="M18" s="279" t="str">
        <f t="shared" si="1"/>
        <v xml:space="preserve"> </v>
      </c>
      <c r="N18" s="280" t="str">
        <f t="shared" si="2"/>
        <v xml:space="preserve"> </v>
      </c>
      <c r="O18" s="267"/>
      <c r="P18" s="294"/>
    </row>
    <row r="19" spans="1:16" s="64" customFormat="1" ht="21" customHeight="1">
      <c r="A19" s="199" t="s">
        <v>142</v>
      </c>
      <c r="B19" s="277" t="str">
        <f>'Tæng kÕt T '!B21</f>
        <v xml:space="preserve"> </v>
      </c>
      <c r="C19" s="277" t="str">
        <f>'Tæng kÕt T '!C21</f>
        <v xml:space="preserve"> </v>
      </c>
      <c r="D19" s="277" t="str">
        <f>'Tæng kÕt T '!D21</f>
        <v xml:space="preserve"> </v>
      </c>
      <c r="E19" s="277" t="str">
        <f>'Tæng kÕt T '!E21</f>
        <v xml:space="preserve"> </v>
      </c>
      <c r="F19" s="278" t="str">
        <f>'Tæng kÕt T '!F21</f>
        <v xml:space="preserve"> </v>
      </c>
      <c r="G19" s="277" t="str">
        <f>'Tæng kÕt T '!G21</f>
        <v xml:space="preserve"> </v>
      </c>
      <c r="H19" s="277" t="str">
        <f>'Tæng kÕt T '!H21</f>
        <v xml:space="preserve"> </v>
      </c>
      <c r="I19" s="277" t="str">
        <f>'Tæng kÕt T '!I21</f>
        <v xml:space="preserve"> </v>
      </c>
      <c r="J19" s="277" t="str">
        <f>'Tæng kÕt T '!J21</f>
        <v xml:space="preserve"> </v>
      </c>
      <c r="K19" s="277" t="str">
        <f>'Tæng kÕt T '!K21</f>
        <v xml:space="preserve"> </v>
      </c>
      <c r="L19" s="279" t="str">
        <f t="shared" si="0"/>
        <v xml:space="preserve"> </v>
      </c>
      <c r="M19" s="279" t="str">
        <f t="shared" si="1"/>
        <v xml:space="preserve"> </v>
      </c>
      <c r="N19" s="280" t="str">
        <f t="shared" si="2"/>
        <v xml:space="preserve"> </v>
      </c>
      <c r="O19" s="267"/>
      <c r="P19" s="294"/>
    </row>
    <row r="20" spans="1:16" s="64" customFormat="1" ht="21" customHeight="1">
      <c r="A20" s="199" t="s">
        <v>143</v>
      </c>
      <c r="B20" s="277" t="str">
        <f>'Tæng kÕt T '!B22</f>
        <v xml:space="preserve"> </v>
      </c>
      <c r="C20" s="277" t="str">
        <f>'Tæng kÕt T '!C22</f>
        <v xml:space="preserve"> </v>
      </c>
      <c r="D20" s="277" t="str">
        <f>'Tæng kÕt T '!D22</f>
        <v xml:space="preserve"> </v>
      </c>
      <c r="E20" s="277" t="str">
        <f>'Tæng kÕt T '!E22</f>
        <v xml:space="preserve"> </v>
      </c>
      <c r="F20" s="278" t="str">
        <f>'Tæng kÕt T '!F22</f>
        <v xml:space="preserve"> </v>
      </c>
      <c r="G20" s="277" t="str">
        <f>'Tæng kÕt T '!G22</f>
        <v xml:space="preserve"> </v>
      </c>
      <c r="H20" s="277" t="str">
        <f>'Tæng kÕt T '!H22</f>
        <v xml:space="preserve"> </v>
      </c>
      <c r="I20" s="277" t="str">
        <f>'Tæng kÕt T '!I22</f>
        <v xml:space="preserve"> </v>
      </c>
      <c r="J20" s="277" t="str">
        <f>'Tæng kÕt T '!J22</f>
        <v xml:space="preserve"> </v>
      </c>
      <c r="K20" s="277" t="str">
        <f>'Tæng kÕt T '!K22</f>
        <v xml:space="preserve"> </v>
      </c>
      <c r="L20" s="279" t="str">
        <f t="shared" si="0"/>
        <v xml:space="preserve"> </v>
      </c>
      <c r="M20" s="279" t="str">
        <f t="shared" si="1"/>
        <v xml:space="preserve"> </v>
      </c>
      <c r="N20" s="280" t="str">
        <f t="shared" si="2"/>
        <v xml:space="preserve"> </v>
      </c>
      <c r="O20" s="267"/>
      <c r="P20" s="294"/>
    </row>
    <row r="21" spans="1:16" s="64" customFormat="1" ht="21" customHeight="1">
      <c r="A21" s="199" t="s">
        <v>144</v>
      </c>
      <c r="B21" s="277" t="str">
        <f>'Tæng kÕt T '!B23</f>
        <v xml:space="preserve"> </v>
      </c>
      <c r="C21" s="277" t="str">
        <f>'Tæng kÕt T '!C23</f>
        <v xml:space="preserve"> </v>
      </c>
      <c r="D21" s="277" t="str">
        <f>'Tæng kÕt T '!D23</f>
        <v xml:space="preserve"> </v>
      </c>
      <c r="E21" s="277" t="str">
        <f>'Tæng kÕt T '!E23</f>
        <v xml:space="preserve"> </v>
      </c>
      <c r="F21" s="278" t="str">
        <f>'Tæng kÕt T '!F23</f>
        <v xml:space="preserve"> </v>
      </c>
      <c r="G21" s="277" t="str">
        <f>'Tæng kÕt T '!G23</f>
        <v xml:space="preserve"> </v>
      </c>
      <c r="H21" s="277" t="str">
        <f>'Tæng kÕt T '!H23</f>
        <v xml:space="preserve"> </v>
      </c>
      <c r="I21" s="277" t="str">
        <f>'Tæng kÕt T '!I23</f>
        <v xml:space="preserve"> </v>
      </c>
      <c r="J21" s="277" t="str">
        <f>'Tæng kÕt T '!J23</f>
        <v xml:space="preserve"> </v>
      </c>
      <c r="K21" s="277" t="str">
        <f>'Tæng kÕt T '!K23</f>
        <v xml:space="preserve"> </v>
      </c>
      <c r="L21" s="279" t="str">
        <f t="shared" si="0"/>
        <v xml:space="preserve"> </v>
      </c>
      <c r="M21" s="279" t="str">
        <f t="shared" si="1"/>
        <v xml:space="preserve"> </v>
      </c>
      <c r="N21" s="280" t="str">
        <f t="shared" si="2"/>
        <v xml:space="preserve"> </v>
      </c>
      <c r="O21" s="267"/>
      <c r="P21" s="294"/>
    </row>
    <row r="22" spans="1:16" s="64" customFormat="1" ht="21" customHeight="1">
      <c r="A22" s="199" t="s">
        <v>145</v>
      </c>
      <c r="B22" s="277" t="str">
        <f>'Tæng kÕt T '!B24</f>
        <v xml:space="preserve"> </v>
      </c>
      <c r="C22" s="277" t="str">
        <f>'Tæng kÕt T '!C24</f>
        <v xml:space="preserve"> </v>
      </c>
      <c r="D22" s="277" t="str">
        <f>'Tæng kÕt T '!D24</f>
        <v xml:space="preserve"> </v>
      </c>
      <c r="E22" s="277" t="str">
        <f>'Tæng kÕt T '!E24</f>
        <v xml:space="preserve"> </v>
      </c>
      <c r="F22" s="278" t="str">
        <f>'Tæng kÕt T '!F24</f>
        <v xml:space="preserve"> </v>
      </c>
      <c r="G22" s="277" t="str">
        <f>'Tæng kÕt T '!G24</f>
        <v xml:space="preserve"> </v>
      </c>
      <c r="H22" s="277" t="str">
        <f>'Tæng kÕt T '!H24</f>
        <v xml:space="preserve"> </v>
      </c>
      <c r="I22" s="277" t="str">
        <f>'Tæng kÕt T '!I24</f>
        <v xml:space="preserve"> </v>
      </c>
      <c r="J22" s="277" t="str">
        <f>'Tæng kÕt T '!J24</f>
        <v xml:space="preserve"> </v>
      </c>
      <c r="K22" s="277" t="str">
        <f>'Tæng kÕt T '!K24</f>
        <v xml:space="preserve"> </v>
      </c>
      <c r="L22" s="279" t="str">
        <f t="shared" si="0"/>
        <v xml:space="preserve"> </v>
      </c>
      <c r="M22" s="279" t="str">
        <f t="shared" si="1"/>
        <v xml:space="preserve"> </v>
      </c>
      <c r="N22" s="280" t="str">
        <f t="shared" si="2"/>
        <v xml:space="preserve"> </v>
      </c>
      <c r="O22" s="267"/>
      <c r="P22" s="294"/>
    </row>
    <row r="23" spans="1:16" s="64" customFormat="1" ht="21" customHeight="1">
      <c r="A23" s="199" t="s">
        <v>146</v>
      </c>
      <c r="B23" s="277" t="str">
        <f>'Tæng kÕt T '!B25</f>
        <v xml:space="preserve"> </v>
      </c>
      <c r="C23" s="277" t="str">
        <f>'Tæng kÕt T '!C25</f>
        <v xml:space="preserve"> </v>
      </c>
      <c r="D23" s="277" t="str">
        <f>'Tæng kÕt T '!D25</f>
        <v xml:space="preserve"> </v>
      </c>
      <c r="E23" s="277" t="str">
        <f>'Tæng kÕt T '!E25</f>
        <v xml:space="preserve"> </v>
      </c>
      <c r="F23" s="278" t="str">
        <f>'Tæng kÕt T '!F25</f>
        <v xml:space="preserve"> </v>
      </c>
      <c r="G23" s="277" t="str">
        <f>'Tæng kÕt T '!G25</f>
        <v xml:space="preserve"> </v>
      </c>
      <c r="H23" s="277" t="str">
        <f>'Tæng kÕt T '!H25</f>
        <v xml:space="preserve"> </v>
      </c>
      <c r="I23" s="277" t="str">
        <f>'Tæng kÕt T '!I25</f>
        <v xml:space="preserve"> </v>
      </c>
      <c r="J23" s="277" t="str">
        <f>'Tæng kÕt T '!J25</f>
        <v xml:space="preserve"> </v>
      </c>
      <c r="K23" s="277" t="str">
        <f>'Tæng kÕt T '!K25</f>
        <v xml:space="preserve"> </v>
      </c>
      <c r="L23" s="279" t="str">
        <f t="shared" si="0"/>
        <v xml:space="preserve"> </v>
      </c>
      <c r="M23" s="279" t="str">
        <f t="shared" si="1"/>
        <v xml:space="preserve"> </v>
      </c>
      <c r="N23" s="280" t="str">
        <f t="shared" si="2"/>
        <v xml:space="preserve"> </v>
      </c>
      <c r="O23" s="267"/>
      <c r="P23" s="294"/>
    </row>
    <row r="24" spans="1:16" s="64" customFormat="1" ht="21" customHeight="1">
      <c r="A24" s="199" t="s">
        <v>147</v>
      </c>
      <c r="B24" s="277" t="str">
        <f>'Tæng kÕt T '!B26</f>
        <v xml:space="preserve"> </v>
      </c>
      <c r="C24" s="277" t="str">
        <f>'Tæng kÕt T '!C26</f>
        <v xml:space="preserve"> </v>
      </c>
      <c r="D24" s="277" t="str">
        <f>'Tæng kÕt T '!D26</f>
        <v xml:space="preserve"> </v>
      </c>
      <c r="E24" s="277" t="str">
        <f>'Tæng kÕt T '!E26</f>
        <v xml:space="preserve"> </v>
      </c>
      <c r="F24" s="278" t="str">
        <f>'Tæng kÕt T '!F26</f>
        <v xml:space="preserve"> </v>
      </c>
      <c r="G24" s="277" t="str">
        <f>'Tæng kÕt T '!G26</f>
        <v xml:space="preserve"> </v>
      </c>
      <c r="H24" s="277" t="str">
        <f>'Tæng kÕt T '!H26</f>
        <v xml:space="preserve"> </v>
      </c>
      <c r="I24" s="277" t="str">
        <f>'Tæng kÕt T '!I26</f>
        <v xml:space="preserve"> </v>
      </c>
      <c r="J24" s="277" t="str">
        <f>'Tæng kÕt T '!J26</f>
        <v xml:space="preserve"> </v>
      </c>
      <c r="K24" s="277" t="str">
        <f>'Tæng kÕt T '!K26</f>
        <v xml:space="preserve"> </v>
      </c>
      <c r="L24" s="279" t="str">
        <f t="shared" si="0"/>
        <v xml:space="preserve"> </v>
      </c>
      <c r="M24" s="279" t="str">
        <f t="shared" si="1"/>
        <v xml:space="preserve"> </v>
      </c>
      <c r="N24" s="280" t="str">
        <f t="shared" si="2"/>
        <v xml:space="preserve"> </v>
      </c>
      <c r="O24" s="267"/>
      <c r="P24" s="294"/>
    </row>
    <row r="25" spans="1:16" s="64" customFormat="1" ht="21" customHeight="1">
      <c r="A25" s="302" t="s">
        <v>191</v>
      </c>
      <c r="B25" s="277" t="str">
        <f>'Tæng kÕt T '!B27</f>
        <v xml:space="preserve"> </v>
      </c>
      <c r="C25" s="277" t="str">
        <f>'Tæng kÕt T '!C27</f>
        <v xml:space="preserve"> </v>
      </c>
      <c r="D25" s="277" t="str">
        <f>'Tæng kÕt T '!D27</f>
        <v xml:space="preserve"> </v>
      </c>
      <c r="E25" s="277" t="str">
        <f>'Tæng kÕt T '!E27</f>
        <v xml:space="preserve"> </v>
      </c>
      <c r="F25" s="278" t="str">
        <f>'Tæng kÕt T '!F27</f>
        <v xml:space="preserve"> </v>
      </c>
      <c r="G25" s="277" t="str">
        <f>'Tæng kÕt T '!G27</f>
        <v xml:space="preserve"> </v>
      </c>
      <c r="H25" s="277" t="str">
        <f>'Tæng kÕt T '!H27</f>
        <v xml:space="preserve"> </v>
      </c>
      <c r="I25" s="277" t="str">
        <f>'Tæng kÕt T '!I27</f>
        <v xml:space="preserve"> </v>
      </c>
      <c r="J25" s="277" t="str">
        <f>'Tæng kÕt T '!J27</f>
        <v xml:space="preserve"> </v>
      </c>
      <c r="K25" s="277" t="str">
        <f>'Tæng kÕt T '!K27</f>
        <v xml:space="preserve"> </v>
      </c>
      <c r="L25" s="279" t="str">
        <f t="shared" si="0"/>
        <v xml:space="preserve"> </v>
      </c>
      <c r="M25" s="279" t="str">
        <f t="shared" si="1"/>
        <v xml:space="preserve"> </v>
      </c>
      <c r="N25" s="280" t="str">
        <f t="shared" si="2"/>
        <v xml:space="preserve"> </v>
      </c>
      <c r="O25" s="267"/>
      <c r="P25" s="294"/>
    </row>
    <row r="26" spans="1:16" s="64" customFormat="1" ht="13.5" thickBot="1">
      <c r="A26" s="65"/>
      <c r="B26" s="281"/>
      <c r="C26" s="281"/>
      <c r="D26" s="281"/>
      <c r="E26" s="281"/>
      <c r="F26" s="282"/>
      <c r="G26" s="283"/>
      <c r="H26" s="283"/>
      <c r="I26" s="283"/>
      <c r="J26" s="283"/>
      <c r="K26" s="283"/>
      <c r="L26" s="295"/>
      <c r="M26" s="295"/>
      <c r="N26" s="284"/>
      <c r="O26" s="276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80"/>
      <c r="N27" s="84"/>
      <c r="O27" s="66"/>
    </row>
    <row r="28" spans="1:16" s="64" customFormat="1" ht="15">
      <c r="A28" s="66"/>
      <c r="B28" s="67" t="s">
        <v>4</v>
      </c>
      <c r="C28" s="66"/>
      <c r="D28" s="66"/>
      <c r="E28" s="66"/>
      <c r="F28" s="66"/>
      <c r="G28" s="66"/>
      <c r="H28" s="66"/>
      <c r="I28" s="66"/>
      <c r="J28" s="66"/>
      <c r="K28" s="66"/>
      <c r="L28" s="68">
        <f>MAX(L4:L24)</f>
        <v>0</v>
      </c>
      <c r="M28" s="68">
        <f>MAX(M4:M24)</f>
        <v>0</v>
      </c>
      <c r="N28" s="68">
        <f>MAX(N4:N24)</f>
        <v>0</v>
      </c>
      <c r="O28" s="66"/>
    </row>
    <row r="29" spans="1:16" s="64" customFormat="1" ht="15">
      <c r="A29" s="66"/>
      <c r="B29" s="67" t="s">
        <v>5</v>
      </c>
      <c r="C29" s="66"/>
      <c r="D29" s="66"/>
      <c r="E29" s="66"/>
      <c r="F29" s="66"/>
      <c r="G29" s="66"/>
      <c r="H29" s="66"/>
      <c r="I29" s="66"/>
      <c r="J29" s="66"/>
      <c r="K29" s="66"/>
      <c r="L29" s="68">
        <f>MIN(L4:L24)</f>
        <v>0</v>
      </c>
      <c r="M29" s="68">
        <f>MIN(M4:M24)</f>
        <v>0</v>
      </c>
      <c r="N29" s="68">
        <f>MIN(N4:N24)</f>
        <v>0</v>
      </c>
      <c r="O29" s="66"/>
    </row>
    <row r="30" spans="1:16"/>
    <row r="31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S31"/>
  <sheetViews>
    <sheetView showGridLines="0" zoomScale="75" workbookViewId="0">
      <selection activeCell="N25" sqref="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113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162" t="s">
        <v>0</v>
      </c>
      <c r="B3" s="86">
        <v>11</v>
      </c>
      <c r="C3" s="86">
        <v>12</v>
      </c>
      <c r="D3" s="86">
        <v>13</v>
      </c>
      <c r="E3" s="86">
        <v>14</v>
      </c>
      <c r="F3" s="86">
        <v>15</v>
      </c>
      <c r="G3" s="61">
        <v>16</v>
      </c>
      <c r="H3" s="86">
        <v>17</v>
      </c>
      <c r="I3" s="86">
        <v>18</v>
      </c>
      <c r="J3" s="86">
        <v>19</v>
      </c>
      <c r="K3" s="86">
        <v>20</v>
      </c>
      <c r="L3" s="164" t="s">
        <v>1</v>
      </c>
      <c r="M3" s="164" t="s">
        <v>2</v>
      </c>
      <c r="N3" s="87" t="s">
        <v>3</v>
      </c>
    </row>
    <row r="4" spans="1:16" s="64" customFormat="1" ht="21" customHeight="1">
      <c r="A4" s="198" t="s">
        <v>128</v>
      </c>
      <c r="B4" s="263" t="str">
        <f>'Tæng kÕt T '!L6</f>
        <v xml:space="preserve"> </v>
      </c>
      <c r="C4" s="263" t="str">
        <f>'Tæng kÕt T '!M6</f>
        <v xml:space="preserve"> </v>
      </c>
      <c r="D4" s="263" t="str">
        <f>'Tæng kÕt T '!N6</f>
        <v xml:space="preserve"> </v>
      </c>
      <c r="E4" s="263" t="str">
        <f>'Tæng kÕt T '!O6</f>
        <v xml:space="preserve"> </v>
      </c>
      <c r="F4" s="264" t="str">
        <f>'Tæng kÕt T '!P6</f>
        <v xml:space="preserve"> </v>
      </c>
      <c r="G4" s="263" t="str">
        <f>'Tæng kÕt T '!Q6</f>
        <v xml:space="preserve"> </v>
      </c>
      <c r="H4" s="263" t="str">
        <f>'Tæng kÕt T '!R6</f>
        <v xml:space="preserve"> </v>
      </c>
      <c r="I4" s="263" t="str">
        <f>'Tæng kÕt T '!S6</f>
        <v xml:space="preserve"> </v>
      </c>
      <c r="J4" s="263" t="str">
        <f>'Tæng kÕt T '!T6</f>
        <v xml:space="preserve"> </v>
      </c>
      <c r="K4" s="264" t="str">
        <f>'Tæng kÕt T '!U6</f>
        <v xml:space="preserve"> </v>
      </c>
      <c r="L4" s="265" t="str">
        <f>IF(COUNT(B4:F4)&gt;0,AVERAGE(B4:F4)," ")</f>
        <v xml:space="preserve"> </v>
      </c>
      <c r="M4" s="265" t="str">
        <f>IF(COUNT(G4:K4)&gt;0,AVERAGE(G4:K4)," ")</f>
        <v xml:space="preserve"> </v>
      </c>
      <c r="N4" s="266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63" t="str">
        <f>'Tæng kÕt T '!L7</f>
        <v xml:space="preserve"> </v>
      </c>
      <c r="C5" s="263" t="str">
        <f>'Tæng kÕt T '!M7</f>
        <v xml:space="preserve"> </v>
      </c>
      <c r="D5" s="263" t="str">
        <f>'Tæng kÕt T '!N7</f>
        <v xml:space="preserve"> </v>
      </c>
      <c r="E5" s="263" t="str">
        <f>'Tæng kÕt T '!O7</f>
        <v xml:space="preserve"> </v>
      </c>
      <c r="F5" s="264" t="str">
        <f>'Tæng kÕt T '!P7</f>
        <v xml:space="preserve"> </v>
      </c>
      <c r="G5" s="263" t="str">
        <f>'Tæng kÕt T '!Q7</f>
        <v xml:space="preserve"> </v>
      </c>
      <c r="H5" s="263" t="str">
        <f>'Tæng kÕt T '!R7</f>
        <v xml:space="preserve"> </v>
      </c>
      <c r="I5" s="263" t="str">
        <f>'Tæng kÕt T '!S7</f>
        <v xml:space="preserve"> </v>
      </c>
      <c r="J5" s="263" t="str">
        <f>'Tæng kÕt T '!T7</f>
        <v xml:space="preserve"> </v>
      </c>
      <c r="K5" s="264" t="str">
        <f>'Tæng kÕt T '!U7</f>
        <v xml:space="preserve"> </v>
      </c>
      <c r="L5" s="265" t="str">
        <f>IF(COUNT(B5:F5)&gt;0,AVERAGE(B5:F5)," ")</f>
        <v xml:space="preserve"> </v>
      </c>
      <c r="M5" s="265" t="str">
        <f>IF(COUNT(G5:K5)&gt;0,AVERAGE(G5:K5)," ")</f>
        <v xml:space="preserve"> </v>
      </c>
      <c r="N5" s="266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63" t="str">
        <f>'Tæng kÕt T '!L8</f>
        <v xml:space="preserve"> </v>
      </c>
      <c r="C6" s="263" t="str">
        <f>'Tæng kÕt T '!M8</f>
        <v xml:space="preserve"> </v>
      </c>
      <c r="D6" s="263" t="str">
        <f>'Tæng kÕt T '!N8</f>
        <v xml:space="preserve"> </v>
      </c>
      <c r="E6" s="263" t="str">
        <f>'Tæng kÕt T '!O8</f>
        <v xml:space="preserve"> </v>
      </c>
      <c r="F6" s="264" t="str">
        <f>'Tæng kÕt T '!P8</f>
        <v xml:space="preserve"> </v>
      </c>
      <c r="G6" s="263" t="str">
        <f>'Tæng kÕt T '!Q8</f>
        <v xml:space="preserve"> </v>
      </c>
      <c r="H6" s="263" t="str">
        <f>'Tæng kÕt T '!R8</f>
        <v xml:space="preserve"> </v>
      </c>
      <c r="I6" s="263" t="str">
        <f>'Tæng kÕt T '!S8</f>
        <v xml:space="preserve"> </v>
      </c>
      <c r="J6" s="263" t="str">
        <f>'Tæng kÕt T '!T8</f>
        <v xml:space="preserve"> </v>
      </c>
      <c r="K6" s="264" t="str">
        <f>'Tæng kÕt T '!U8</f>
        <v xml:space="preserve"> </v>
      </c>
      <c r="L6" s="265" t="str">
        <f t="shared" ref="L6:L25" si="0">IF(COUNT(B6:F6)&gt;0,AVERAGE(B6:F6)," ")</f>
        <v xml:space="preserve"> </v>
      </c>
      <c r="M6" s="265" t="str">
        <f t="shared" ref="M6:M25" si="1">IF(COUNT(G6:K6)&gt;0,AVERAGE(G6:K6)," ")</f>
        <v xml:space="preserve"> </v>
      </c>
      <c r="N6" s="266" t="str">
        <f t="shared" ref="N6:N25" si="2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63" t="str">
        <f>'Tæng kÕt T '!L9</f>
        <v xml:space="preserve"> </v>
      </c>
      <c r="C7" s="263" t="str">
        <f>'Tæng kÕt T '!M9</f>
        <v xml:space="preserve"> </v>
      </c>
      <c r="D7" s="263" t="str">
        <f>'Tæng kÕt T '!N9</f>
        <v xml:space="preserve"> </v>
      </c>
      <c r="E7" s="263" t="str">
        <f>'Tæng kÕt T '!O9</f>
        <v xml:space="preserve"> </v>
      </c>
      <c r="F7" s="264" t="str">
        <f>'Tæng kÕt T '!P9</f>
        <v xml:space="preserve"> </v>
      </c>
      <c r="G7" s="263" t="str">
        <f>'Tæng kÕt T '!Q9</f>
        <v xml:space="preserve"> </v>
      </c>
      <c r="H7" s="263" t="str">
        <f>'Tæng kÕt T '!R9</f>
        <v xml:space="preserve"> </v>
      </c>
      <c r="I7" s="263" t="str">
        <f>'Tæng kÕt T '!S9</f>
        <v xml:space="preserve"> </v>
      </c>
      <c r="J7" s="263" t="str">
        <f>'Tæng kÕt T '!T9</f>
        <v xml:space="preserve"> </v>
      </c>
      <c r="K7" s="264" t="str">
        <f>'Tæng kÕt T '!U9</f>
        <v xml:space="preserve"> </v>
      </c>
      <c r="L7" s="265" t="str">
        <f t="shared" si="0"/>
        <v xml:space="preserve"> </v>
      </c>
      <c r="M7" s="265" t="str">
        <f t="shared" si="1"/>
        <v xml:space="preserve"> </v>
      </c>
      <c r="N7" s="266" t="str">
        <f t="shared" si="2"/>
        <v xml:space="preserve"> </v>
      </c>
      <c r="O7" s="267"/>
      <c r="P7" s="267"/>
    </row>
    <row r="8" spans="1:16" s="64" customFormat="1" ht="21" customHeight="1">
      <c r="A8" s="199" t="s">
        <v>132</v>
      </c>
      <c r="B8" s="263" t="str">
        <f>'Tæng kÕt T '!L10</f>
        <v xml:space="preserve"> </v>
      </c>
      <c r="C8" s="263" t="str">
        <f>'Tæng kÕt T '!M10</f>
        <v xml:space="preserve"> </v>
      </c>
      <c r="D8" s="263" t="str">
        <f>'Tæng kÕt T '!N10</f>
        <v xml:space="preserve"> </v>
      </c>
      <c r="E8" s="263" t="str">
        <f>'Tæng kÕt T '!O10</f>
        <v xml:space="preserve"> </v>
      </c>
      <c r="F8" s="264" t="str">
        <f>'Tæng kÕt T '!P10</f>
        <v xml:space="preserve"> </v>
      </c>
      <c r="G8" s="263" t="str">
        <f>'Tæng kÕt T '!Q10</f>
        <v xml:space="preserve"> </v>
      </c>
      <c r="H8" s="263" t="str">
        <f>'Tæng kÕt T '!R10</f>
        <v xml:space="preserve"> </v>
      </c>
      <c r="I8" s="263" t="str">
        <f>'Tæng kÕt T '!S10</f>
        <v xml:space="preserve"> </v>
      </c>
      <c r="J8" s="263" t="str">
        <f>'Tæng kÕt T '!T10</f>
        <v xml:space="preserve"> </v>
      </c>
      <c r="K8" s="264" t="str">
        <f>'Tæng kÕt T '!U10</f>
        <v xml:space="preserve"> </v>
      </c>
      <c r="L8" s="265" t="str">
        <f t="shared" si="0"/>
        <v xml:space="preserve"> </v>
      </c>
      <c r="M8" s="265" t="str">
        <f t="shared" si="1"/>
        <v xml:space="preserve"> </v>
      </c>
      <c r="N8" s="266" t="str">
        <f t="shared" si="2"/>
        <v xml:space="preserve"> </v>
      </c>
      <c r="O8" s="267"/>
      <c r="P8" s="267"/>
    </row>
    <row r="9" spans="1:16" s="64" customFormat="1" ht="21" customHeight="1">
      <c r="A9" s="199" t="s">
        <v>133</v>
      </c>
      <c r="B9" s="263" t="str">
        <f>'Tæng kÕt T '!L11</f>
        <v xml:space="preserve"> </v>
      </c>
      <c r="C9" s="263" t="str">
        <f>'Tæng kÕt T '!M11</f>
        <v xml:space="preserve"> </v>
      </c>
      <c r="D9" s="263" t="str">
        <f>'Tæng kÕt T '!N11</f>
        <v xml:space="preserve"> </v>
      </c>
      <c r="E9" s="263" t="str">
        <f>'Tæng kÕt T '!O11</f>
        <v xml:space="preserve"> </v>
      </c>
      <c r="F9" s="264" t="str">
        <f>'Tæng kÕt T '!P11</f>
        <v xml:space="preserve"> </v>
      </c>
      <c r="G9" s="263" t="str">
        <f>'Tæng kÕt T '!Q11</f>
        <v xml:space="preserve"> </v>
      </c>
      <c r="H9" s="263" t="str">
        <f>'Tæng kÕt T '!R11</f>
        <v xml:space="preserve"> </v>
      </c>
      <c r="I9" s="263" t="str">
        <f>'Tæng kÕt T '!S11</f>
        <v xml:space="preserve"> </v>
      </c>
      <c r="J9" s="263" t="str">
        <f>'Tæng kÕt T '!T11</f>
        <v xml:space="preserve"> </v>
      </c>
      <c r="K9" s="264" t="str">
        <f>'Tæng kÕt T '!U11</f>
        <v xml:space="preserve"> </v>
      </c>
      <c r="L9" s="265" t="str">
        <f t="shared" si="0"/>
        <v xml:space="preserve"> </v>
      </c>
      <c r="M9" s="265" t="str">
        <f t="shared" si="1"/>
        <v xml:space="preserve"> </v>
      </c>
      <c r="N9" s="266" t="str">
        <f t="shared" si="2"/>
        <v xml:space="preserve"> </v>
      </c>
      <c r="O9" s="267"/>
      <c r="P9" s="267"/>
    </row>
    <row r="10" spans="1:16" s="64" customFormat="1" ht="21" customHeight="1">
      <c r="A10" s="199" t="s">
        <v>134</v>
      </c>
      <c r="B10" s="263" t="str">
        <f>'Tæng kÕt T '!L12</f>
        <v xml:space="preserve"> </v>
      </c>
      <c r="C10" s="263" t="str">
        <f>'Tæng kÕt T '!M12</f>
        <v xml:space="preserve"> </v>
      </c>
      <c r="D10" s="263" t="str">
        <f>'Tæng kÕt T '!N12</f>
        <v xml:space="preserve"> </v>
      </c>
      <c r="E10" s="263" t="str">
        <f>'Tæng kÕt T '!O12</f>
        <v xml:space="preserve"> </v>
      </c>
      <c r="F10" s="264" t="str">
        <f>'Tæng kÕt T '!P12</f>
        <v xml:space="preserve"> </v>
      </c>
      <c r="G10" s="263" t="str">
        <f>'Tæng kÕt T '!Q12</f>
        <v xml:space="preserve"> </v>
      </c>
      <c r="H10" s="263" t="str">
        <f>'Tæng kÕt T '!R12</f>
        <v xml:space="preserve"> </v>
      </c>
      <c r="I10" s="263" t="str">
        <f>'Tæng kÕt T '!S12</f>
        <v xml:space="preserve"> </v>
      </c>
      <c r="J10" s="263" t="str">
        <f>'Tæng kÕt T '!T12</f>
        <v xml:space="preserve"> </v>
      </c>
      <c r="K10" s="264" t="str">
        <f>'Tæng kÕt T '!U12</f>
        <v xml:space="preserve"> </v>
      </c>
      <c r="L10" s="265" t="str">
        <f t="shared" si="0"/>
        <v xml:space="preserve"> </v>
      </c>
      <c r="M10" s="265" t="str">
        <f t="shared" si="1"/>
        <v xml:space="preserve"> </v>
      </c>
      <c r="N10" s="266" t="str">
        <f t="shared" si="2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63" t="str">
        <f>'Tæng kÕt T '!L13</f>
        <v xml:space="preserve"> </v>
      </c>
      <c r="C11" s="263" t="str">
        <f>'Tæng kÕt T '!M13</f>
        <v xml:space="preserve"> </v>
      </c>
      <c r="D11" s="263" t="str">
        <f>'Tæng kÕt T '!N13</f>
        <v xml:space="preserve"> </v>
      </c>
      <c r="E11" s="263" t="str">
        <f>'Tæng kÕt T '!O13</f>
        <v xml:space="preserve"> </v>
      </c>
      <c r="F11" s="264" t="str">
        <f>'Tæng kÕt T '!P13</f>
        <v xml:space="preserve"> </v>
      </c>
      <c r="G11" s="263" t="str">
        <f>'Tæng kÕt T '!Q13</f>
        <v xml:space="preserve"> </v>
      </c>
      <c r="H11" s="263" t="str">
        <f>'Tæng kÕt T '!R13</f>
        <v xml:space="preserve"> </v>
      </c>
      <c r="I11" s="263" t="str">
        <f>'Tæng kÕt T '!S13</f>
        <v xml:space="preserve"> </v>
      </c>
      <c r="J11" s="263" t="str">
        <f>'Tæng kÕt T '!T13</f>
        <v xml:space="preserve"> </v>
      </c>
      <c r="K11" s="264" t="str">
        <f>'Tæng kÕt T '!U13</f>
        <v xml:space="preserve"> </v>
      </c>
      <c r="L11" s="265" t="str">
        <f t="shared" si="0"/>
        <v xml:space="preserve"> </v>
      </c>
      <c r="M11" s="265" t="str">
        <f t="shared" si="1"/>
        <v xml:space="preserve"> </v>
      </c>
      <c r="N11" s="266" t="str">
        <f t="shared" si="2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63" t="str">
        <f>'Tæng kÕt T '!L14</f>
        <v xml:space="preserve"> </v>
      </c>
      <c r="C12" s="263" t="str">
        <f>'Tæng kÕt T '!M14</f>
        <v xml:space="preserve"> </v>
      </c>
      <c r="D12" s="263" t="str">
        <f>'Tæng kÕt T '!N14</f>
        <v xml:space="preserve"> </v>
      </c>
      <c r="E12" s="263" t="str">
        <f>'Tæng kÕt T '!O14</f>
        <v xml:space="preserve"> </v>
      </c>
      <c r="F12" s="264" t="str">
        <f>'Tæng kÕt T '!P14</f>
        <v xml:space="preserve"> </v>
      </c>
      <c r="G12" s="263" t="str">
        <f>'Tæng kÕt T '!Q14</f>
        <v xml:space="preserve"> </v>
      </c>
      <c r="H12" s="263" t="str">
        <f>'Tæng kÕt T '!R14</f>
        <v xml:space="preserve"> </v>
      </c>
      <c r="I12" s="263" t="str">
        <f>'Tæng kÕt T '!S14</f>
        <v xml:space="preserve"> </v>
      </c>
      <c r="J12" s="263" t="str">
        <f>'Tæng kÕt T '!T14</f>
        <v xml:space="preserve"> </v>
      </c>
      <c r="K12" s="264" t="str">
        <f>'Tæng kÕt T '!U14</f>
        <v xml:space="preserve"> </v>
      </c>
      <c r="L12" s="265" t="str">
        <f t="shared" si="0"/>
        <v xml:space="preserve"> </v>
      </c>
      <c r="M12" s="265" t="str">
        <f t="shared" si="1"/>
        <v xml:space="preserve"> </v>
      </c>
      <c r="N12" s="266" t="str">
        <f t="shared" si="2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63" t="str">
        <f>'Tæng kÕt T '!L15</f>
        <v xml:space="preserve"> </v>
      </c>
      <c r="C13" s="263" t="str">
        <f>'Tæng kÕt T '!M15</f>
        <v xml:space="preserve"> </v>
      </c>
      <c r="D13" s="263" t="str">
        <f>'Tæng kÕt T '!N15</f>
        <v xml:space="preserve"> </v>
      </c>
      <c r="E13" s="263" t="str">
        <f>'Tæng kÕt T '!O15</f>
        <v xml:space="preserve"> </v>
      </c>
      <c r="F13" s="264" t="str">
        <f>'Tæng kÕt T '!P15</f>
        <v xml:space="preserve"> </v>
      </c>
      <c r="G13" s="263" t="str">
        <f>'Tæng kÕt T '!Q15</f>
        <v xml:space="preserve"> </v>
      </c>
      <c r="H13" s="263" t="str">
        <f>'Tæng kÕt T '!R15</f>
        <v xml:space="preserve"> </v>
      </c>
      <c r="I13" s="263" t="str">
        <f>'Tæng kÕt T '!S15</f>
        <v xml:space="preserve"> </v>
      </c>
      <c r="J13" s="263" t="str">
        <f>'Tæng kÕt T '!T15</f>
        <v xml:space="preserve"> </v>
      </c>
      <c r="K13" s="264" t="str">
        <f>'Tæng kÕt T '!U15</f>
        <v xml:space="preserve"> </v>
      </c>
      <c r="L13" s="265" t="str">
        <f t="shared" si="0"/>
        <v xml:space="preserve"> </v>
      </c>
      <c r="M13" s="265" t="str">
        <f t="shared" si="1"/>
        <v xml:space="preserve"> </v>
      </c>
      <c r="N13" s="266" t="str">
        <f t="shared" si="2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63" t="str">
        <f>'Tæng kÕt T '!L16</f>
        <v xml:space="preserve"> </v>
      </c>
      <c r="C14" s="263" t="str">
        <f>'Tæng kÕt T '!M16</f>
        <v xml:space="preserve"> </v>
      </c>
      <c r="D14" s="263" t="str">
        <f>'Tæng kÕt T '!N16</f>
        <v xml:space="preserve"> </v>
      </c>
      <c r="E14" s="263" t="str">
        <f>'Tæng kÕt T '!O16</f>
        <v xml:space="preserve"> </v>
      </c>
      <c r="F14" s="264" t="str">
        <f>'Tæng kÕt T '!P16</f>
        <v xml:space="preserve"> </v>
      </c>
      <c r="G14" s="263" t="str">
        <f>'Tæng kÕt T '!Q16</f>
        <v xml:space="preserve"> </v>
      </c>
      <c r="H14" s="263" t="str">
        <f>'Tæng kÕt T '!R16</f>
        <v xml:space="preserve"> </v>
      </c>
      <c r="I14" s="263" t="str">
        <f>'Tæng kÕt T '!S16</f>
        <v xml:space="preserve"> </v>
      </c>
      <c r="J14" s="263" t="str">
        <f>'Tæng kÕt T '!T16</f>
        <v xml:space="preserve"> </v>
      </c>
      <c r="K14" s="264" t="str">
        <f>'Tæng kÕt T '!U16</f>
        <v xml:space="preserve"> </v>
      </c>
      <c r="L14" s="265" t="str">
        <f t="shared" si="0"/>
        <v xml:space="preserve"> </v>
      </c>
      <c r="M14" s="265" t="str">
        <f t="shared" si="1"/>
        <v xml:space="preserve"> </v>
      </c>
      <c r="N14" s="266" t="str">
        <f t="shared" si="2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63" t="str">
        <f>'Tæng kÕt T '!L17</f>
        <v xml:space="preserve"> </v>
      </c>
      <c r="C15" s="263" t="str">
        <f>'Tæng kÕt T '!M17</f>
        <v xml:space="preserve"> </v>
      </c>
      <c r="D15" s="263" t="str">
        <f>'Tæng kÕt T '!N17</f>
        <v xml:space="preserve"> </v>
      </c>
      <c r="E15" s="263" t="str">
        <f>'Tæng kÕt T '!O17</f>
        <v xml:space="preserve"> </v>
      </c>
      <c r="F15" s="264" t="str">
        <f>'Tæng kÕt T '!P17</f>
        <v xml:space="preserve"> </v>
      </c>
      <c r="G15" s="263" t="str">
        <f>'Tæng kÕt T '!Q17</f>
        <v xml:space="preserve"> </v>
      </c>
      <c r="H15" s="263" t="str">
        <f>'Tæng kÕt T '!R17</f>
        <v xml:space="preserve"> </v>
      </c>
      <c r="I15" s="263" t="str">
        <f>'Tæng kÕt T '!S17</f>
        <v xml:space="preserve"> </v>
      </c>
      <c r="J15" s="263" t="str">
        <f>'Tæng kÕt T '!T17</f>
        <v xml:space="preserve"> </v>
      </c>
      <c r="K15" s="264" t="str">
        <f>'Tæng kÕt T '!U17</f>
        <v xml:space="preserve"> </v>
      </c>
      <c r="L15" s="265" t="str">
        <f t="shared" si="0"/>
        <v xml:space="preserve"> </v>
      </c>
      <c r="M15" s="265" t="str">
        <f t="shared" si="1"/>
        <v xml:space="preserve"> </v>
      </c>
      <c r="N15" s="266" t="str">
        <f t="shared" si="2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63" t="str">
        <f>'Tæng kÕt T '!L18</f>
        <v xml:space="preserve"> </v>
      </c>
      <c r="C16" s="263" t="str">
        <f>'Tæng kÕt T '!M18</f>
        <v xml:space="preserve"> </v>
      </c>
      <c r="D16" s="263" t="str">
        <f>'Tæng kÕt T '!N18</f>
        <v xml:space="preserve"> </v>
      </c>
      <c r="E16" s="263" t="str">
        <f>'Tæng kÕt T '!O18</f>
        <v xml:space="preserve"> </v>
      </c>
      <c r="F16" s="264" t="str">
        <f>'Tæng kÕt T '!P18</f>
        <v xml:space="preserve"> </v>
      </c>
      <c r="G16" s="263" t="str">
        <f>'Tæng kÕt T '!Q18</f>
        <v xml:space="preserve"> </v>
      </c>
      <c r="H16" s="263" t="str">
        <f>'Tæng kÕt T '!R18</f>
        <v xml:space="preserve"> </v>
      </c>
      <c r="I16" s="263" t="str">
        <f>'Tæng kÕt T '!S18</f>
        <v xml:space="preserve"> </v>
      </c>
      <c r="J16" s="263" t="str">
        <f>'Tæng kÕt T '!T18</f>
        <v xml:space="preserve"> </v>
      </c>
      <c r="K16" s="264" t="str">
        <f>'Tæng kÕt T '!U18</f>
        <v xml:space="preserve"> </v>
      </c>
      <c r="L16" s="265" t="str">
        <f t="shared" si="0"/>
        <v xml:space="preserve"> </v>
      </c>
      <c r="M16" s="265" t="str">
        <f t="shared" si="1"/>
        <v xml:space="preserve"> </v>
      </c>
      <c r="N16" s="266" t="str">
        <f t="shared" si="2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63" t="str">
        <f>'Tæng kÕt T '!L19</f>
        <v xml:space="preserve"> </v>
      </c>
      <c r="C17" s="263" t="str">
        <f>'Tæng kÕt T '!M19</f>
        <v xml:space="preserve"> </v>
      </c>
      <c r="D17" s="263" t="str">
        <f>'Tæng kÕt T '!N19</f>
        <v xml:space="preserve"> </v>
      </c>
      <c r="E17" s="263" t="str">
        <f>'Tæng kÕt T '!O19</f>
        <v xml:space="preserve"> </v>
      </c>
      <c r="F17" s="264" t="str">
        <f>'Tæng kÕt T '!P19</f>
        <v xml:space="preserve"> </v>
      </c>
      <c r="G17" s="263" t="str">
        <f>'Tæng kÕt T '!Q19</f>
        <v xml:space="preserve"> </v>
      </c>
      <c r="H17" s="263" t="str">
        <f>'Tæng kÕt T '!R19</f>
        <v xml:space="preserve"> </v>
      </c>
      <c r="I17" s="263" t="str">
        <f>'Tæng kÕt T '!S19</f>
        <v xml:space="preserve"> </v>
      </c>
      <c r="J17" s="263" t="str">
        <f>'Tæng kÕt T '!T19</f>
        <v xml:space="preserve"> </v>
      </c>
      <c r="K17" s="264" t="str">
        <f>'Tæng kÕt T '!U19</f>
        <v xml:space="preserve"> </v>
      </c>
      <c r="L17" s="265" t="str">
        <f t="shared" si="0"/>
        <v xml:space="preserve"> </v>
      </c>
      <c r="M17" s="265" t="str">
        <f t="shared" si="1"/>
        <v xml:space="preserve"> </v>
      </c>
      <c r="N17" s="266" t="str">
        <f t="shared" si="2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63" t="str">
        <f>'Tæng kÕt T '!L20</f>
        <v xml:space="preserve"> </v>
      </c>
      <c r="C18" s="263" t="str">
        <f>'Tæng kÕt T '!M20</f>
        <v xml:space="preserve"> </v>
      </c>
      <c r="D18" s="263" t="str">
        <f>'Tæng kÕt T '!N20</f>
        <v xml:space="preserve"> </v>
      </c>
      <c r="E18" s="263" t="str">
        <f>'Tæng kÕt T '!O20</f>
        <v xml:space="preserve"> </v>
      </c>
      <c r="F18" s="264" t="str">
        <f>'Tæng kÕt T '!P20</f>
        <v xml:space="preserve"> </v>
      </c>
      <c r="G18" s="263" t="str">
        <f>'Tæng kÕt T '!Q20</f>
        <v xml:space="preserve"> </v>
      </c>
      <c r="H18" s="263" t="str">
        <f>'Tæng kÕt T '!R20</f>
        <v xml:space="preserve"> </v>
      </c>
      <c r="I18" s="263" t="str">
        <f>'Tæng kÕt T '!S20</f>
        <v xml:space="preserve"> </v>
      </c>
      <c r="J18" s="263" t="str">
        <f>'Tæng kÕt T '!T20</f>
        <v xml:space="preserve"> </v>
      </c>
      <c r="K18" s="264" t="str">
        <f>'Tæng kÕt T '!U20</f>
        <v xml:space="preserve"> </v>
      </c>
      <c r="L18" s="265" t="str">
        <f t="shared" si="0"/>
        <v xml:space="preserve"> </v>
      </c>
      <c r="M18" s="265" t="str">
        <f t="shared" si="1"/>
        <v xml:space="preserve"> </v>
      </c>
      <c r="N18" s="266" t="str">
        <f t="shared" si="2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63" t="str">
        <f>'Tæng kÕt T '!L21</f>
        <v xml:space="preserve"> </v>
      </c>
      <c r="C19" s="263" t="str">
        <f>'Tæng kÕt T '!M21</f>
        <v xml:space="preserve"> </v>
      </c>
      <c r="D19" s="263" t="str">
        <f>'Tæng kÕt T '!N21</f>
        <v xml:space="preserve"> </v>
      </c>
      <c r="E19" s="263" t="str">
        <f>'Tæng kÕt T '!O21</f>
        <v xml:space="preserve"> </v>
      </c>
      <c r="F19" s="264" t="str">
        <f>'Tæng kÕt T '!P21</f>
        <v xml:space="preserve"> </v>
      </c>
      <c r="G19" s="263" t="str">
        <f>'Tæng kÕt T '!Q21</f>
        <v xml:space="preserve"> </v>
      </c>
      <c r="H19" s="263" t="str">
        <f>'Tæng kÕt T '!R21</f>
        <v xml:space="preserve"> </v>
      </c>
      <c r="I19" s="263" t="str">
        <f>'Tæng kÕt T '!S21</f>
        <v xml:space="preserve"> </v>
      </c>
      <c r="J19" s="263" t="str">
        <f>'Tæng kÕt T '!T21</f>
        <v xml:space="preserve"> </v>
      </c>
      <c r="K19" s="264" t="str">
        <f>'Tæng kÕt T '!U21</f>
        <v xml:space="preserve"> </v>
      </c>
      <c r="L19" s="265" t="str">
        <f t="shared" si="0"/>
        <v xml:space="preserve"> </v>
      </c>
      <c r="M19" s="265" t="str">
        <f t="shared" si="1"/>
        <v xml:space="preserve"> </v>
      </c>
      <c r="N19" s="266" t="str">
        <f t="shared" si="2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63" t="str">
        <f>'Tæng kÕt T '!L22</f>
        <v xml:space="preserve"> </v>
      </c>
      <c r="C20" s="263" t="str">
        <f>'Tæng kÕt T '!M22</f>
        <v xml:space="preserve"> </v>
      </c>
      <c r="D20" s="263" t="str">
        <f>'Tæng kÕt T '!N22</f>
        <v xml:space="preserve"> </v>
      </c>
      <c r="E20" s="263" t="str">
        <f>'Tæng kÕt T '!O22</f>
        <v xml:space="preserve"> </v>
      </c>
      <c r="F20" s="264" t="str">
        <f>'Tæng kÕt T '!P22</f>
        <v xml:space="preserve"> </v>
      </c>
      <c r="G20" s="263" t="str">
        <f>'Tæng kÕt T '!Q22</f>
        <v xml:space="preserve"> </v>
      </c>
      <c r="H20" s="263" t="str">
        <f>'Tæng kÕt T '!R22</f>
        <v xml:space="preserve"> </v>
      </c>
      <c r="I20" s="263" t="str">
        <f>'Tæng kÕt T '!S22</f>
        <v xml:space="preserve"> </v>
      </c>
      <c r="J20" s="263" t="str">
        <f>'Tæng kÕt T '!T22</f>
        <v xml:space="preserve"> </v>
      </c>
      <c r="K20" s="264" t="str">
        <f>'Tæng kÕt T '!U22</f>
        <v xml:space="preserve"> </v>
      </c>
      <c r="L20" s="265" t="str">
        <f t="shared" si="0"/>
        <v xml:space="preserve"> </v>
      </c>
      <c r="M20" s="265" t="str">
        <f t="shared" si="1"/>
        <v xml:space="preserve"> </v>
      </c>
      <c r="N20" s="266" t="str">
        <f t="shared" si="2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63" t="str">
        <f>'Tæng kÕt T '!L23</f>
        <v xml:space="preserve"> </v>
      </c>
      <c r="C21" s="263" t="str">
        <f>'Tæng kÕt T '!M23</f>
        <v xml:space="preserve"> </v>
      </c>
      <c r="D21" s="263" t="str">
        <f>'Tæng kÕt T '!N23</f>
        <v xml:space="preserve"> </v>
      </c>
      <c r="E21" s="263" t="str">
        <f>'Tæng kÕt T '!O23</f>
        <v xml:space="preserve"> </v>
      </c>
      <c r="F21" s="264" t="str">
        <f>'Tæng kÕt T '!P23</f>
        <v xml:space="preserve"> </v>
      </c>
      <c r="G21" s="263" t="str">
        <f>'Tæng kÕt T '!Q23</f>
        <v xml:space="preserve"> </v>
      </c>
      <c r="H21" s="263" t="str">
        <f>'Tæng kÕt T '!R23</f>
        <v xml:space="preserve"> </v>
      </c>
      <c r="I21" s="263" t="str">
        <f>'Tæng kÕt T '!S23</f>
        <v xml:space="preserve"> </v>
      </c>
      <c r="J21" s="263" t="str">
        <f>'Tæng kÕt T '!T23</f>
        <v xml:space="preserve"> </v>
      </c>
      <c r="K21" s="264" t="str">
        <f>'Tæng kÕt T '!U23</f>
        <v xml:space="preserve"> </v>
      </c>
      <c r="L21" s="265" t="str">
        <f t="shared" si="0"/>
        <v xml:space="preserve"> </v>
      </c>
      <c r="M21" s="265" t="str">
        <f t="shared" si="1"/>
        <v xml:space="preserve"> </v>
      </c>
      <c r="N21" s="266" t="str">
        <f t="shared" si="2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63" t="str">
        <f>'Tæng kÕt T '!L24</f>
        <v xml:space="preserve"> </v>
      </c>
      <c r="C22" s="263" t="str">
        <f>'Tæng kÕt T '!M24</f>
        <v xml:space="preserve"> </v>
      </c>
      <c r="D22" s="263" t="str">
        <f>'Tæng kÕt T '!N24</f>
        <v xml:space="preserve"> </v>
      </c>
      <c r="E22" s="263" t="str">
        <f>'Tæng kÕt T '!O24</f>
        <v xml:space="preserve"> </v>
      </c>
      <c r="F22" s="264" t="str">
        <f>'Tæng kÕt T '!P24</f>
        <v xml:space="preserve"> </v>
      </c>
      <c r="G22" s="263" t="str">
        <f>'Tæng kÕt T '!Q24</f>
        <v xml:space="preserve"> </v>
      </c>
      <c r="H22" s="263" t="str">
        <f>'Tæng kÕt T '!R24</f>
        <v xml:space="preserve"> </v>
      </c>
      <c r="I22" s="263" t="str">
        <f>'Tæng kÕt T '!S24</f>
        <v xml:space="preserve"> </v>
      </c>
      <c r="J22" s="263" t="str">
        <f>'Tæng kÕt T '!T24</f>
        <v xml:space="preserve"> </v>
      </c>
      <c r="K22" s="264" t="str">
        <f>'Tæng kÕt T '!U24</f>
        <v xml:space="preserve"> </v>
      </c>
      <c r="L22" s="265" t="str">
        <f t="shared" si="0"/>
        <v xml:space="preserve"> </v>
      </c>
      <c r="M22" s="265" t="str">
        <f t="shared" si="1"/>
        <v xml:space="preserve"> </v>
      </c>
      <c r="N22" s="266" t="str">
        <f t="shared" si="2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63" t="str">
        <f>'Tæng kÕt T '!L25</f>
        <v xml:space="preserve"> </v>
      </c>
      <c r="C23" s="263" t="str">
        <f>'Tæng kÕt T '!M25</f>
        <v xml:space="preserve"> </v>
      </c>
      <c r="D23" s="263" t="str">
        <f>'Tæng kÕt T '!N25</f>
        <v xml:space="preserve"> </v>
      </c>
      <c r="E23" s="263" t="str">
        <f>'Tæng kÕt T '!O25</f>
        <v xml:space="preserve"> </v>
      </c>
      <c r="F23" s="264" t="str">
        <f>'Tæng kÕt T '!P25</f>
        <v xml:space="preserve"> </v>
      </c>
      <c r="G23" s="263" t="str">
        <f>'Tæng kÕt T '!Q25</f>
        <v xml:space="preserve"> </v>
      </c>
      <c r="H23" s="263" t="str">
        <f>'Tæng kÕt T '!R25</f>
        <v xml:space="preserve"> </v>
      </c>
      <c r="I23" s="263" t="str">
        <f>'Tæng kÕt T '!S25</f>
        <v xml:space="preserve"> </v>
      </c>
      <c r="J23" s="263" t="str">
        <f>'Tæng kÕt T '!T25</f>
        <v xml:space="preserve"> </v>
      </c>
      <c r="K23" s="264" t="str">
        <f>'Tæng kÕt T '!U25</f>
        <v xml:space="preserve"> </v>
      </c>
      <c r="L23" s="265" t="str">
        <f t="shared" si="0"/>
        <v xml:space="preserve"> </v>
      </c>
      <c r="M23" s="265" t="str">
        <f t="shared" si="1"/>
        <v xml:space="preserve"> </v>
      </c>
      <c r="N23" s="266" t="str">
        <f t="shared" si="2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63" t="str">
        <f>'Tæng kÕt T '!L26</f>
        <v xml:space="preserve"> </v>
      </c>
      <c r="C24" s="263" t="str">
        <f>'Tæng kÕt T '!M26</f>
        <v xml:space="preserve"> </v>
      </c>
      <c r="D24" s="263" t="str">
        <f>'Tæng kÕt T '!N26</f>
        <v xml:space="preserve"> </v>
      </c>
      <c r="E24" s="263" t="str">
        <f>'Tæng kÕt T '!O26</f>
        <v xml:space="preserve"> </v>
      </c>
      <c r="F24" s="264" t="str">
        <f>'Tæng kÕt T '!P26</f>
        <v xml:space="preserve"> </v>
      </c>
      <c r="G24" s="263" t="str">
        <f>'Tæng kÕt T '!Q26</f>
        <v xml:space="preserve"> </v>
      </c>
      <c r="H24" s="263" t="str">
        <f>'Tæng kÕt T '!R26</f>
        <v xml:space="preserve"> </v>
      </c>
      <c r="I24" s="263" t="str">
        <f>'Tæng kÕt T '!S26</f>
        <v xml:space="preserve"> </v>
      </c>
      <c r="J24" s="263" t="str">
        <f>'Tæng kÕt T '!T26</f>
        <v xml:space="preserve"> </v>
      </c>
      <c r="K24" s="264" t="str">
        <f>'Tæng kÕt T '!U26</f>
        <v xml:space="preserve"> </v>
      </c>
      <c r="L24" s="265" t="str">
        <f t="shared" si="0"/>
        <v xml:space="preserve"> </v>
      </c>
      <c r="M24" s="265" t="str">
        <f t="shared" si="1"/>
        <v xml:space="preserve"> </v>
      </c>
      <c r="N24" s="266" t="str">
        <f t="shared" si="2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63" t="str">
        <f>'Tæng kÕt T '!L27</f>
        <v xml:space="preserve"> </v>
      </c>
      <c r="C25" s="263" t="str">
        <f>'Tæng kÕt T '!M27</f>
        <v xml:space="preserve"> </v>
      </c>
      <c r="D25" s="263" t="str">
        <f>'Tæng kÕt T '!N27</f>
        <v xml:space="preserve"> </v>
      </c>
      <c r="E25" s="263" t="str">
        <f>'Tæng kÕt T '!O27</f>
        <v xml:space="preserve"> </v>
      </c>
      <c r="F25" s="264" t="str">
        <f>'Tæng kÕt T '!P27</f>
        <v xml:space="preserve"> </v>
      </c>
      <c r="G25" s="263" t="str">
        <f>'Tæng kÕt T '!Q27</f>
        <v xml:space="preserve"> </v>
      </c>
      <c r="H25" s="263" t="str">
        <f>'Tæng kÕt T '!R27</f>
        <v xml:space="preserve"> </v>
      </c>
      <c r="I25" s="263" t="str">
        <f>'Tæng kÕt T '!S27</f>
        <v xml:space="preserve"> </v>
      </c>
      <c r="J25" s="263" t="str">
        <f>'Tæng kÕt T '!T27</f>
        <v xml:space="preserve"> </v>
      </c>
      <c r="K25" s="264" t="str">
        <f>'Tæng kÕt T '!U27</f>
        <v xml:space="preserve"> </v>
      </c>
      <c r="L25" s="265" t="str">
        <f t="shared" si="0"/>
        <v xml:space="preserve"> </v>
      </c>
      <c r="M25" s="265" t="str">
        <f t="shared" si="1"/>
        <v xml:space="preserve"> </v>
      </c>
      <c r="N25" s="266" t="str">
        <f t="shared" si="2"/>
        <v xml:space="preserve"> </v>
      </c>
      <c r="O25" s="267"/>
      <c r="P25" s="267"/>
    </row>
    <row r="26" spans="1:16" s="64" customFormat="1" ht="13.5" thickBot="1">
      <c r="A26" s="65"/>
      <c r="B26" s="272"/>
      <c r="C26" s="272"/>
      <c r="D26" s="272"/>
      <c r="E26" s="272"/>
      <c r="F26" s="273"/>
      <c r="G26" s="272"/>
      <c r="H26" s="272"/>
      <c r="I26" s="272"/>
      <c r="J26" s="272"/>
      <c r="K26" s="273"/>
      <c r="L26" s="270"/>
      <c r="M26" s="270"/>
      <c r="N26" s="271"/>
      <c r="O26" s="267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80"/>
      <c r="N27" s="84"/>
      <c r="O27" s="66"/>
    </row>
    <row r="28" spans="1:16" s="64" customFormat="1" ht="15">
      <c r="A28" s="66"/>
      <c r="B28" s="67" t="s">
        <v>4</v>
      </c>
      <c r="C28" s="66"/>
      <c r="D28" s="66"/>
      <c r="E28" s="66"/>
      <c r="F28" s="66"/>
      <c r="G28" s="66"/>
      <c r="H28" s="66"/>
      <c r="I28" s="66"/>
      <c r="J28" s="66"/>
      <c r="K28" s="66"/>
      <c r="L28" s="68">
        <f>MAX(L4:L24)</f>
        <v>0</v>
      </c>
      <c r="M28" s="68">
        <f>MAX(M4:M24)</f>
        <v>0</v>
      </c>
      <c r="N28" s="68">
        <f>MAX(N4:N24)</f>
        <v>0</v>
      </c>
      <c r="O28" s="66"/>
    </row>
    <row r="29" spans="1:16" s="64" customFormat="1" ht="15">
      <c r="A29" s="66"/>
      <c r="B29" s="67" t="s">
        <v>5</v>
      </c>
      <c r="C29" s="66"/>
      <c r="D29" s="66"/>
      <c r="E29" s="66"/>
      <c r="F29" s="66"/>
      <c r="G29" s="66"/>
      <c r="H29" s="66"/>
      <c r="I29" s="66"/>
      <c r="J29" s="66"/>
      <c r="K29" s="66"/>
      <c r="L29" s="68">
        <f>MIN(L4:L24)</f>
        <v>0</v>
      </c>
      <c r="M29" s="68">
        <f>MIN(M4:M24)</f>
        <v>0</v>
      </c>
      <c r="N29" s="68">
        <f>MIN(N4:N24)</f>
        <v>0</v>
      </c>
      <c r="O29" s="66"/>
    </row>
    <row r="30" spans="1:16" s="64" customForma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</row>
    <row r="31" spans="1:16" ht="15" customHeight="1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31"/>
  <sheetViews>
    <sheetView showGridLines="0" zoomScale="75" workbookViewId="0">
      <selection activeCell="O25" sqref="O25"/>
    </sheetView>
  </sheetViews>
  <sheetFormatPr defaultColWidth="0" defaultRowHeight="12.75" zeroHeight="1"/>
  <cols>
    <col min="1" max="1" width="16.1640625" style="6" customWidth="1"/>
    <col min="2" max="12" width="7.33203125" style="6" customWidth="1"/>
    <col min="13" max="15" width="8" style="6" customWidth="1"/>
    <col min="16" max="16" width="6.33203125" style="6" customWidth="1"/>
    <col min="17" max="17" width="6.33203125" style="5" hidden="1" customWidth="1"/>
    <col min="18" max="19" width="0" style="5" hidden="1" customWidth="1"/>
    <col min="20" max="21" width="9.6640625" style="5" hidden="1" customWidth="1"/>
    <col min="22" max="16384" width="0" style="5" hidden="1"/>
  </cols>
  <sheetData>
    <row r="1" spans="1:16" s="122" customFormat="1" ht="29.25" customHeight="1">
      <c r="A1" s="531" t="s">
        <v>174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121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4"/>
    </row>
    <row r="3" spans="1:16" s="161" customFormat="1" ht="47.1" customHeight="1" thickTop="1">
      <c r="A3" s="162" t="s">
        <v>0</v>
      </c>
      <c r="B3" s="77">
        <v>21</v>
      </c>
      <c r="C3" s="77">
        <v>22</v>
      </c>
      <c r="D3" s="77">
        <v>23</v>
      </c>
      <c r="E3" s="77">
        <v>24</v>
      </c>
      <c r="F3" s="77">
        <v>25</v>
      </c>
      <c r="G3" s="77">
        <v>26</v>
      </c>
      <c r="H3" s="77">
        <v>27</v>
      </c>
      <c r="I3" s="77">
        <v>28</v>
      </c>
      <c r="J3" s="77">
        <v>29</v>
      </c>
      <c r="K3" s="77">
        <v>30</v>
      </c>
      <c r="L3" s="77">
        <v>31</v>
      </c>
      <c r="M3" s="164" t="s">
        <v>172</v>
      </c>
      <c r="N3" s="165" t="s">
        <v>179</v>
      </c>
      <c r="O3" s="78" t="s">
        <v>180</v>
      </c>
    </row>
    <row r="4" spans="1:16" s="64" customFormat="1" ht="21" customHeight="1">
      <c r="A4" s="198" t="s">
        <v>128</v>
      </c>
      <c r="B4" s="263" t="str">
        <f>'Tæng kÕt T '!V6</f>
        <v xml:space="preserve"> </v>
      </c>
      <c r="C4" s="263" t="str">
        <f>'Tæng kÕt T '!W6</f>
        <v xml:space="preserve"> </v>
      </c>
      <c r="D4" s="263" t="str">
        <f>'Tæng kÕt T '!X6</f>
        <v xml:space="preserve"> </v>
      </c>
      <c r="E4" s="263" t="str">
        <f>'Tæng kÕt T '!Y6</f>
        <v xml:space="preserve"> </v>
      </c>
      <c r="F4" s="264" t="str">
        <f>'Tæng kÕt T '!Z6</f>
        <v xml:space="preserve"> </v>
      </c>
      <c r="G4" s="263" t="str">
        <f>'Tæng kÕt T '!AA6</f>
        <v xml:space="preserve"> </v>
      </c>
      <c r="H4" s="263" t="str">
        <f>'Tæng kÕt T '!AB6</f>
        <v xml:space="preserve"> </v>
      </c>
      <c r="I4" s="263" t="str">
        <f>'Tæng kÕt T '!AC6</f>
        <v xml:space="preserve"> </v>
      </c>
      <c r="J4" s="263" t="str">
        <f>'Tæng kÕt T '!AD6</f>
        <v xml:space="preserve"> </v>
      </c>
      <c r="K4" s="263" t="str">
        <f>'Tæng kÕt T '!AE6</f>
        <v xml:space="preserve"> </v>
      </c>
      <c r="L4" s="264"/>
      <c r="M4" s="265" t="str">
        <f>IF(COUNT(B4:F4)&gt;0,AVERAGE(B4:F4)," ")</f>
        <v xml:space="preserve"> </v>
      </c>
      <c r="N4" s="265" t="str">
        <f>IF(COUNT(G4:K4)&gt;0,AVERAGE(G4:K4)," ")</f>
        <v xml:space="preserve"> </v>
      </c>
      <c r="O4" s="266" t="str">
        <f>IF(COUNT(B4:K4)&gt;0,AVERAGE(B4:K4)," ")</f>
        <v xml:space="preserve"> </v>
      </c>
      <c r="P4" s="267"/>
    </row>
    <row r="5" spans="1:16" s="64" customFormat="1" ht="21" customHeight="1">
      <c r="A5" s="199" t="s">
        <v>129</v>
      </c>
      <c r="B5" s="263" t="str">
        <f>'Tæng kÕt T '!V7</f>
        <v xml:space="preserve"> </v>
      </c>
      <c r="C5" s="263" t="str">
        <f>'Tæng kÕt T '!W7</f>
        <v xml:space="preserve"> </v>
      </c>
      <c r="D5" s="263" t="str">
        <f>'Tæng kÕt T '!X7</f>
        <v xml:space="preserve"> </v>
      </c>
      <c r="E5" s="263" t="str">
        <f>'Tæng kÕt T '!Y7</f>
        <v xml:space="preserve"> </v>
      </c>
      <c r="F5" s="264" t="str">
        <f>'Tæng kÕt T '!Z7</f>
        <v xml:space="preserve"> </v>
      </c>
      <c r="G5" s="263" t="str">
        <f>'Tæng kÕt T '!AA7</f>
        <v xml:space="preserve"> </v>
      </c>
      <c r="H5" s="263" t="str">
        <f>'Tæng kÕt T '!AB7</f>
        <v xml:space="preserve"> </v>
      </c>
      <c r="I5" s="263" t="str">
        <f>'Tæng kÕt T '!AC7</f>
        <v xml:space="preserve"> </v>
      </c>
      <c r="J5" s="263" t="str">
        <f>'Tæng kÕt T '!AD7</f>
        <v xml:space="preserve"> </v>
      </c>
      <c r="K5" s="263" t="str">
        <f>'Tæng kÕt T '!AE7</f>
        <v xml:space="preserve"> </v>
      </c>
      <c r="L5" s="264"/>
      <c r="M5" s="265" t="str">
        <f>IF(COUNT(B5:F5)&gt;0,AVERAGE(B5:F5)," ")</f>
        <v xml:space="preserve"> </v>
      </c>
      <c r="N5" s="265" t="str">
        <f>IF(COUNT(G5:K5)&gt;0,AVERAGE(G5:K5)," ")</f>
        <v xml:space="preserve"> </v>
      </c>
      <c r="O5" s="266" t="str">
        <f>IF(COUNT(B5:K5)&gt;0,AVERAGE(B5:K5)," ")</f>
        <v xml:space="preserve"> </v>
      </c>
      <c r="P5" s="267"/>
    </row>
    <row r="6" spans="1:16" s="64" customFormat="1" ht="21" customHeight="1">
      <c r="A6" s="200" t="s">
        <v>130</v>
      </c>
      <c r="B6" s="263" t="str">
        <f>'Tæng kÕt T '!V8</f>
        <v xml:space="preserve"> </v>
      </c>
      <c r="C6" s="263" t="str">
        <f>'Tæng kÕt T '!W8</f>
        <v xml:space="preserve"> </v>
      </c>
      <c r="D6" s="263" t="str">
        <f>'Tæng kÕt T '!X8</f>
        <v xml:space="preserve"> </v>
      </c>
      <c r="E6" s="263" t="str">
        <f>'Tæng kÕt T '!Y8</f>
        <v xml:space="preserve"> </v>
      </c>
      <c r="F6" s="264" t="str">
        <f>'Tæng kÕt T '!Z8</f>
        <v xml:space="preserve"> </v>
      </c>
      <c r="G6" s="263" t="str">
        <f>'Tæng kÕt T '!AA8</f>
        <v xml:space="preserve"> </v>
      </c>
      <c r="H6" s="263" t="str">
        <f>'Tæng kÕt T '!AB8</f>
        <v xml:space="preserve"> </v>
      </c>
      <c r="I6" s="263" t="str">
        <f>'Tæng kÕt T '!AC8</f>
        <v xml:space="preserve"> </v>
      </c>
      <c r="J6" s="263" t="str">
        <f>'Tæng kÕt T '!AD8</f>
        <v xml:space="preserve"> </v>
      </c>
      <c r="K6" s="263" t="str">
        <f>'Tæng kÕt T '!AE8</f>
        <v xml:space="preserve"> </v>
      </c>
      <c r="L6" s="264"/>
      <c r="M6" s="265" t="str">
        <f t="shared" ref="M6:M25" si="0">IF(COUNT(B6:F6)&gt;0,AVERAGE(B6:F6)," ")</f>
        <v xml:space="preserve"> </v>
      </c>
      <c r="N6" s="265" t="str">
        <f t="shared" ref="N6:N25" si="1">IF(COUNT(G6:K6)&gt;0,AVERAGE(G6:K6)," ")</f>
        <v xml:space="preserve"> </v>
      </c>
      <c r="O6" s="266" t="str">
        <f t="shared" ref="O6:O25" si="2">IF(COUNT(B6:K6)&gt;0,AVERAGE(B6:K6)," ")</f>
        <v xml:space="preserve"> </v>
      </c>
      <c r="P6" s="267"/>
    </row>
    <row r="7" spans="1:16" s="64" customFormat="1" ht="21" customHeight="1">
      <c r="A7" s="199" t="s">
        <v>131</v>
      </c>
      <c r="B7" s="263" t="str">
        <f>'Tæng kÕt T '!V9</f>
        <v xml:space="preserve"> </v>
      </c>
      <c r="C7" s="263" t="str">
        <f>'Tæng kÕt T '!W9</f>
        <v xml:space="preserve"> </v>
      </c>
      <c r="D7" s="263" t="str">
        <f>'Tæng kÕt T '!X9</f>
        <v xml:space="preserve"> </v>
      </c>
      <c r="E7" s="263" t="str">
        <f>'Tæng kÕt T '!Y9</f>
        <v xml:space="preserve"> </v>
      </c>
      <c r="F7" s="264" t="str">
        <f>'Tæng kÕt T '!Z9</f>
        <v xml:space="preserve"> </v>
      </c>
      <c r="G7" s="263" t="str">
        <f>'Tæng kÕt T '!AA9</f>
        <v xml:space="preserve"> </v>
      </c>
      <c r="H7" s="263" t="str">
        <f>'Tæng kÕt T '!AB9</f>
        <v xml:space="preserve"> </v>
      </c>
      <c r="I7" s="263" t="str">
        <f>'Tæng kÕt T '!AC9</f>
        <v xml:space="preserve"> </v>
      </c>
      <c r="J7" s="263" t="str">
        <f>'Tæng kÕt T '!AD9</f>
        <v xml:space="preserve"> </v>
      </c>
      <c r="K7" s="263" t="str">
        <f>'Tæng kÕt T '!AE9</f>
        <v xml:space="preserve"> </v>
      </c>
      <c r="L7" s="264"/>
      <c r="M7" s="265" t="str">
        <f t="shared" si="0"/>
        <v xml:space="preserve"> </v>
      </c>
      <c r="N7" s="265" t="str">
        <f t="shared" si="1"/>
        <v xml:space="preserve"> </v>
      </c>
      <c r="O7" s="266" t="str">
        <f t="shared" si="2"/>
        <v xml:space="preserve"> </v>
      </c>
      <c r="P7" s="267"/>
    </row>
    <row r="8" spans="1:16" s="64" customFormat="1" ht="21" customHeight="1">
      <c r="A8" s="199" t="s">
        <v>132</v>
      </c>
      <c r="B8" s="263" t="str">
        <f>'Tæng kÕt T '!V10</f>
        <v xml:space="preserve"> </v>
      </c>
      <c r="C8" s="263" t="str">
        <f>'Tæng kÕt T '!W10</f>
        <v xml:space="preserve"> </v>
      </c>
      <c r="D8" s="263" t="str">
        <f>'Tæng kÕt T '!X10</f>
        <v xml:space="preserve"> </v>
      </c>
      <c r="E8" s="263" t="str">
        <f>'Tæng kÕt T '!Y10</f>
        <v xml:space="preserve"> </v>
      </c>
      <c r="F8" s="264" t="str">
        <f>'Tæng kÕt T '!Z10</f>
        <v xml:space="preserve"> </v>
      </c>
      <c r="G8" s="263" t="str">
        <f>'Tæng kÕt T '!AA10</f>
        <v xml:space="preserve"> </v>
      </c>
      <c r="H8" s="263" t="str">
        <f>'Tæng kÕt T '!AB10</f>
        <v xml:space="preserve"> </v>
      </c>
      <c r="I8" s="263" t="str">
        <f>'Tæng kÕt T '!AC10</f>
        <v xml:space="preserve"> </v>
      </c>
      <c r="J8" s="263" t="str">
        <f>'Tæng kÕt T '!AD10</f>
        <v xml:space="preserve"> </v>
      </c>
      <c r="K8" s="263" t="str">
        <f>'Tæng kÕt T '!AE10</f>
        <v xml:space="preserve"> </v>
      </c>
      <c r="L8" s="264"/>
      <c r="M8" s="265" t="str">
        <f t="shared" si="0"/>
        <v xml:space="preserve"> </v>
      </c>
      <c r="N8" s="265" t="str">
        <f t="shared" si="1"/>
        <v xml:space="preserve"> </v>
      </c>
      <c r="O8" s="266" t="str">
        <f t="shared" si="2"/>
        <v xml:space="preserve"> </v>
      </c>
      <c r="P8" s="267"/>
    </row>
    <row r="9" spans="1:16" s="64" customFormat="1" ht="21" customHeight="1">
      <c r="A9" s="199" t="s">
        <v>133</v>
      </c>
      <c r="B9" s="263" t="str">
        <f>'Tæng kÕt T '!V11</f>
        <v xml:space="preserve"> </v>
      </c>
      <c r="C9" s="263" t="str">
        <f>'Tæng kÕt T '!W11</f>
        <v xml:space="preserve"> </v>
      </c>
      <c r="D9" s="263" t="str">
        <f>'Tæng kÕt T '!X11</f>
        <v xml:space="preserve"> </v>
      </c>
      <c r="E9" s="263" t="str">
        <f>'Tæng kÕt T '!Y11</f>
        <v xml:space="preserve"> </v>
      </c>
      <c r="F9" s="264" t="str">
        <f>'Tæng kÕt T '!Z11</f>
        <v xml:space="preserve"> </v>
      </c>
      <c r="G9" s="263" t="str">
        <f>'Tæng kÕt T '!AA11</f>
        <v xml:space="preserve"> </v>
      </c>
      <c r="H9" s="263" t="str">
        <f>'Tæng kÕt T '!AB11</f>
        <v xml:space="preserve"> </v>
      </c>
      <c r="I9" s="263" t="str">
        <f>'Tæng kÕt T '!AC11</f>
        <v xml:space="preserve"> </v>
      </c>
      <c r="J9" s="263" t="str">
        <f>'Tæng kÕt T '!AD11</f>
        <v xml:space="preserve"> </v>
      </c>
      <c r="K9" s="263" t="str">
        <f>'Tæng kÕt T '!AE11</f>
        <v xml:space="preserve"> </v>
      </c>
      <c r="L9" s="264"/>
      <c r="M9" s="265" t="str">
        <f t="shared" si="0"/>
        <v xml:space="preserve"> </v>
      </c>
      <c r="N9" s="265" t="str">
        <f t="shared" si="1"/>
        <v xml:space="preserve"> </v>
      </c>
      <c r="O9" s="266" t="str">
        <f t="shared" si="2"/>
        <v xml:space="preserve"> </v>
      </c>
      <c r="P9" s="267"/>
    </row>
    <row r="10" spans="1:16" s="64" customFormat="1" ht="21" customHeight="1">
      <c r="A10" s="199" t="s">
        <v>134</v>
      </c>
      <c r="B10" s="263" t="str">
        <f>'Tæng kÕt T '!V12</f>
        <v xml:space="preserve"> </v>
      </c>
      <c r="C10" s="263" t="str">
        <f>'Tæng kÕt T '!W12</f>
        <v xml:space="preserve"> </v>
      </c>
      <c r="D10" s="263" t="str">
        <f>'Tæng kÕt T '!X12</f>
        <v xml:space="preserve"> </v>
      </c>
      <c r="E10" s="263" t="str">
        <f>'Tæng kÕt T '!Y12</f>
        <v xml:space="preserve"> </v>
      </c>
      <c r="F10" s="264" t="str">
        <f>'Tæng kÕt T '!Z12</f>
        <v xml:space="preserve"> </v>
      </c>
      <c r="G10" s="263" t="str">
        <f>'Tæng kÕt T '!AA12</f>
        <v xml:space="preserve"> </v>
      </c>
      <c r="H10" s="263" t="str">
        <f>'Tæng kÕt T '!AB12</f>
        <v xml:space="preserve"> </v>
      </c>
      <c r="I10" s="263" t="str">
        <f>'Tæng kÕt T '!AC12</f>
        <v xml:space="preserve"> </v>
      </c>
      <c r="J10" s="263" t="str">
        <f>'Tæng kÕt T '!AD12</f>
        <v xml:space="preserve"> </v>
      </c>
      <c r="K10" s="263" t="str">
        <f>'Tæng kÕt T '!AE12</f>
        <v xml:space="preserve"> </v>
      </c>
      <c r="L10" s="264"/>
      <c r="M10" s="265" t="str">
        <f t="shared" si="0"/>
        <v xml:space="preserve"> </v>
      </c>
      <c r="N10" s="265" t="str">
        <f t="shared" si="1"/>
        <v xml:space="preserve"> </v>
      </c>
      <c r="O10" s="266" t="str">
        <f t="shared" si="2"/>
        <v xml:space="preserve"> </v>
      </c>
      <c r="P10" s="267"/>
    </row>
    <row r="11" spans="1:16" s="64" customFormat="1" ht="21" customHeight="1">
      <c r="A11" s="199" t="s">
        <v>192</v>
      </c>
      <c r="B11" s="263" t="str">
        <f>'Tæng kÕt T '!V13</f>
        <v xml:space="preserve"> </v>
      </c>
      <c r="C11" s="263" t="str">
        <f>'Tæng kÕt T '!W13</f>
        <v xml:space="preserve"> </v>
      </c>
      <c r="D11" s="263" t="str">
        <f>'Tæng kÕt T '!X13</f>
        <v xml:space="preserve"> </v>
      </c>
      <c r="E11" s="263" t="str">
        <f>'Tæng kÕt T '!Y13</f>
        <v xml:space="preserve"> </v>
      </c>
      <c r="F11" s="264" t="str">
        <f>'Tæng kÕt T '!Z13</f>
        <v xml:space="preserve"> </v>
      </c>
      <c r="G11" s="263" t="str">
        <f>'Tæng kÕt T '!AA13</f>
        <v xml:space="preserve"> </v>
      </c>
      <c r="H11" s="263" t="str">
        <f>'Tæng kÕt T '!AB13</f>
        <v xml:space="preserve"> </v>
      </c>
      <c r="I11" s="263" t="str">
        <f>'Tæng kÕt T '!AC13</f>
        <v xml:space="preserve"> </v>
      </c>
      <c r="J11" s="263" t="str">
        <f>'Tæng kÕt T '!AD13</f>
        <v xml:space="preserve"> </v>
      </c>
      <c r="K11" s="263" t="str">
        <f>'Tæng kÕt T '!AE13</f>
        <v xml:space="preserve"> </v>
      </c>
      <c r="L11" s="264"/>
      <c r="M11" s="265" t="str">
        <f t="shared" si="0"/>
        <v xml:space="preserve"> </v>
      </c>
      <c r="N11" s="265" t="str">
        <f t="shared" si="1"/>
        <v xml:space="preserve"> </v>
      </c>
      <c r="O11" s="266" t="str">
        <f t="shared" si="2"/>
        <v xml:space="preserve"> </v>
      </c>
      <c r="P11" s="267"/>
    </row>
    <row r="12" spans="1:16" s="64" customFormat="1" ht="21" customHeight="1">
      <c r="A12" s="199" t="s">
        <v>135</v>
      </c>
      <c r="B12" s="263" t="str">
        <f>'Tæng kÕt T '!V14</f>
        <v xml:space="preserve"> </v>
      </c>
      <c r="C12" s="263" t="str">
        <f>'Tæng kÕt T '!W14</f>
        <v xml:space="preserve"> </v>
      </c>
      <c r="D12" s="263" t="str">
        <f>'Tæng kÕt T '!X14</f>
        <v xml:space="preserve"> </v>
      </c>
      <c r="E12" s="263" t="str">
        <f>'Tæng kÕt T '!Y14</f>
        <v xml:space="preserve"> </v>
      </c>
      <c r="F12" s="264" t="str">
        <f>'Tæng kÕt T '!Z14</f>
        <v xml:space="preserve"> </v>
      </c>
      <c r="G12" s="263" t="str">
        <f>'Tæng kÕt T '!AA14</f>
        <v xml:space="preserve"> </v>
      </c>
      <c r="H12" s="263" t="str">
        <f>'Tæng kÕt T '!AB14</f>
        <v xml:space="preserve"> </v>
      </c>
      <c r="I12" s="263" t="str">
        <f>'Tæng kÕt T '!AC14</f>
        <v xml:space="preserve"> </v>
      </c>
      <c r="J12" s="263" t="str">
        <f>'Tæng kÕt T '!AD14</f>
        <v xml:space="preserve"> </v>
      </c>
      <c r="K12" s="263" t="str">
        <f>'Tæng kÕt T '!AE14</f>
        <v xml:space="preserve"> </v>
      </c>
      <c r="L12" s="264"/>
      <c r="M12" s="265" t="str">
        <f t="shared" si="0"/>
        <v xml:space="preserve"> </v>
      </c>
      <c r="N12" s="265" t="str">
        <f t="shared" si="1"/>
        <v xml:space="preserve"> </v>
      </c>
      <c r="O12" s="266" t="str">
        <f t="shared" si="2"/>
        <v xml:space="preserve"> </v>
      </c>
      <c r="P12" s="267"/>
    </row>
    <row r="13" spans="1:16" s="64" customFormat="1" ht="21" customHeight="1">
      <c r="A13" s="199" t="s">
        <v>136</v>
      </c>
      <c r="B13" s="263" t="str">
        <f>'Tæng kÕt T '!V15</f>
        <v xml:space="preserve"> </v>
      </c>
      <c r="C13" s="263" t="str">
        <f>'Tæng kÕt T '!W15</f>
        <v xml:space="preserve"> </v>
      </c>
      <c r="D13" s="263" t="str">
        <f>'Tæng kÕt T '!X15</f>
        <v xml:space="preserve"> </v>
      </c>
      <c r="E13" s="263" t="str">
        <f>'Tæng kÕt T '!Y15</f>
        <v xml:space="preserve"> </v>
      </c>
      <c r="F13" s="264" t="str">
        <f>'Tæng kÕt T '!Z15</f>
        <v xml:space="preserve"> </v>
      </c>
      <c r="G13" s="263" t="str">
        <f>'Tæng kÕt T '!AA15</f>
        <v xml:space="preserve"> </v>
      </c>
      <c r="H13" s="263" t="str">
        <f>'Tæng kÕt T '!AB15</f>
        <v xml:space="preserve"> </v>
      </c>
      <c r="I13" s="263" t="str">
        <f>'Tæng kÕt T '!AC15</f>
        <v xml:space="preserve"> </v>
      </c>
      <c r="J13" s="263" t="str">
        <f>'Tæng kÕt T '!AD15</f>
        <v xml:space="preserve"> </v>
      </c>
      <c r="K13" s="263" t="str">
        <f>'Tæng kÕt T '!AE15</f>
        <v xml:space="preserve"> </v>
      </c>
      <c r="L13" s="264"/>
      <c r="M13" s="265" t="str">
        <f t="shared" si="0"/>
        <v xml:space="preserve"> </v>
      </c>
      <c r="N13" s="265" t="str">
        <f t="shared" si="1"/>
        <v xml:space="preserve"> </v>
      </c>
      <c r="O13" s="266" t="str">
        <f t="shared" si="2"/>
        <v xml:space="preserve"> </v>
      </c>
      <c r="P13" s="267"/>
    </row>
    <row r="14" spans="1:16" s="64" customFormat="1" ht="21" customHeight="1">
      <c r="A14" s="200" t="s">
        <v>137</v>
      </c>
      <c r="B14" s="263" t="str">
        <f>'Tæng kÕt T '!V16</f>
        <v xml:space="preserve"> </v>
      </c>
      <c r="C14" s="263" t="str">
        <f>'Tæng kÕt T '!W16</f>
        <v xml:space="preserve"> </v>
      </c>
      <c r="D14" s="263" t="str">
        <f>'Tæng kÕt T '!X16</f>
        <v xml:space="preserve"> </v>
      </c>
      <c r="E14" s="263" t="str">
        <f>'Tæng kÕt T '!Y16</f>
        <v xml:space="preserve"> </v>
      </c>
      <c r="F14" s="264" t="str">
        <f>'Tæng kÕt T '!Z16</f>
        <v xml:space="preserve"> </v>
      </c>
      <c r="G14" s="263" t="str">
        <f>'Tæng kÕt T '!AA16</f>
        <v xml:space="preserve"> </v>
      </c>
      <c r="H14" s="263" t="str">
        <f>'Tæng kÕt T '!AB16</f>
        <v xml:space="preserve"> </v>
      </c>
      <c r="I14" s="263" t="str">
        <f>'Tæng kÕt T '!AC16</f>
        <v xml:space="preserve"> </v>
      </c>
      <c r="J14" s="263" t="str">
        <f>'Tæng kÕt T '!AD16</f>
        <v xml:space="preserve"> </v>
      </c>
      <c r="K14" s="263" t="str">
        <f>'Tæng kÕt T '!AE16</f>
        <v xml:space="preserve"> </v>
      </c>
      <c r="L14" s="264"/>
      <c r="M14" s="265" t="str">
        <f t="shared" si="0"/>
        <v xml:space="preserve"> </v>
      </c>
      <c r="N14" s="265" t="str">
        <f t="shared" si="1"/>
        <v xml:space="preserve"> </v>
      </c>
      <c r="O14" s="266" t="str">
        <f t="shared" si="2"/>
        <v xml:space="preserve"> </v>
      </c>
      <c r="P14" s="267"/>
    </row>
    <row r="15" spans="1:16" s="64" customFormat="1" ht="21" customHeight="1">
      <c r="A15" s="199" t="s">
        <v>138</v>
      </c>
      <c r="B15" s="263" t="str">
        <f>'Tæng kÕt T '!V17</f>
        <v xml:space="preserve"> </v>
      </c>
      <c r="C15" s="263" t="str">
        <f>'Tæng kÕt T '!W17</f>
        <v xml:space="preserve"> </v>
      </c>
      <c r="D15" s="263" t="str">
        <f>'Tæng kÕt T '!X17</f>
        <v xml:space="preserve"> </v>
      </c>
      <c r="E15" s="263" t="str">
        <f>'Tæng kÕt T '!Y17</f>
        <v xml:space="preserve"> </v>
      </c>
      <c r="F15" s="264" t="str">
        <f>'Tæng kÕt T '!Z17</f>
        <v xml:space="preserve"> </v>
      </c>
      <c r="G15" s="263" t="str">
        <f>'Tæng kÕt T '!AA17</f>
        <v xml:space="preserve"> </v>
      </c>
      <c r="H15" s="263" t="str">
        <f>'Tæng kÕt T '!AB17</f>
        <v xml:space="preserve"> </v>
      </c>
      <c r="I15" s="263" t="str">
        <f>'Tæng kÕt T '!AC17</f>
        <v xml:space="preserve"> </v>
      </c>
      <c r="J15" s="263" t="str">
        <f>'Tæng kÕt T '!AD17</f>
        <v xml:space="preserve"> </v>
      </c>
      <c r="K15" s="263" t="str">
        <f>'Tæng kÕt T '!AE17</f>
        <v xml:space="preserve"> </v>
      </c>
      <c r="L15" s="264"/>
      <c r="M15" s="265" t="str">
        <f t="shared" si="0"/>
        <v xml:space="preserve"> </v>
      </c>
      <c r="N15" s="265" t="str">
        <f t="shared" si="1"/>
        <v xml:space="preserve"> </v>
      </c>
      <c r="O15" s="266" t="str">
        <f t="shared" si="2"/>
        <v xml:space="preserve"> </v>
      </c>
      <c r="P15" s="267"/>
    </row>
    <row r="16" spans="1:16" s="64" customFormat="1" ht="21" customHeight="1">
      <c r="A16" s="200" t="s">
        <v>139</v>
      </c>
      <c r="B16" s="263" t="str">
        <f>'Tæng kÕt T '!V18</f>
        <v xml:space="preserve"> </v>
      </c>
      <c r="C16" s="263" t="str">
        <f>'Tæng kÕt T '!W18</f>
        <v xml:space="preserve"> </v>
      </c>
      <c r="D16" s="263" t="str">
        <f>'Tæng kÕt T '!X18</f>
        <v xml:space="preserve"> </v>
      </c>
      <c r="E16" s="263" t="str">
        <f>'Tæng kÕt T '!Y18</f>
        <v xml:space="preserve"> </v>
      </c>
      <c r="F16" s="264" t="str">
        <f>'Tæng kÕt T '!Z18</f>
        <v xml:space="preserve"> </v>
      </c>
      <c r="G16" s="263" t="str">
        <f>'Tæng kÕt T '!AA18</f>
        <v xml:space="preserve"> </v>
      </c>
      <c r="H16" s="263" t="str">
        <f>'Tæng kÕt T '!AB18</f>
        <v xml:space="preserve"> </v>
      </c>
      <c r="I16" s="263" t="str">
        <f>'Tæng kÕt T '!AC18</f>
        <v xml:space="preserve"> </v>
      </c>
      <c r="J16" s="263" t="str">
        <f>'Tæng kÕt T '!AD18</f>
        <v xml:space="preserve"> </v>
      </c>
      <c r="K16" s="263" t="str">
        <f>'Tæng kÕt T '!AE18</f>
        <v xml:space="preserve"> </v>
      </c>
      <c r="L16" s="264"/>
      <c r="M16" s="265" t="str">
        <f t="shared" si="0"/>
        <v xml:space="preserve"> </v>
      </c>
      <c r="N16" s="265" t="str">
        <f t="shared" si="1"/>
        <v xml:space="preserve"> </v>
      </c>
      <c r="O16" s="266" t="str">
        <f t="shared" si="2"/>
        <v xml:space="preserve"> </v>
      </c>
      <c r="P16" s="267"/>
    </row>
    <row r="17" spans="1:16" s="64" customFormat="1" ht="21" customHeight="1">
      <c r="A17" s="199" t="s">
        <v>140</v>
      </c>
      <c r="B17" s="263" t="str">
        <f>'Tæng kÕt T '!V19</f>
        <v xml:space="preserve"> </v>
      </c>
      <c r="C17" s="263" t="str">
        <f>'Tæng kÕt T '!W19</f>
        <v xml:space="preserve"> </v>
      </c>
      <c r="D17" s="263" t="str">
        <f>'Tæng kÕt T '!X19</f>
        <v xml:space="preserve"> </v>
      </c>
      <c r="E17" s="263" t="str">
        <f>'Tæng kÕt T '!Y19</f>
        <v xml:space="preserve"> </v>
      </c>
      <c r="F17" s="264" t="str">
        <f>'Tæng kÕt T '!Z19</f>
        <v xml:space="preserve"> </v>
      </c>
      <c r="G17" s="263" t="str">
        <f>'Tæng kÕt T '!AA19</f>
        <v xml:space="preserve"> </v>
      </c>
      <c r="H17" s="263" t="str">
        <f>'Tæng kÕt T '!AB19</f>
        <v xml:space="preserve"> </v>
      </c>
      <c r="I17" s="263" t="str">
        <f>'Tæng kÕt T '!AC19</f>
        <v xml:space="preserve"> </v>
      </c>
      <c r="J17" s="263" t="str">
        <f>'Tæng kÕt T '!AD19</f>
        <v xml:space="preserve"> </v>
      </c>
      <c r="K17" s="263" t="str">
        <f>'Tæng kÕt T '!AE19</f>
        <v xml:space="preserve"> </v>
      </c>
      <c r="L17" s="264"/>
      <c r="M17" s="265" t="str">
        <f t="shared" si="0"/>
        <v xml:space="preserve"> </v>
      </c>
      <c r="N17" s="265" t="str">
        <f t="shared" si="1"/>
        <v xml:space="preserve"> </v>
      </c>
      <c r="O17" s="266" t="str">
        <f t="shared" si="2"/>
        <v xml:space="preserve"> </v>
      </c>
      <c r="P17" s="267"/>
    </row>
    <row r="18" spans="1:16" s="64" customFormat="1" ht="21" customHeight="1">
      <c r="A18" s="200" t="s">
        <v>141</v>
      </c>
      <c r="B18" s="263" t="str">
        <f>'Tæng kÕt T '!V20</f>
        <v xml:space="preserve"> </v>
      </c>
      <c r="C18" s="263" t="str">
        <f>'Tæng kÕt T '!W20</f>
        <v xml:space="preserve"> </v>
      </c>
      <c r="D18" s="263" t="str">
        <f>'Tæng kÕt T '!X20</f>
        <v xml:space="preserve"> </v>
      </c>
      <c r="E18" s="263" t="str">
        <f>'Tæng kÕt T '!Y20</f>
        <v xml:space="preserve"> </v>
      </c>
      <c r="F18" s="264" t="str">
        <f>'Tæng kÕt T '!Z20</f>
        <v xml:space="preserve"> </v>
      </c>
      <c r="G18" s="263" t="str">
        <f>'Tæng kÕt T '!AA20</f>
        <v xml:space="preserve"> </v>
      </c>
      <c r="H18" s="263" t="str">
        <f>'Tæng kÕt T '!AB20</f>
        <v xml:space="preserve"> </v>
      </c>
      <c r="I18" s="263" t="str">
        <f>'Tæng kÕt T '!AC20</f>
        <v xml:space="preserve"> </v>
      </c>
      <c r="J18" s="263" t="str">
        <f>'Tæng kÕt T '!AD20</f>
        <v xml:space="preserve"> </v>
      </c>
      <c r="K18" s="263" t="str">
        <f>'Tæng kÕt T '!AE20</f>
        <v xml:space="preserve"> </v>
      </c>
      <c r="L18" s="264"/>
      <c r="M18" s="265" t="str">
        <f t="shared" si="0"/>
        <v xml:space="preserve"> </v>
      </c>
      <c r="N18" s="265" t="str">
        <f t="shared" si="1"/>
        <v xml:space="preserve"> </v>
      </c>
      <c r="O18" s="266" t="str">
        <f t="shared" si="2"/>
        <v xml:space="preserve"> </v>
      </c>
      <c r="P18" s="267"/>
    </row>
    <row r="19" spans="1:16" s="64" customFormat="1" ht="21" customHeight="1">
      <c r="A19" s="199" t="s">
        <v>142</v>
      </c>
      <c r="B19" s="263" t="str">
        <f>'Tæng kÕt T '!V21</f>
        <v xml:space="preserve"> </v>
      </c>
      <c r="C19" s="263" t="str">
        <f>'Tæng kÕt T '!W21</f>
        <v xml:space="preserve"> </v>
      </c>
      <c r="D19" s="263" t="str">
        <f>'Tæng kÕt T '!X21</f>
        <v xml:space="preserve"> </v>
      </c>
      <c r="E19" s="263" t="str">
        <f>'Tæng kÕt T '!Y21</f>
        <v xml:space="preserve"> </v>
      </c>
      <c r="F19" s="264" t="str">
        <f>'Tæng kÕt T '!Z21</f>
        <v xml:space="preserve"> </v>
      </c>
      <c r="G19" s="263" t="str">
        <f>'Tæng kÕt T '!AA21</f>
        <v xml:space="preserve"> </v>
      </c>
      <c r="H19" s="263" t="str">
        <f>'Tæng kÕt T '!AB21</f>
        <v xml:space="preserve"> </v>
      </c>
      <c r="I19" s="263" t="str">
        <f>'Tæng kÕt T '!AC21</f>
        <v xml:space="preserve"> </v>
      </c>
      <c r="J19" s="263" t="str">
        <f>'Tæng kÕt T '!AD21</f>
        <v xml:space="preserve"> </v>
      </c>
      <c r="K19" s="263" t="str">
        <f>'Tæng kÕt T '!AE21</f>
        <v xml:space="preserve"> </v>
      </c>
      <c r="L19" s="264"/>
      <c r="M19" s="265" t="str">
        <f t="shared" si="0"/>
        <v xml:space="preserve"> </v>
      </c>
      <c r="N19" s="265" t="str">
        <f t="shared" si="1"/>
        <v xml:space="preserve"> </v>
      </c>
      <c r="O19" s="266" t="str">
        <f t="shared" si="2"/>
        <v xml:space="preserve"> </v>
      </c>
      <c r="P19" s="267"/>
    </row>
    <row r="20" spans="1:16" s="64" customFormat="1" ht="21" customHeight="1">
      <c r="A20" s="199" t="s">
        <v>143</v>
      </c>
      <c r="B20" s="263" t="str">
        <f>'Tæng kÕt T '!V22</f>
        <v xml:space="preserve"> </v>
      </c>
      <c r="C20" s="263" t="str">
        <f>'Tæng kÕt T '!W22</f>
        <v xml:space="preserve"> </v>
      </c>
      <c r="D20" s="263" t="str">
        <f>'Tæng kÕt T '!X22</f>
        <v xml:space="preserve"> </v>
      </c>
      <c r="E20" s="263" t="str">
        <f>'Tæng kÕt T '!Y22</f>
        <v xml:space="preserve"> </v>
      </c>
      <c r="F20" s="264" t="str">
        <f>'Tæng kÕt T '!Z22</f>
        <v xml:space="preserve"> </v>
      </c>
      <c r="G20" s="263" t="str">
        <f>'Tæng kÕt T '!AA22</f>
        <v xml:space="preserve"> </v>
      </c>
      <c r="H20" s="263" t="str">
        <f>'Tæng kÕt T '!AB22</f>
        <v xml:space="preserve"> </v>
      </c>
      <c r="I20" s="263" t="str">
        <f>'Tæng kÕt T '!AC22</f>
        <v xml:space="preserve"> </v>
      </c>
      <c r="J20" s="263" t="str">
        <f>'Tæng kÕt T '!AD22</f>
        <v xml:space="preserve"> </v>
      </c>
      <c r="K20" s="263" t="str">
        <f>'Tæng kÕt T '!AE22</f>
        <v xml:space="preserve"> </v>
      </c>
      <c r="L20" s="264"/>
      <c r="M20" s="265" t="str">
        <f t="shared" si="0"/>
        <v xml:space="preserve"> </v>
      </c>
      <c r="N20" s="265" t="str">
        <f t="shared" si="1"/>
        <v xml:space="preserve"> </v>
      </c>
      <c r="O20" s="266" t="str">
        <f t="shared" si="2"/>
        <v xml:space="preserve"> </v>
      </c>
      <c r="P20" s="267"/>
    </row>
    <row r="21" spans="1:16" s="64" customFormat="1" ht="21" customHeight="1">
      <c r="A21" s="199" t="s">
        <v>144</v>
      </c>
      <c r="B21" s="263" t="str">
        <f>'Tæng kÕt T '!V23</f>
        <v xml:space="preserve"> </v>
      </c>
      <c r="C21" s="263" t="str">
        <f>'Tæng kÕt T '!W23</f>
        <v xml:space="preserve"> </v>
      </c>
      <c r="D21" s="263" t="str">
        <f>'Tæng kÕt T '!X23</f>
        <v xml:space="preserve"> </v>
      </c>
      <c r="E21" s="263" t="str">
        <f>'Tæng kÕt T '!Y23</f>
        <v xml:space="preserve"> </v>
      </c>
      <c r="F21" s="264" t="str">
        <f>'Tæng kÕt T '!Z23</f>
        <v xml:space="preserve"> </v>
      </c>
      <c r="G21" s="263" t="str">
        <f>'Tæng kÕt T '!AA23</f>
        <v xml:space="preserve"> </v>
      </c>
      <c r="H21" s="263" t="str">
        <f>'Tæng kÕt T '!AB23</f>
        <v xml:space="preserve"> </v>
      </c>
      <c r="I21" s="263" t="str">
        <f>'Tæng kÕt T '!AC23</f>
        <v xml:space="preserve"> </v>
      </c>
      <c r="J21" s="263" t="str">
        <f>'Tæng kÕt T '!AD23</f>
        <v xml:space="preserve"> </v>
      </c>
      <c r="K21" s="263" t="str">
        <f>'Tæng kÕt T '!AE23</f>
        <v xml:space="preserve"> </v>
      </c>
      <c r="L21" s="264"/>
      <c r="M21" s="265" t="str">
        <f t="shared" si="0"/>
        <v xml:space="preserve"> </v>
      </c>
      <c r="N21" s="265" t="str">
        <f t="shared" si="1"/>
        <v xml:space="preserve"> </v>
      </c>
      <c r="O21" s="266" t="str">
        <f t="shared" si="2"/>
        <v xml:space="preserve"> </v>
      </c>
      <c r="P21" s="267"/>
    </row>
    <row r="22" spans="1:16" s="64" customFormat="1" ht="21" customHeight="1">
      <c r="A22" s="199" t="s">
        <v>145</v>
      </c>
      <c r="B22" s="263" t="str">
        <f>'Tæng kÕt T '!V24</f>
        <v xml:space="preserve"> </v>
      </c>
      <c r="C22" s="263" t="str">
        <f>'Tæng kÕt T '!W24</f>
        <v xml:space="preserve"> </v>
      </c>
      <c r="D22" s="263" t="str">
        <f>'Tæng kÕt T '!X24</f>
        <v xml:space="preserve"> </v>
      </c>
      <c r="E22" s="263" t="str">
        <f>'Tæng kÕt T '!Y24</f>
        <v xml:space="preserve"> </v>
      </c>
      <c r="F22" s="264" t="str">
        <f>'Tæng kÕt T '!Z24</f>
        <v xml:space="preserve"> </v>
      </c>
      <c r="G22" s="263" t="str">
        <f>'Tæng kÕt T '!AA24</f>
        <v xml:space="preserve"> </v>
      </c>
      <c r="H22" s="263" t="str">
        <f>'Tæng kÕt T '!AB24</f>
        <v xml:space="preserve"> </v>
      </c>
      <c r="I22" s="263" t="str">
        <f>'Tæng kÕt T '!AC24</f>
        <v xml:space="preserve"> </v>
      </c>
      <c r="J22" s="263" t="str">
        <f>'Tæng kÕt T '!AD24</f>
        <v xml:space="preserve"> </v>
      </c>
      <c r="K22" s="263" t="str">
        <f>'Tæng kÕt T '!AE24</f>
        <v xml:space="preserve"> </v>
      </c>
      <c r="L22" s="264"/>
      <c r="M22" s="265" t="str">
        <f t="shared" si="0"/>
        <v xml:space="preserve"> </v>
      </c>
      <c r="N22" s="265" t="str">
        <f t="shared" si="1"/>
        <v xml:space="preserve"> </v>
      </c>
      <c r="O22" s="266" t="str">
        <f t="shared" si="2"/>
        <v xml:space="preserve"> </v>
      </c>
      <c r="P22" s="267"/>
    </row>
    <row r="23" spans="1:16" s="64" customFormat="1" ht="21" customHeight="1">
      <c r="A23" s="199" t="s">
        <v>146</v>
      </c>
      <c r="B23" s="263" t="str">
        <f>'Tæng kÕt T '!V25</f>
        <v xml:space="preserve"> </v>
      </c>
      <c r="C23" s="263" t="str">
        <f>'Tæng kÕt T '!W25</f>
        <v xml:space="preserve"> </v>
      </c>
      <c r="D23" s="263" t="str">
        <f>'Tæng kÕt T '!X25</f>
        <v xml:space="preserve"> </v>
      </c>
      <c r="E23" s="263" t="str">
        <f>'Tæng kÕt T '!Y25</f>
        <v xml:space="preserve"> </v>
      </c>
      <c r="F23" s="264" t="str">
        <f>'Tæng kÕt T '!Z25</f>
        <v xml:space="preserve"> </v>
      </c>
      <c r="G23" s="263" t="str">
        <f>'Tæng kÕt T '!AA25</f>
        <v xml:space="preserve"> </v>
      </c>
      <c r="H23" s="263" t="str">
        <f>'Tæng kÕt T '!AB25</f>
        <v xml:space="preserve"> </v>
      </c>
      <c r="I23" s="263" t="str">
        <f>'Tæng kÕt T '!AC25</f>
        <v xml:space="preserve"> </v>
      </c>
      <c r="J23" s="263" t="str">
        <f>'Tæng kÕt T '!AD25</f>
        <v xml:space="preserve"> </v>
      </c>
      <c r="K23" s="263" t="str">
        <f>'Tæng kÕt T '!AE25</f>
        <v xml:space="preserve"> </v>
      </c>
      <c r="L23" s="264"/>
      <c r="M23" s="265" t="str">
        <f t="shared" si="0"/>
        <v xml:space="preserve"> </v>
      </c>
      <c r="N23" s="265" t="str">
        <f t="shared" si="1"/>
        <v xml:space="preserve"> </v>
      </c>
      <c r="O23" s="266" t="str">
        <f t="shared" si="2"/>
        <v xml:space="preserve"> </v>
      </c>
      <c r="P23" s="267"/>
    </row>
    <row r="24" spans="1:16" s="64" customFormat="1" ht="21" customHeight="1">
      <c r="A24" s="199" t="s">
        <v>147</v>
      </c>
      <c r="B24" s="263" t="str">
        <f>'Tæng kÕt T '!V26</f>
        <v xml:space="preserve"> </v>
      </c>
      <c r="C24" s="263" t="str">
        <f>'Tæng kÕt T '!W26</f>
        <v xml:space="preserve"> </v>
      </c>
      <c r="D24" s="263" t="str">
        <f>'Tæng kÕt T '!X26</f>
        <v xml:space="preserve"> </v>
      </c>
      <c r="E24" s="263" t="str">
        <f>'Tæng kÕt T '!Y26</f>
        <v xml:space="preserve"> </v>
      </c>
      <c r="F24" s="264" t="str">
        <f>'Tæng kÕt T '!Z26</f>
        <v xml:space="preserve"> </v>
      </c>
      <c r="G24" s="263" t="str">
        <f>'Tæng kÕt T '!AA26</f>
        <v xml:space="preserve"> </v>
      </c>
      <c r="H24" s="263" t="str">
        <f>'Tæng kÕt T '!AB26</f>
        <v xml:space="preserve"> </v>
      </c>
      <c r="I24" s="263" t="str">
        <f>'Tæng kÕt T '!AC26</f>
        <v xml:space="preserve"> </v>
      </c>
      <c r="J24" s="263" t="str">
        <f>'Tæng kÕt T '!AD26</f>
        <v xml:space="preserve"> </v>
      </c>
      <c r="K24" s="263" t="str">
        <f>'Tæng kÕt T '!AE26</f>
        <v xml:space="preserve"> </v>
      </c>
      <c r="L24" s="264"/>
      <c r="M24" s="265" t="str">
        <f t="shared" si="0"/>
        <v xml:space="preserve"> </v>
      </c>
      <c r="N24" s="265" t="str">
        <f t="shared" si="1"/>
        <v xml:space="preserve"> </v>
      </c>
      <c r="O24" s="266" t="str">
        <f t="shared" si="2"/>
        <v xml:space="preserve"> </v>
      </c>
      <c r="P24" s="267"/>
    </row>
    <row r="25" spans="1:16" s="64" customFormat="1" ht="21" customHeight="1">
      <c r="A25" s="302" t="s">
        <v>191</v>
      </c>
      <c r="B25" s="263" t="str">
        <f>'Tæng kÕt T '!V27</f>
        <v xml:space="preserve"> </v>
      </c>
      <c r="C25" s="263" t="str">
        <f>'Tæng kÕt T '!W27</f>
        <v xml:space="preserve"> </v>
      </c>
      <c r="D25" s="263" t="str">
        <f>'Tæng kÕt T '!X27</f>
        <v xml:space="preserve"> </v>
      </c>
      <c r="E25" s="263" t="str">
        <f>'Tæng kÕt T '!Y27</f>
        <v xml:space="preserve"> </v>
      </c>
      <c r="F25" s="264" t="str">
        <f>'Tæng kÕt T '!Z27</f>
        <v xml:space="preserve"> </v>
      </c>
      <c r="G25" s="263" t="str">
        <f>'Tæng kÕt T '!AA27</f>
        <v xml:space="preserve"> </v>
      </c>
      <c r="H25" s="263" t="str">
        <f>'Tæng kÕt T '!AB27</f>
        <v xml:space="preserve"> </v>
      </c>
      <c r="I25" s="263" t="str">
        <f>'Tæng kÕt T '!AC27</f>
        <v xml:space="preserve"> </v>
      </c>
      <c r="J25" s="263" t="str">
        <f>'Tæng kÕt T '!AD27</f>
        <v xml:space="preserve"> </v>
      </c>
      <c r="K25" s="263" t="str">
        <f>'Tæng kÕt T '!AE27</f>
        <v xml:space="preserve"> </v>
      </c>
      <c r="L25" s="264"/>
      <c r="M25" s="265" t="str">
        <f t="shared" si="0"/>
        <v xml:space="preserve"> </v>
      </c>
      <c r="N25" s="265" t="str">
        <f t="shared" si="1"/>
        <v xml:space="preserve"> </v>
      </c>
      <c r="O25" s="266" t="str">
        <f t="shared" si="2"/>
        <v xml:space="preserve"> </v>
      </c>
      <c r="P25" s="267"/>
    </row>
    <row r="26" spans="1:16" s="64" customFormat="1" ht="13.5" thickBot="1">
      <c r="A26" s="65"/>
      <c r="B26" s="290"/>
      <c r="C26" s="290"/>
      <c r="D26" s="290"/>
      <c r="E26" s="290"/>
      <c r="F26" s="290"/>
      <c r="G26" s="291"/>
      <c r="H26" s="291"/>
      <c r="I26" s="291"/>
      <c r="J26" s="291"/>
      <c r="K26" s="291"/>
      <c r="L26" s="298"/>
      <c r="M26" s="292"/>
      <c r="N26" s="292"/>
      <c r="O26" s="293"/>
      <c r="P26" s="267"/>
    </row>
    <row r="27" spans="1:16" s="64" customFormat="1" ht="13.5" thickTop="1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5"/>
      <c r="O27" s="76"/>
      <c r="P27" s="66"/>
    </row>
    <row r="28" spans="1:16" s="64" customFormat="1" ht="15">
      <c r="A28" s="76"/>
      <c r="B28" s="79" t="s">
        <v>4</v>
      </c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80">
        <f>MAX(M4:M24)</f>
        <v>0</v>
      </c>
      <c r="N28" s="80">
        <f>MAX(N4:N24)</f>
        <v>0</v>
      </c>
      <c r="O28" s="80">
        <f>MAX(O4:O24)</f>
        <v>0</v>
      </c>
      <c r="P28" s="66"/>
    </row>
    <row r="29" spans="1:16" s="64" customFormat="1" ht="15">
      <c r="A29" s="76"/>
      <c r="B29" s="79" t="s">
        <v>5</v>
      </c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80">
        <f>MIN(M4:M24)</f>
        <v>0</v>
      </c>
      <c r="N29" s="80">
        <f>MIN(N4:N24)</f>
        <v>0</v>
      </c>
      <c r="O29" s="80">
        <f>MIN(O4:O24)</f>
        <v>0</v>
      </c>
      <c r="P29" s="66"/>
    </row>
    <row r="30" spans="1:16"/>
    <row r="31" spans="1:16"/>
  </sheetData>
  <mergeCells count="2">
    <mergeCell ref="A1:O1"/>
    <mergeCell ref="A2:O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S31"/>
  <sheetViews>
    <sheetView showGridLines="0" zoomScale="75" workbookViewId="0">
      <selection activeCell="N25" sqref="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114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162" t="s">
        <v>0</v>
      </c>
      <c r="B3" s="86">
        <v>1</v>
      </c>
      <c r="C3" s="86">
        <v>2</v>
      </c>
      <c r="D3" s="86">
        <v>3</v>
      </c>
      <c r="E3" s="86">
        <v>4</v>
      </c>
      <c r="F3" s="86">
        <v>5</v>
      </c>
      <c r="G3" s="61">
        <v>6</v>
      </c>
      <c r="H3" s="86">
        <v>7</v>
      </c>
      <c r="I3" s="86">
        <v>8</v>
      </c>
      <c r="J3" s="86">
        <v>9</v>
      </c>
      <c r="K3" s="86">
        <v>10</v>
      </c>
      <c r="L3" s="88" t="s">
        <v>6</v>
      </c>
      <c r="M3" s="88" t="s">
        <v>7</v>
      </c>
      <c r="N3" s="89" t="s">
        <v>8</v>
      </c>
    </row>
    <row r="4" spans="1:16" s="64" customFormat="1" ht="21" customHeight="1">
      <c r="A4" s="198" t="s">
        <v>128</v>
      </c>
      <c r="B4" s="277" t="str">
        <f>'Tæng kÕt Tm '!B6</f>
        <v/>
      </c>
      <c r="C4" s="277" t="str">
        <f>'Tæng kÕt Tm '!C6</f>
        <v/>
      </c>
      <c r="D4" s="277" t="str">
        <f>'Tæng kÕt Tm '!D6</f>
        <v/>
      </c>
      <c r="E4" s="277" t="str">
        <f>'Tæng kÕt Tm '!E6</f>
        <v/>
      </c>
      <c r="F4" s="278" t="str">
        <f>'Tæng kÕt Tm '!F6</f>
        <v/>
      </c>
      <c r="G4" s="277" t="str">
        <f>'Tæng kÕt Tm '!G6</f>
        <v/>
      </c>
      <c r="H4" s="277" t="str">
        <f>'Tæng kÕt Tm '!H6</f>
        <v/>
      </c>
      <c r="I4" s="277" t="str">
        <f>'Tæng kÕt Tm '!I6</f>
        <v/>
      </c>
      <c r="J4" s="277" t="str">
        <f>'Tæng kÕt Tm '!J6</f>
        <v/>
      </c>
      <c r="K4" s="277" t="str">
        <f>'Tæng kÕt Tm '!K6</f>
        <v/>
      </c>
      <c r="L4" s="279" t="str">
        <f>IF(COUNT(B4:F4)&gt;0,MIN(B4:F4)," ")</f>
        <v xml:space="preserve"> </v>
      </c>
      <c r="M4" s="279" t="str">
        <f>IF(COUNT(G4:K4)&gt;0,MIN(G4:K4)," ")</f>
        <v xml:space="preserve"> </v>
      </c>
      <c r="N4" s="280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77" t="str">
        <f>'Tæng kÕt Tm '!B7</f>
        <v/>
      </c>
      <c r="C5" s="277" t="str">
        <f>'Tæng kÕt Tm '!C7</f>
        <v/>
      </c>
      <c r="D5" s="277" t="str">
        <f>'Tæng kÕt Tm '!D7</f>
        <v/>
      </c>
      <c r="E5" s="277" t="str">
        <f>'Tæng kÕt Tm '!E7</f>
        <v/>
      </c>
      <c r="F5" s="278" t="str">
        <f>'Tæng kÕt Tm '!F7</f>
        <v/>
      </c>
      <c r="G5" s="277" t="str">
        <f>'Tæng kÕt Tm '!G7</f>
        <v/>
      </c>
      <c r="H5" s="277" t="str">
        <f>'Tæng kÕt Tm '!H7</f>
        <v/>
      </c>
      <c r="I5" s="277" t="str">
        <f>'Tæng kÕt Tm '!I7</f>
        <v/>
      </c>
      <c r="J5" s="277" t="str">
        <f>'Tæng kÕt Tm '!J7</f>
        <v/>
      </c>
      <c r="K5" s="277" t="str">
        <f>'Tæng kÕt Tm '!K7</f>
        <v/>
      </c>
      <c r="L5" s="279" t="str">
        <f>IF(COUNT(B5:F5)&gt;0,MIN(B5:F5)," ")</f>
        <v xml:space="preserve"> </v>
      </c>
      <c r="M5" s="279" t="str">
        <f>IF(COUNT(G5:K5)&gt;0,MIN(G5:K5)," ")</f>
        <v xml:space="preserve"> </v>
      </c>
      <c r="N5" s="280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77" t="str">
        <f>'Tæng kÕt Tm '!B8</f>
        <v/>
      </c>
      <c r="C6" s="277" t="str">
        <f>'Tæng kÕt Tm '!C8</f>
        <v/>
      </c>
      <c r="D6" s="277" t="str">
        <f>'Tæng kÕt Tm '!D8</f>
        <v/>
      </c>
      <c r="E6" s="277" t="str">
        <f>'Tæng kÕt Tm '!E8</f>
        <v/>
      </c>
      <c r="F6" s="278" t="str">
        <f>'Tæng kÕt Tm '!F8</f>
        <v/>
      </c>
      <c r="G6" s="277" t="str">
        <f>'Tæng kÕt Tm '!G8</f>
        <v/>
      </c>
      <c r="H6" s="277" t="str">
        <f>'Tæng kÕt Tm '!H8</f>
        <v/>
      </c>
      <c r="I6" s="277" t="str">
        <f>'Tæng kÕt Tm '!I8</f>
        <v/>
      </c>
      <c r="J6" s="277" t="str">
        <f>'Tæng kÕt Tm '!J8</f>
        <v/>
      </c>
      <c r="K6" s="277" t="str">
        <f>'Tæng kÕt Tm '!K8</f>
        <v/>
      </c>
      <c r="L6" s="279" t="str">
        <f t="shared" ref="L6:L25" si="0">IF(COUNT(B6:F6)&gt;0,MIN(B6:F6)," ")</f>
        <v xml:space="preserve"> </v>
      </c>
      <c r="M6" s="279" t="str">
        <f t="shared" ref="M6:M25" si="1">IF(COUNT(G6:K6)&gt;0,MIN(G6:K6)," ")</f>
        <v xml:space="preserve"> </v>
      </c>
      <c r="N6" s="280" t="str">
        <f t="shared" ref="N6:N25" si="2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77" t="str">
        <f>'Tæng kÕt Tm '!B9</f>
        <v/>
      </c>
      <c r="C7" s="277" t="str">
        <f>'Tæng kÕt Tm '!C9</f>
        <v/>
      </c>
      <c r="D7" s="277" t="str">
        <f>'Tæng kÕt Tm '!D9</f>
        <v/>
      </c>
      <c r="E7" s="277" t="str">
        <f>'Tæng kÕt Tm '!E9</f>
        <v/>
      </c>
      <c r="F7" s="278" t="str">
        <f>'Tæng kÕt Tm '!F9</f>
        <v/>
      </c>
      <c r="G7" s="277" t="str">
        <f>'Tæng kÕt Tm '!G9</f>
        <v/>
      </c>
      <c r="H7" s="277" t="str">
        <f>'Tæng kÕt Tm '!H9</f>
        <v/>
      </c>
      <c r="I7" s="277" t="str">
        <f>'Tæng kÕt Tm '!I9</f>
        <v/>
      </c>
      <c r="J7" s="277" t="str">
        <f>'Tæng kÕt Tm '!J9</f>
        <v/>
      </c>
      <c r="K7" s="277" t="str">
        <f>'Tæng kÕt Tm '!K9</f>
        <v/>
      </c>
      <c r="L7" s="279" t="str">
        <f t="shared" si="0"/>
        <v xml:space="preserve"> </v>
      </c>
      <c r="M7" s="279" t="str">
        <f t="shared" si="1"/>
        <v xml:space="preserve"> </v>
      </c>
      <c r="N7" s="280" t="str">
        <f t="shared" si="2"/>
        <v xml:space="preserve"> </v>
      </c>
      <c r="O7" s="267"/>
      <c r="P7" s="267"/>
    </row>
    <row r="8" spans="1:16" s="64" customFormat="1" ht="21" customHeight="1">
      <c r="A8" s="199" t="s">
        <v>132</v>
      </c>
      <c r="B8" s="277" t="str">
        <f>'Tæng kÕt Tm '!B10</f>
        <v/>
      </c>
      <c r="C8" s="277" t="str">
        <f>'Tæng kÕt Tm '!C10</f>
        <v/>
      </c>
      <c r="D8" s="277" t="str">
        <f>'Tæng kÕt Tm '!D10</f>
        <v/>
      </c>
      <c r="E8" s="277" t="str">
        <f>'Tæng kÕt Tm '!E10</f>
        <v/>
      </c>
      <c r="F8" s="278" t="str">
        <f>'Tæng kÕt Tm '!F10</f>
        <v/>
      </c>
      <c r="G8" s="277" t="str">
        <f>'Tæng kÕt Tm '!G10</f>
        <v/>
      </c>
      <c r="H8" s="277" t="str">
        <f>'Tæng kÕt Tm '!H10</f>
        <v/>
      </c>
      <c r="I8" s="277" t="str">
        <f>'Tæng kÕt Tm '!I10</f>
        <v/>
      </c>
      <c r="J8" s="277" t="str">
        <f>'Tæng kÕt Tm '!J10</f>
        <v/>
      </c>
      <c r="K8" s="277" t="str">
        <f>'Tæng kÕt Tm '!K10</f>
        <v/>
      </c>
      <c r="L8" s="279" t="str">
        <f t="shared" si="0"/>
        <v xml:space="preserve"> </v>
      </c>
      <c r="M8" s="279" t="str">
        <f t="shared" si="1"/>
        <v xml:space="preserve"> </v>
      </c>
      <c r="N8" s="280" t="str">
        <f t="shared" si="2"/>
        <v xml:space="preserve"> </v>
      </c>
      <c r="O8" s="267"/>
      <c r="P8" s="267"/>
    </row>
    <row r="9" spans="1:16" s="64" customFormat="1" ht="21" customHeight="1">
      <c r="A9" s="199" t="s">
        <v>133</v>
      </c>
      <c r="B9" s="277" t="str">
        <f>'Tæng kÕt Tm '!B11</f>
        <v/>
      </c>
      <c r="C9" s="277" t="str">
        <f>'Tæng kÕt Tm '!C11</f>
        <v/>
      </c>
      <c r="D9" s="277" t="str">
        <f>'Tæng kÕt Tm '!D11</f>
        <v/>
      </c>
      <c r="E9" s="277" t="str">
        <f>'Tæng kÕt Tm '!E11</f>
        <v/>
      </c>
      <c r="F9" s="278" t="str">
        <f>'Tæng kÕt Tm '!F11</f>
        <v/>
      </c>
      <c r="G9" s="277" t="str">
        <f>'Tæng kÕt Tm '!G11</f>
        <v/>
      </c>
      <c r="H9" s="277" t="str">
        <f>'Tæng kÕt Tm '!H11</f>
        <v/>
      </c>
      <c r="I9" s="277" t="str">
        <f>'Tæng kÕt Tm '!I11</f>
        <v/>
      </c>
      <c r="J9" s="277" t="str">
        <f>'Tæng kÕt Tm '!J11</f>
        <v/>
      </c>
      <c r="K9" s="277" t="str">
        <f>'Tæng kÕt Tm '!K11</f>
        <v/>
      </c>
      <c r="L9" s="279" t="str">
        <f t="shared" si="0"/>
        <v xml:space="preserve"> </v>
      </c>
      <c r="M9" s="279" t="str">
        <f t="shared" si="1"/>
        <v xml:space="preserve"> </v>
      </c>
      <c r="N9" s="280" t="str">
        <f t="shared" si="2"/>
        <v xml:space="preserve"> </v>
      </c>
      <c r="O9" s="267"/>
      <c r="P9" s="267"/>
    </row>
    <row r="10" spans="1:16" s="64" customFormat="1" ht="21" customHeight="1">
      <c r="A10" s="199" t="s">
        <v>134</v>
      </c>
      <c r="B10" s="277" t="str">
        <f>'Tæng kÕt Tm '!B12</f>
        <v/>
      </c>
      <c r="C10" s="277" t="str">
        <f>'Tæng kÕt Tm '!C12</f>
        <v/>
      </c>
      <c r="D10" s="277" t="str">
        <f>'Tæng kÕt Tm '!D12</f>
        <v/>
      </c>
      <c r="E10" s="277" t="str">
        <f>'Tæng kÕt Tm '!E12</f>
        <v/>
      </c>
      <c r="F10" s="278" t="str">
        <f>'Tæng kÕt Tm '!F12</f>
        <v/>
      </c>
      <c r="G10" s="277" t="str">
        <f>'Tæng kÕt Tm '!G12</f>
        <v/>
      </c>
      <c r="H10" s="277" t="str">
        <f>'Tæng kÕt Tm '!H12</f>
        <v/>
      </c>
      <c r="I10" s="277" t="str">
        <f>'Tæng kÕt Tm '!I12</f>
        <v/>
      </c>
      <c r="J10" s="277" t="str">
        <f>'Tæng kÕt Tm '!J12</f>
        <v/>
      </c>
      <c r="K10" s="277" t="str">
        <f>'Tæng kÕt Tm '!K12</f>
        <v/>
      </c>
      <c r="L10" s="279" t="str">
        <f t="shared" si="0"/>
        <v xml:space="preserve"> </v>
      </c>
      <c r="M10" s="279" t="str">
        <f t="shared" si="1"/>
        <v xml:space="preserve"> </v>
      </c>
      <c r="N10" s="280" t="str">
        <f t="shared" si="2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77" t="str">
        <f>'Tæng kÕt Tm '!B13</f>
        <v/>
      </c>
      <c r="C11" s="277" t="str">
        <f>'Tæng kÕt Tm '!C13</f>
        <v/>
      </c>
      <c r="D11" s="277" t="str">
        <f>'Tæng kÕt Tm '!D13</f>
        <v/>
      </c>
      <c r="E11" s="277" t="str">
        <f>'Tæng kÕt Tm '!E13</f>
        <v/>
      </c>
      <c r="F11" s="278" t="str">
        <f>'Tæng kÕt Tm '!F13</f>
        <v/>
      </c>
      <c r="G11" s="277" t="str">
        <f>'Tæng kÕt Tm '!G13</f>
        <v/>
      </c>
      <c r="H11" s="277" t="str">
        <f>'Tæng kÕt Tm '!H13</f>
        <v/>
      </c>
      <c r="I11" s="277" t="str">
        <f>'Tæng kÕt Tm '!I13</f>
        <v/>
      </c>
      <c r="J11" s="277" t="str">
        <f>'Tæng kÕt Tm '!J13</f>
        <v/>
      </c>
      <c r="K11" s="277" t="str">
        <f>'Tæng kÕt Tm '!K13</f>
        <v/>
      </c>
      <c r="L11" s="279" t="str">
        <f t="shared" si="0"/>
        <v xml:space="preserve"> </v>
      </c>
      <c r="M11" s="279" t="str">
        <f t="shared" si="1"/>
        <v xml:space="preserve"> </v>
      </c>
      <c r="N11" s="280" t="str">
        <f t="shared" si="2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77" t="str">
        <f>'Tæng kÕt Tm '!B14</f>
        <v/>
      </c>
      <c r="C12" s="277" t="str">
        <f>'Tæng kÕt Tm '!C14</f>
        <v/>
      </c>
      <c r="D12" s="277" t="str">
        <f>'Tæng kÕt Tm '!D14</f>
        <v/>
      </c>
      <c r="E12" s="277" t="str">
        <f>'Tæng kÕt Tm '!E14</f>
        <v/>
      </c>
      <c r="F12" s="278" t="str">
        <f>'Tæng kÕt Tm '!F14</f>
        <v/>
      </c>
      <c r="G12" s="277" t="str">
        <f>'Tæng kÕt Tm '!G14</f>
        <v/>
      </c>
      <c r="H12" s="277" t="str">
        <f>'Tæng kÕt Tm '!H14</f>
        <v/>
      </c>
      <c r="I12" s="277" t="str">
        <f>'Tæng kÕt Tm '!I14</f>
        <v/>
      </c>
      <c r="J12" s="277" t="str">
        <f>'Tæng kÕt Tm '!J14</f>
        <v/>
      </c>
      <c r="K12" s="277" t="str">
        <f>'Tæng kÕt Tm '!K14</f>
        <v/>
      </c>
      <c r="L12" s="279" t="str">
        <f t="shared" si="0"/>
        <v xml:space="preserve"> </v>
      </c>
      <c r="M12" s="279" t="str">
        <f t="shared" si="1"/>
        <v xml:space="preserve"> </v>
      </c>
      <c r="N12" s="280" t="str">
        <f t="shared" si="2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77" t="str">
        <f>'Tæng kÕt Tm '!B15</f>
        <v/>
      </c>
      <c r="C13" s="277" t="str">
        <f>'Tæng kÕt Tm '!C15</f>
        <v/>
      </c>
      <c r="D13" s="277" t="str">
        <f>'Tæng kÕt Tm '!D15</f>
        <v/>
      </c>
      <c r="E13" s="277" t="str">
        <f>'Tæng kÕt Tm '!E15</f>
        <v/>
      </c>
      <c r="F13" s="278" t="str">
        <f>'Tæng kÕt Tm '!F15</f>
        <v/>
      </c>
      <c r="G13" s="277" t="str">
        <f>'Tæng kÕt Tm '!G15</f>
        <v/>
      </c>
      <c r="H13" s="277" t="str">
        <f>'Tæng kÕt Tm '!H15</f>
        <v/>
      </c>
      <c r="I13" s="277" t="str">
        <f>'Tæng kÕt Tm '!I15</f>
        <v/>
      </c>
      <c r="J13" s="277" t="str">
        <f>'Tæng kÕt Tm '!J15</f>
        <v/>
      </c>
      <c r="K13" s="277" t="str">
        <f>'Tæng kÕt Tm '!K15</f>
        <v/>
      </c>
      <c r="L13" s="279" t="str">
        <f t="shared" si="0"/>
        <v xml:space="preserve"> </v>
      </c>
      <c r="M13" s="279" t="str">
        <f t="shared" si="1"/>
        <v xml:space="preserve"> </v>
      </c>
      <c r="N13" s="280" t="str">
        <f t="shared" si="2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77" t="str">
        <f>'Tæng kÕt Tm '!B16</f>
        <v/>
      </c>
      <c r="C14" s="277" t="str">
        <f>'Tæng kÕt Tm '!C16</f>
        <v/>
      </c>
      <c r="D14" s="277" t="str">
        <f>'Tæng kÕt Tm '!D16</f>
        <v/>
      </c>
      <c r="E14" s="277" t="str">
        <f>'Tæng kÕt Tm '!E16</f>
        <v/>
      </c>
      <c r="F14" s="278" t="str">
        <f>'Tæng kÕt Tm '!F16</f>
        <v/>
      </c>
      <c r="G14" s="277" t="str">
        <f>'Tæng kÕt Tm '!G16</f>
        <v/>
      </c>
      <c r="H14" s="277" t="str">
        <f>'Tæng kÕt Tm '!H16</f>
        <v/>
      </c>
      <c r="I14" s="277" t="str">
        <f>'Tæng kÕt Tm '!I16</f>
        <v/>
      </c>
      <c r="J14" s="277" t="str">
        <f>'Tæng kÕt Tm '!J16</f>
        <v/>
      </c>
      <c r="K14" s="277" t="str">
        <f>'Tæng kÕt Tm '!K16</f>
        <v/>
      </c>
      <c r="L14" s="279" t="str">
        <f t="shared" si="0"/>
        <v xml:space="preserve"> </v>
      </c>
      <c r="M14" s="279" t="str">
        <f t="shared" si="1"/>
        <v xml:space="preserve"> </v>
      </c>
      <c r="N14" s="280" t="str">
        <f t="shared" si="2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77" t="str">
        <f>'Tæng kÕt Tm '!B17</f>
        <v/>
      </c>
      <c r="C15" s="277" t="str">
        <f>'Tæng kÕt Tm '!C17</f>
        <v/>
      </c>
      <c r="D15" s="277" t="str">
        <f>'Tæng kÕt Tm '!D17</f>
        <v/>
      </c>
      <c r="E15" s="277" t="str">
        <f>'Tæng kÕt Tm '!E17</f>
        <v/>
      </c>
      <c r="F15" s="278" t="str">
        <f>'Tæng kÕt Tm '!F17</f>
        <v/>
      </c>
      <c r="G15" s="277" t="str">
        <f>'Tæng kÕt Tm '!G17</f>
        <v/>
      </c>
      <c r="H15" s="277" t="str">
        <f>'Tæng kÕt Tm '!H17</f>
        <v/>
      </c>
      <c r="I15" s="277" t="str">
        <f>'Tæng kÕt Tm '!I17</f>
        <v/>
      </c>
      <c r="J15" s="277" t="str">
        <f>'Tæng kÕt Tm '!J17</f>
        <v/>
      </c>
      <c r="K15" s="277" t="str">
        <f>'Tæng kÕt Tm '!K17</f>
        <v/>
      </c>
      <c r="L15" s="279" t="str">
        <f t="shared" si="0"/>
        <v xml:space="preserve"> </v>
      </c>
      <c r="M15" s="279" t="str">
        <f t="shared" si="1"/>
        <v xml:space="preserve"> </v>
      </c>
      <c r="N15" s="280" t="str">
        <f t="shared" si="2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77" t="str">
        <f>'Tæng kÕt Tm '!B18</f>
        <v/>
      </c>
      <c r="C16" s="277" t="str">
        <f>'Tæng kÕt Tm '!C18</f>
        <v/>
      </c>
      <c r="D16" s="277" t="str">
        <f>'Tæng kÕt Tm '!D18</f>
        <v/>
      </c>
      <c r="E16" s="277" t="str">
        <f>'Tæng kÕt Tm '!E18</f>
        <v/>
      </c>
      <c r="F16" s="278" t="str">
        <f>'Tæng kÕt Tm '!F18</f>
        <v/>
      </c>
      <c r="G16" s="277" t="str">
        <f>'Tæng kÕt Tm '!G18</f>
        <v/>
      </c>
      <c r="H16" s="277" t="str">
        <f>'Tæng kÕt Tm '!H18</f>
        <v/>
      </c>
      <c r="I16" s="277" t="str">
        <f>'Tæng kÕt Tm '!I18</f>
        <v/>
      </c>
      <c r="J16" s="277" t="str">
        <f>'Tæng kÕt Tm '!J18</f>
        <v/>
      </c>
      <c r="K16" s="277" t="str">
        <f>'Tæng kÕt Tm '!K18</f>
        <v/>
      </c>
      <c r="L16" s="279" t="str">
        <f t="shared" si="0"/>
        <v xml:space="preserve"> </v>
      </c>
      <c r="M16" s="279" t="str">
        <f t="shared" si="1"/>
        <v xml:space="preserve"> </v>
      </c>
      <c r="N16" s="280" t="str">
        <f t="shared" si="2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77" t="str">
        <f>'Tæng kÕt Tm '!B19</f>
        <v/>
      </c>
      <c r="C17" s="277" t="str">
        <f>'Tæng kÕt Tm '!C19</f>
        <v/>
      </c>
      <c r="D17" s="277" t="str">
        <f>'Tæng kÕt Tm '!D19</f>
        <v/>
      </c>
      <c r="E17" s="277" t="str">
        <f>'Tæng kÕt Tm '!E19</f>
        <v/>
      </c>
      <c r="F17" s="278" t="str">
        <f>'Tæng kÕt Tm '!F19</f>
        <v/>
      </c>
      <c r="G17" s="277" t="str">
        <f>'Tæng kÕt Tm '!G19</f>
        <v/>
      </c>
      <c r="H17" s="277" t="str">
        <f>'Tæng kÕt Tm '!H19</f>
        <v/>
      </c>
      <c r="I17" s="277" t="str">
        <f>'Tæng kÕt Tm '!I19</f>
        <v/>
      </c>
      <c r="J17" s="277" t="str">
        <f>'Tæng kÕt Tm '!J19</f>
        <v/>
      </c>
      <c r="K17" s="277" t="str">
        <f>'Tæng kÕt Tm '!K19</f>
        <v/>
      </c>
      <c r="L17" s="279" t="str">
        <f t="shared" si="0"/>
        <v xml:space="preserve"> </v>
      </c>
      <c r="M17" s="279" t="str">
        <f t="shared" si="1"/>
        <v xml:space="preserve"> </v>
      </c>
      <c r="N17" s="280" t="str">
        <f t="shared" si="2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77" t="str">
        <f>'Tæng kÕt Tm '!B20</f>
        <v/>
      </c>
      <c r="C18" s="277" t="str">
        <f>'Tæng kÕt Tm '!C20</f>
        <v/>
      </c>
      <c r="D18" s="277" t="str">
        <f>'Tæng kÕt Tm '!D20</f>
        <v/>
      </c>
      <c r="E18" s="277" t="str">
        <f>'Tæng kÕt Tm '!E20</f>
        <v/>
      </c>
      <c r="F18" s="278" t="str">
        <f>'Tæng kÕt Tm '!F20</f>
        <v/>
      </c>
      <c r="G18" s="277" t="str">
        <f>'Tæng kÕt Tm '!G20</f>
        <v/>
      </c>
      <c r="H18" s="277" t="str">
        <f>'Tæng kÕt Tm '!H20</f>
        <v/>
      </c>
      <c r="I18" s="277" t="str">
        <f>'Tæng kÕt Tm '!I20</f>
        <v/>
      </c>
      <c r="J18" s="277" t="str">
        <f>'Tæng kÕt Tm '!J20</f>
        <v/>
      </c>
      <c r="K18" s="277" t="str">
        <f>'Tæng kÕt Tm '!K20</f>
        <v/>
      </c>
      <c r="L18" s="279" t="str">
        <f t="shared" si="0"/>
        <v xml:space="preserve"> </v>
      </c>
      <c r="M18" s="279" t="str">
        <f t="shared" si="1"/>
        <v xml:space="preserve"> </v>
      </c>
      <c r="N18" s="280" t="str">
        <f t="shared" si="2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77" t="str">
        <f>'Tæng kÕt Tm '!B21</f>
        <v/>
      </c>
      <c r="C19" s="277" t="str">
        <f>'Tæng kÕt Tm '!C21</f>
        <v/>
      </c>
      <c r="D19" s="277" t="str">
        <f>'Tæng kÕt Tm '!D21</f>
        <v/>
      </c>
      <c r="E19" s="277" t="str">
        <f>'Tæng kÕt Tm '!E21</f>
        <v/>
      </c>
      <c r="F19" s="278" t="str">
        <f>'Tæng kÕt Tm '!F21</f>
        <v/>
      </c>
      <c r="G19" s="277" t="str">
        <f>'Tæng kÕt Tm '!G21</f>
        <v/>
      </c>
      <c r="H19" s="277" t="str">
        <f>'Tæng kÕt Tm '!H21</f>
        <v/>
      </c>
      <c r="I19" s="277" t="str">
        <f>'Tæng kÕt Tm '!I21</f>
        <v/>
      </c>
      <c r="J19" s="277" t="str">
        <f>'Tæng kÕt Tm '!J21</f>
        <v/>
      </c>
      <c r="K19" s="277" t="str">
        <f>'Tæng kÕt Tm '!K21</f>
        <v/>
      </c>
      <c r="L19" s="279" t="str">
        <f t="shared" si="0"/>
        <v xml:space="preserve"> </v>
      </c>
      <c r="M19" s="279" t="str">
        <f t="shared" si="1"/>
        <v xml:space="preserve"> </v>
      </c>
      <c r="N19" s="280" t="str">
        <f t="shared" si="2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77" t="str">
        <f>'Tæng kÕt Tm '!B22</f>
        <v/>
      </c>
      <c r="C20" s="277" t="str">
        <f>'Tæng kÕt Tm '!C22</f>
        <v/>
      </c>
      <c r="D20" s="277" t="str">
        <f>'Tæng kÕt Tm '!D22</f>
        <v/>
      </c>
      <c r="E20" s="277" t="str">
        <f>'Tæng kÕt Tm '!E22</f>
        <v/>
      </c>
      <c r="F20" s="278" t="str">
        <f>'Tæng kÕt Tm '!F22</f>
        <v/>
      </c>
      <c r="G20" s="277" t="str">
        <f>'Tæng kÕt Tm '!G22</f>
        <v/>
      </c>
      <c r="H20" s="277" t="str">
        <f>'Tæng kÕt Tm '!H22</f>
        <v/>
      </c>
      <c r="I20" s="277" t="str">
        <f>'Tæng kÕt Tm '!I22</f>
        <v/>
      </c>
      <c r="J20" s="277" t="str">
        <f>'Tæng kÕt Tm '!J22</f>
        <v/>
      </c>
      <c r="K20" s="277" t="str">
        <f>'Tæng kÕt Tm '!K22</f>
        <v/>
      </c>
      <c r="L20" s="279" t="str">
        <f t="shared" si="0"/>
        <v xml:space="preserve"> </v>
      </c>
      <c r="M20" s="279" t="str">
        <f t="shared" si="1"/>
        <v xml:space="preserve"> </v>
      </c>
      <c r="N20" s="280" t="str">
        <f t="shared" si="2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77" t="str">
        <f>'Tæng kÕt Tm '!B23</f>
        <v/>
      </c>
      <c r="C21" s="277" t="str">
        <f>'Tæng kÕt Tm '!C23</f>
        <v/>
      </c>
      <c r="D21" s="277" t="str">
        <f>'Tæng kÕt Tm '!D23</f>
        <v/>
      </c>
      <c r="E21" s="277" t="str">
        <f>'Tæng kÕt Tm '!E23</f>
        <v/>
      </c>
      <c r="F21" s="278" t="str">
        <f>'Tæng kÕt Tm '!F23</f>
        <v/>
      </c>
      <c r="G21" s="277" t="str">
        <f>'Tæng kÕt Tm '!G23</f>
        <v/>
      </c>
      <c r="H21" s="277" t="str">
        <f>'Tæng kÕt Tm '!H23</f>
        <v/>
      </c>
      <c r="I21" s="277" t="str">
        <f>'Tæng kÕt Tm '!I23</f>
        <v/>
      </c>
      <c r="J21" s="277" t="str">
        <f>'Tæng kÕt Tm '!J23</f>
        <v/>
      </c>
      <c r="K21" s="277" t="str">
        <f>'Tæng kÕt Tm '!K23</f>
        <v/>
      </c>
      <c r="L21" s="279" t="str">
        <f t="shared" si="0"/>
        <v xml:space="preserve"> </v>
      </c>
      <c r="M21" s="279" t="str">
        <f t="shared" si="1"/>
        <v xml:space="preserve"> </v>
      </c>
      <c r="N21" s="280" t="str">
        <f t="shared" si="2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77" t="str">
        <f>'Tæng kÕt Tm '!B24</f>
        <v/>
      </c>
      <c r="C22" s="277" t="str">
        <f>'Tæng kÕt Tm '!C24</f>
        <v/>
      </c>
      <c r="D22" s="277" t="str">
        <f>'Tæng kÕt Tm '!D24</f>
        <v/>
      </c>
      <c r="E22" s="277" t="str">
        <f>'Tæng kÕt Tm '!E24</f>
        <v/>
      </c>
      <c r="F22" s="278" t="str">
        <f>'Tæng kÕt Tm '!F24</f>
        <v/>
      </c>
      <c r="G22" s="277" t="str">
        <f>'Tæng kÕt Tm '!G24</f>
        <v/>
      </c>
      <c r="H22" s="277" t="str">
        <f>'Tæng kÕt Tm '!H24</f>
        <v/>
      </c>
      <c r="I22" s="277" t="str">
        <f>'Tæng kÕt Tm '!I24</f>
        <v/>
      </c>
      <c r="J22" s="277" t="str">
        <f>'Tæng kÕt Tm '!J24</f>
        <v/>
      </c>
      <c r="K22" s="277" t="str">
        <f>'Tæng kÕt Tm '!K24</f>
        <v/>
      </c>
      <c r="L22" s="279" t="str">
        <f t="shared" si="0"/>
        <v xml:space="preserve"> </v>
      </c>
      <c r="M22" s="279" t="str">
        <f t="shared" si="1"/>
        <v xml:space="preserve"> </v>
      </c>
      <c r="N22" s="280" t="str">
        <f t="shared" si="2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77" t="str">
        <f>'Tæng kÕt Tm '!B25</f>
        <v/>
      </c>
      <c r="C23" s="277" t="str">
        <f>'Tæng kÕt Tm '!C25</f>
        <v/>
      </c>
      <c r="D23" s="277" t="str">
        <f>'Tæng kÕt Tm '!D25</f>
        <v/>
      </c>
      <c r="E23" s="277" t="str">
        <f>'Tæng kÕt Tm '!E25</f>
        <v/>
      </c>
      <c r="F23" s="278" t="str">
        <f>'Tæng kÕt Tm '!F25</f>
        <v/>
      </c>
      <c r="G23" s="277" t="str">
        <f>'Tæng kÕt Tm '!G25</f>
        <v/>
      </c>
      <c r="H23" s="277" t="str">
        <f>'Tæng kÕt Tm '!H25</f>
        <v/>
      </c>
      <c r="I23" s="277" t="str">
        <f>'Tæng kÕt Tm '!I25</f>
        <v/>
      </c>
      <c r="J23" s="277" t="str">
        <f>'Tæng kÕt Tm '!J25</f>
        <v/>
      </c>
      <c r="K23" s="277" t="str">
        <f>'Tæng kÕt Tm '!K25</f>
        <v/>
      </c>
      <c r="L23" s="279" t="str">
        <f t="shared" si="0"/>
        <v xml:space="preserve"> </v>
      </c>
      <c r="M23" s="279" t="str">
        <f t="shared" si="1"/>
        <v xml:space="preserve"> </v>
      </c>
      <c r="N23" s="280" t="str">
        <f t="shared" si="2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77" t="str">
        <f>'Tæng kÕt Tm '!B26</f>
        <v/>
      </c>
      <c r="C24" s="277" t="str">
        <f>'Tæng kÕt Tm '!C26</f>
        <v/>
      </c>
      <c r="D24" s="277" t="str">
        <f>'Tæng kÕt Tm '!D26</f>
        <v/>
      </c>
      <c r="E24" s="277" t="str">
        <f>'Tæng kÕt Tm '!E26</f>
        <v/>
      </c>
      <c r="F24" s="278" t="str">
        <f>'Tæng kÕt Tm '!F26</f>
        <v/>
      </c>
      <c r="G24" s="277" t="str">
        <f>'Tæng kÕt Tm '!G26</f>
        <v/>
      </c>
      <c r="H24" s="277" t="str">
        <f>'Tæng kÕt Tm '!H26</f>
        <v/>
      </c>
      <c r="I24" s="277" t="str">
        <f>'Tæng kÕt Tm '!I26</f>
        <v/>
      </c>
      <c r="J24" s="277" t="str">
        <f>'Tæng kÕt Tm '!J26</f>
        <v/>
      </c>
      <c r="K24" s="277" t="str">
        <f>'Tæng kÕt Tm '!K26</f>
        <v/>
      </c>
      <c r="L24" s="279" t="str">
        <f t="shared" si="0"/>
        <v xml:space="preserve"> </v>
      </c>
      <c r="M24" s="279" t="str">
        <f t="shared" si="1"/>
        <v xml:space="preserve"> </v>
      </c>
      <c r="N24" s="280" t="str">
        <f t="shared" si="2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77" t="str">
        <f>'Tæng kÕt Tm '!B27</f>
        <v/>
      </c>
      <c r="C25" s="277" t="str">
        <f>'Tæng kÕt Tm '!C27</f>
        <v/>
      </c>
      <c r="D25" s="277" t="str">
        <f>'Tæng kÕt Tm '!D27</f>
        <v/>
      </c>
      <c r="E25" s="277" t="str">
        <f>'Tæng kÕt Tm '!E27</f>
        <v/>
      </c>
      <c r="F25" s="278" t="str">
        <f>'Tæng kÕt Tm '!F27</f>
        <v/>
      </c>
      <c r="G25" s="277" t="str">
        <f>'Tæng kÕt Tm '!G27</f>
        <v/>
      </c>
      <c r="H25" s="277" t="str">
        <f>'Tæng kÕt Tm '!H27</f>
        <v/>
      </c>
      <c r="I25" s="277" t="str">
        <f>'Tæng kÕt Tm '!I27</f>
        <v/>
      </c>
      <c r="J25" s="277" t="str">
        <f>'Tæng kÕt Tm '!J27</f>
        <v/>
      </c>
      <c r="K25" s="277" t="str">
        <f>'Tæng kÕt Tm '!K27</f>
        <v/>
      </c>
      <c r="L25" s="279" t="str">
        <f t="shared" si="0"/>
        <v xml:space="preserve"> </v>
      </c>
      <c r="M25" s="279" t="str">
        <f t="shared" si="1"/>
        <v xml:space="preserve"> </v>
      </c>
      <c r="N25" s="280" t="str">
        <f t="shared" si="2"/>
        <v xml:space="preserve"> </v>
      </c>
      <c r="O25" s="267"/>
      <c r="P25" s="267"/>
    </row>
    <row r="26" spans="1:16" s="64" customFormat="1" ht="13.5" thickBot="1">
      <c r="A26" s="65"/>
      <c r="B26" s="281"/>
      <c r="C26" s="281"/>
      <c r="D26" s="281"/>
      <c r="E26" s="281"/>
      <c r="F26" s="282"/>
      <c r="G26" s="283"/>
      <c r="H26" s="283"/>
      <c r="I26" s="283"/>
      <c r="J26" s="283"/>
      <c r="K26" s="283"/>
      <c r="L26" s="283"/>
      <c r="M26" s="283"/>
      <c r="N26" s="284"/>
      <c r="O26" s="276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80"/>
      <c r="M27" s="80"/>
      <c r="N27" s="66"/>
      <c r="O27" s="66"/>
    </row>
    <row r="28" spans="1:16" s="64" customFormat="1" ht="15">
      <c r="A28" s="76"/>
      <c r="B28" s="92" t="s">
        <v>4</v>
      </c>
      <c r="C28" s="93"/>
      <c r="D28" s="93"/>
      <c r="E28" s="93"/>
      <c r="F28" s="93"/>
      <c r="G28" s="93"/>
      <c r="H28" s="93"/>
      <c r="I28" s="93"/>
      <c r="J28" s="93"/>
      <c r="K28" s="93"/>
      <c r="L28" s="80">
        <f>MAX(L4:L24)</f>
        <v>0</v>
      </c>
      <c r="M28" s="80">
        <f>MAX(M4:M24)</f>
        <v>0</v>
      </c>
      <c r="N28" s="80">
        <f>MAX(N4:N24)</f>
        <v>0</v>
      </c>
      <c r="O28" s="94"/>
      <c r="P28" s="94"/>
    </row>
    <row r="29" spans="1:16" s="64" customFormat="1" ht="15">
      <c r="A29" s="95"/>
      <c r="B29" s="92" t="s">
        <v>5</v>
      </c>
      <c r="C29" s="93"/>
      <c r="D29" s="93"/>
      <c r="E29" s="93"/>
      <c r="F29" s="93"/>
      <c r="G29" s="93"/>
      <c r="H29" s="93"/>
      <c r="I29" s="93"/>
      <c r="J29" s="93"/>
      <c r="K29" s="93"/>
      <c r="L29" s="80">
        <f>MIN(L4:L24)</f>
        <v>0</v>
      </c>
      <c r="M29" s="80">
        <f>MIN(M4:M24)</f>
        <v>0</v>
      </c>
      <c r="N29" s="80">
        <f>MIN(N4:N24)</f>
        <v>0</v>
      </c>
      <c r="O29" s="94"/>
      <c r="P29" s="94"/>
    </row>
    <row r="30" spans="1:16"/>
    <row r="31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S31"/>
  <sheetViews>
    <sheetView showGridLines="0" zoomScale="75" workbookViewId="0">
      <selection activeCell="L11" sqref="L11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115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60" t="s">
        <v>0</v>
      </c>
      <c r="B3" s="61">
        <v>11</v>
      </c>
      <c r="C3" s="61">
        <v>12</v>
      </c>
      <c r="D3" s="61">
        <v>13</v>
      </c>
      <c r="E3" s="61">
        <v>14</v>
      </c>
      <c r="F3" s="61">
        <v>15</v>
      </c>
      <c r="G3" s="61">
        <v>16</v>
      </c>
      <c r="H3" s="61">
        <v>17</v>
      </c>
      <c r="I3" s="61">
        <v>18</v>
      </c>
      <c r="J3" s="61">
        <v>19</v>
      </c>
      <c r="K3" s="61">
        <v>20</v>
      </c>
      <c r="L3" s="62" t="s">
        <v>6</v>
      </c>
      <c r="M3" s="62" t="s">
        <v>7</v>
      </c>
      <c r="N3" s="81" t="s">
        <v>16</v>
      </c>
    </row>
    <row r="4" spans="1:16" s="64" customFormat="1" ht="21" customHeight="1">
      <c r="A4" s="198" t="s">
        <v>128</v>
      </c>
      <c r="B4" s="263" t="str">
        <f>'Tæng kÕt Tm '!L6</f>
        <v/>
      </c>
      <c r="C4" s="263" t="str">
        <f>'Tæng kÕt Tm '!M6</f>
        <v/>
      </c>
      <c r="D4" s="263" t="str">
        <f>'Tæng kÕt Tm '!N6</f>
        <v/>
      </c>
      <c r="E4" s="263" t="str">
        <f>'Tæng kÕt Tm '!O6</f>
        <v/>
      </c>
      <c r="F4" s="264" t="str">
        <f>'Tæng kÕt Tm '!P6</f>
        <v/>
      </c>
      <c r="G4" s="263" t="str">
        <f>'Tæng kÕt Tm '!Q6</f>
        <v/>
      </c>
      <c r="H4" s="263" t="str">
        <f>'Tæng kÕt Tm '!R6</f>
        <v/>
      </c>
      <c r="I4" s="263" t="str">
        <f>'Tæng kÕt Tm '!S6</f>
        <v/>
      </c>
      <c r="J4" s="263" t="str">
        <f>'Tæng kÕt Tm '!T6</f>
        <v/>
      </c>
      <c r="K4" s="264" t="str">
        <f>'Tæng kÕt Tm '!U6</f>
        <v/>
      </c>
      <c r="L4" s="265" t="str">
        <f>IF(COUNT(B4:F4)&gt;0,MIN(B4:F4)," ")</f>
        <v xml:space="preserve"> </v>
      </c>
      <c r="M4" s="265" t="str">
        <f>IF(COUNT(G4:K4)&gt;0,MIN(G4:K4)," ")</f>
        <v xml:space="preserve"> </v>
      </c>
      <c r="N4" s="266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63" t="str">
        <f>'Tæng kÕt Tm '!L7</f>
        <v/>
      </c>
      <c r="C5" s="263" t="str">
        <f>'Tæng kÕt Tm '!M7</f>
        <v/>
      </c>
      <c r="D5" s="263" t="str">
        <f>'Tæng kÕt Tm '!N7</f>
        <v/>
      </c>
      <c r="E5" s="263" t="str">
        <f>'Tæng kÕt Tm '!O7</f>
        <v/>
      </c>
      <c r="F5" s="264" t="str">
        <f>'Tæng kÕt Tm '!P7</f>
        <v/>
      </c>
      <c r="G5" s="263" t="str">
        <f>'Tæng kÕt Tm '!Q7</f>
        <v/>
      </c>
      <c r="H5" s="263" t="str">
        <f>'Tæng kÕt Tm '!R7</f>
        <v/>
      </c>
      <c r="I5" s="263" t="str">
        <f>'Tæng kÕt Tm '!S7</f>
        <v/>
      </c>
      <c r="J5" s="263" t="str">
        <f>'Tæng kÕt Tm '!T7</f>
        <v/>
      </c>
      <c r="K5" s="264" t="str">
        <f>'Tæng kÕt Tm '!U7</f>
        <v/>
      </c>
      <c r="L5" s="265" t="str">
        <f>IF(COUNT(B5:F5)&gt;0,MIN(B5:F5)," ")</f>
        <v xml:space="preserve"> </v>
      </c>
      <c r="M5" s="265" t="str">
        <f>IF(COUNT(G5:K5)&gt;0,MIN(G5:K5)," ")</f>
        <v xml:space="preserve"> </v>
      </c>
      <c r="N5" s="266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63" t="str">
        <f>'Tæng kÕt Tm '!L8</f>
        <v/>
      </c>
      <c r="C6" s="263" t="str">
        <f>'Tæng kÕt Tm '!M8</f>
        <v/>
      </c>
      <c r="D6" s="263" t="str">
        <f>'Tæng kÕt Tm '!N8</f>
        <v/>
      </c>
      <c r="E6" s="263" t="str">
        <f>'Tæng kÕt Tm '!O8</f>
        <v/>
      </c>
      <c r="F6" s="264" t="str">
        <f>'Tæng kÕt Tm '!P8</f>
        <v/>
      </c>
      <c r="G6" s="263" t="str">
        <f>'Tæng kÕt Tm '!Q8</f>
        <v/>
      </c>
      <c r="H6" s="263" t="str">
        <f>'Tæng kÕt Tm '!R8</f>
        <v/>
      </c>
      <c r="I6" s="263" t="str">
        <f>'Tæng kÕt Tm '!S8</f>
        <v/>
      </c>
      <c r="J6" s="263" t="str">
        <f>'Tæng kÕt Tm '!T8</f>
        <v/>
      </c>
      <c r="K6" s="264" t="str">
        <f>'Tæng kÕt Tm '!U8</f>
        <v/>
      </c>
      <c r="L6" s="265" t="str">
        <f t="shared" ref="L6:L25" si="0">IF(COUNT(B6:F6)&gt;0,MIN(B6:F6)," ")</f>
        <v xml:space="preserve"> </v>
      </c>
      <c r="M6" s="265" t="str">
        <f t="shared" ref="M6:M25" si="1">IF(COUNT(G6:K6)&gt;0,MIN(G6:K6)," ")</f>
        <v xml:space="preserve"> </v>
      </c>
      <c r="N6" s="266" t="str">
        <f t="shared" ref="N6:N25" si="2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63" t="str">
        <f>'Tæng kÕt Tm '!L9</f>
        <v/>
      </c>
      <c r="C7" s="263" t="str">
        <f>'Tæng kÕt Tm '!M9</f>
        <v/>
      </c>
      <c r="D7" s="263" t="str">
        <f>'Tæng kÕt Tm '!N9</f>
        <v/>
      </c>
      <c r="E7" s="263" t="str">
        <f>'Tæng kÕt Tm '!O9</f>
        <v/>
      </c>
      <c r="F7" s="264" t="str">
        <f>'Tæng kÕt Tm '!P9</f>
        <v/>
      </c>
      <c r="G7" s="263" t="str">
        <f>'Tæng kÕt Tm '!Q9</f>
        <v/>
      </c>
      <c r="H7" s="263" t="str">
        <f>'Tæng kÕt Tm '!R9</f>
        <v/>
      </c>
      <c r="I7" s="263" t="str">
        <f>'Tæng kÕt Tm '!S9</f>
        <v/>
      </c>
      <c r="J7" s="263" t="str">
        <f>'Tæng kÕt Tm '!T9</f>
        <v/>
      </c>
      <c r="K7" s="264" t="str">
        <f>'Tæng kÕt Tm '!U9</f>
        <v/>
      </c>
      <c r="L7" s="265" t="str">
        <f t="shared" si="0"/>
        <v xml:space="preserve"> </v>
      </c>
      <c r="M7" s="265" t="str">
        <f t="shared" si="1"/>
        <v xml:space="preserve"> </v>
      </c>
      <c r="N7" s="266" t="str">
        <f t="shared" si="2"/>
        <v xml:space="preserve"> </v>
      </c>
      <c r="O7" s="267"/>
      <c r="P7" s="267"/>
    </row>
    <row r="8" spans="1:16" s="64" customFormat="1" ht="21" customHeight="1">
      <c r="A8" s="199" t="s">
        <v>132</v>
      </c>
      <c r="B8" s="263" t="str">
        <f>'Tæng kÕt Tm '!L10</f>
        <v/>
      </c>
      <c r="C8" s="263" t="str">
        <f>'Tæng kÕt Tm '!M10</f>
        <v/>
      </c>
      <c r="D8" s="263" t="str">
        <f>'Tæng kÕt Tm '!N10</f>
        <v/>
      </c>
      <c r="E8" s="263" t="str">
        <f>'Tæng kÕt Tm '!O10</f>
        <v/>
      </c>
      <c r="F8" s="264" t="str">
        <f>'Tæng kÕt Tm '!P10</f>
        <v/>
      </c>
      <c r="G8" s="263" t="str">
        <f>'Tæng kÕt Tm '!Q10</f>
        <v/>
      </c>
      <c r="H8" s="263" t="str">
        <f>'Tæng kÕt Tm '!R10</f>
        <v/>
      </c>
      <c r="I8" s="263" t="str">
        <f>'Tæng kÕt Tm '!S10</f>
        <v/>
      </c>
      <c r="J8" s="263" t="str">
        <f>'Tæng kÕt Tm '!T10</f>
        <v/>
      </c>
      <c r="K8" s="264" t="str">
        <f>'Tæng kÕt Tm '!U10</f>
        <v/>
      </c>
      <c r="L8" s="265" t="str">
        <f t="shared" si="0"/>
        <v xml:space="preserve"> </v>
      </c>
      <c r="M8" s="265" t="str">
        <f t="shared" si="1"/>
        <v xml:space="preserve"> </v>
      </c>
      <c r="N8" s="266" t="str">
        <f t="shared" si="2"/>
        <v xml:space="preserve"> </v>
      </c>
      <c r="O8" s="267"/>
      <c r="P8" s="267"/>
    </row>
    <row r="9" spans="1:16" s="64" customFormat="1" ht="21" customHeight="1">
      <c r="A9" s="199" t="s">
        <v>133</v>
      </c>
      <c r="B9" s="263" t="str">
        <f>'Tæng kÕt Tm '!L11</f>
        <v/>
      </c>
      <c r="C9" s="263" t="str">
        <f>'Tæng kÕt Tm '!M11</f>
        <v/>
      </c>
      <c r="D9" s="263" t="str">
        <f>'Tæng kÕt Tm '!N11</f>
        <v/>
      </c>
      <c r="E9" s="263" t="str">
        <f>'Tæng kÕt Tm '!O11</f>
        <v/>
      </c>
      <c r="F9" s="264" t="str">
        <f>'Tæng kÕt Tm '!P11</f>
        <v/>
      </c>
      <c r="G9" s="263" t="str">
        <f>'Tæng kÕt Tm '!Q11</f>
        <v/>
      </c>
      <c r="H9" s="263" t="str">
        <f>'Tæng kÕt Tm '!R11</f>
        <v/>
      </c>
      <c r="I9" s="263" t="str">
        <f>'Tæng kÕt Tm '!S11</f>
        <v/>
      </c>
      <c r="J9" s="263" t="str">
        <f>'Tæng kÕt Tm '!T11</f>
        <v/>
      </c>
      <c r="K9" s="264" t="str">
        <f>'Tæng kÕt Tm '!U11</f>
        <v/>
      </c>
      <c r="L9" s="265" t="str">
        <f t="shared" si="0"/>
        <v xml:space="preserve"> </v>
      </c>
      <c r="M9" s="265" t="str">
        <f t="shared" si="1"/>
        <v xml:space="preserve"> </v>
      </c>
      <c r="N9" s="266" t="str">
        <f t="shared" si="2"/>
        <v xml:space="preserve"> </v>
      </c>
      <c r="O9" s="267"/>
      <c r="P9" s="267"/>
    </row>
    <row r="10" spans="1:16" s="64" customFormat="1" ht="21" customHeight="1">
      <c r="A10" s="199" t="s">
        <v>134</v>
      </c>
      <c r="B10" s="263" t="str">
        <f>'Tæng kÕt Tm '!L12</f>
        <v/>
      </c>
      <c r="C10" s="263" t="str">
        <f>'Tæng kÕt Tm '!M12</f>
        <v/>
      </c>
      <c r="D10" s="263" t="str">
        <f>'Tæng kÕt Tm '!N12</f>
        <v/>
      </c>
      <c r="E10" s="263" t="str">
        <f>'Tæng kÕt Tm '!O12</f>
        <v/>
      </c>
      <c r="F10" s="264" t="str">
        <f>'Tæng kÕt Tm '!P12</f>
        <v/>
      </c>
      <c r="G10" s="263" t="str">
        <f>'Tæng kÕt Tm '!Q12</f>
        <v/>
      </c>
      <c r="H10" s="263" t="str">
        <f>'Tæng kÕt Tm '!R12</f>
        <v/>
      </c>
      <c r="I10" s="263" t="str">
        <f>'Tæng kÕt Tm '!S12</f>
        <v/>
      </c>
      <c r="J10" s="263" t="str">
        <f>'Tæng kÕt Tm '!T12</f>
        <v/>
      </c>
      <c r="K10" s="264" t="str">
        <f>'Tæng kÕt Tm '!U12</f>
        <v/>
      </c>
      <c r="L10" s="265" t="str">
        <f t="shared" si="0"/>
        <v xml:space="preserve"> </v>
      </c>
      <c r="M10" s="265" t="str">
        <f t="shared" si="1"/>
        <v xml:space="preserve"> </v>
      </c>
      <c r="N10" s="266" t="str">
        <f t="shared" si="2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63" t="str">
        <f>'Tæng kÕt Tm '!L13</f>
        <v/>
      </c>
      <c r="C11" s="263" t="str">
        <f>'Tæng kÕt Tm '!M13</f>
        <v/>
      </c>
      <c r="D11" s="263" t="str">
        <f>'Tæng kÕt Tm '!N13</f>
        <v/>
      </c>
      <c r="E11" s="263" t="str">
        <f>'Tæng kÕt Tm '!O13</f>
        <v/>
      </c>
      <c r="F11" s="264" t="str">
        <f>'Tæng kÕt Tm '!P13</f>
        <v/>
      </c>
      <c r="G11" s="263" t="str">
        <f>'Tæng kÕt Tm '!Q13</f>
        <v/>
      </c>
      <c r="H11" s="263" t="str">
        <f>'Tæng kÕt Tm '!R13</f>
        <v/>
      </c>
      <c r="I11" s="263" t="str">
        <f>'Tæng kÕt Tm '!S13</f>
        <v/>
      </c>
      <c r="J11" s="263" t="str">
        <f>'Tæng kÕt Tm '!T13</f>
        <v/>
      </c>
      <c r="K11" s="264" t="str">
        <f>'Tæng kÕt Tm '!U13</f>
        <v/>
      </c>
      <c r="L11" s="265" t="str">
        <f t="shared" si="0"/>
        <v xml:space="preserve"> </v>
      </c>
      <c r="M11" s="265" t="str">
        <f t="shared" si="1"/>
        <v xml:space="preserve"> </v>
      </c>
      <c r="N11" s="266" t="str">
        <f t="shared" si="2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63" t="str">
        <f>'Tæng kÕt Tm '!L14</f>
        <v/>
      </c>
      <c r="C12" s="263" t="str">
        <f>'Tæng kÕt Tm '!M14</f>
        <v/>
      </c>
      <c r="D12" s="263" t="str">
        <f>'Tæng kÕt Tm '!N14</f>
        <v/>
      </c>
      <c r="E12" s="263" t="str">
        <f>'Tæng kÕt Tm '!O14</f>
        <v/>
      </c>
      <c r="F12" s="264" t="str">
        <f>'Tæng kÕt Tm '!P14</f>
        <v/>
      </c>
      <c r="G12" s="263" t="str">
        <f>'Tæng kÕt Tm '!Q14</f>
        <v/>
      </c>
      <c r="H12" s="263" t="str">
        <f>'Tæng kÕt Tm '!R14</f>
        <v/>
      </c>
      <c r="I12" s="263" t="str">
        <f>'Tæng kÕt Tm '!S14</f>
        <v/>
      </c>
      <c r="J12" s="263" t="str">
        <f>'Tæng kÕt Tm '!T14</f>
        <v/>
      </c>
      <c r="K12" s="264" t="str">
        <f>'Tæng kÕt Tm '!U14</f>
        <v/>
      </c>
      <c r="L12" s="265" t="str">
        <f t="shared" si="0"/>
        <v xml:space="preserve"> </v>
      </c>
      <c r="M12" s="265" t="str">
        <f t="shared" si="1"/>
        <v xml:space="preserve"> </v>
      </c>
      <c r="N12" s="266" t="str">
        <f t="shared" si="2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63" t="str">
        <f>'Tæng kÕt Tm '!L15</f>
        <v/>
      </c>
      <c r="C13" s="263" t="str">
        <f>'Tæng kÕt Tm '!M15</f>
        <v/>
      </c>
      <c r="D13" s="263" t="str">
        <f>'Tæng kÕt Tm '!N15</f>
        <v/>
      </c>
      <c r="E13" s="263" t="str">
        <f>'Tæng kÕt Tm '!O15</f>
        <v/>
      </c>
      <c r="F13" s="264" t="str">
        <f>'Tæng kÕt Tm '!P15</f>
        <v/>
      </c>
      <c r="G13" s="263" t="str">
        <f>'Tæng kÕt Tm '!Q15</f>
        <v/>
      </c>
      <c r="H13" s="263" t="str">
        <f>'Tæng kÕt Tm '!R15</f>
        <v/>
      </c>
      <c r="I13" s="263" t="str">
        <f>'Tæng kÕt Tm '!S15</f>
        <v/>
      </c>
      <c r="J13" s="263" t="str">
        <f>'Tæng kÕt Tm '!T15</f>
        <v/>
      </c>
      <c r="K13" s="264" t="str">
        <f>'Tæng kÕt Tm '!U15</f>
        <v/>
      </c>
      <c r="L13" s="265" t="str">
        <f t="shared" si="0"/>
        <v xml:space="preserve"> </v>
      </c>
      <c r="M13" s="265" t="str">
        <f t="shared" si="1"/>
        <v xml:space="preserve"> </v>
      </c>
      <c r="N13" s="266" t="str">
        <f t="shared" si="2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63" t="str">
        <f>'Tæng kÕt Tm '!L16</f>
        <v/>
      </c>
      <c r="C14" s="263" t="str">
        <f>'Tæng kÕt Tm '!M16</f>
        <v/>
      </c>
      <c r="D14" s="263" t="str">
        <f>'Tæng kÕt Tm '!N16</f>
        <v/>
      </c>
      <c r="E14" s="263" t="str">
        <f>'Tæng kÕt Tm '!O16</f>
        <v/>
      </c>
      <c r="F14" s="264" t="str">
        <f>'Tæng kÕt Tm '!P16</f>
        <v/>
      </c>
      <c r="G14" s="263" t="str">
        <f>'Tæng kÕt Tm '!Q16</f>
        <v/>
      </c>
      <c r="H14" s="263" t="str">
        <f>'Tæng kÕt Tm '!R16</f>
        <v/>
      </c>
      <c r="I14" s="263" t="str">
        <f>'Tæng kÕt Tm '!S16</f>
        <v/>
      </c>
      <c r="J14" s="263" t="str">
        <f>'Tæng kÕt Tm '!T16</f>
        <v/>
      </c>
      <c r="K14" s="264" t="str">
        <f>'Tæng kÕt Tm '!U16</f>
        <v/>
      </c>
      <c r="L14" s="265" t="str">
        <f t="shared" si="0"/>
        <v xml:space="preserve"> </v>
      </c>
      <c r="M14" s="265" t="str">
        <f t="shared" si="1"/>
        <v xml:space="preserve"> </v>
      </c>
      <c r="N14" s="266" t="str">
        <f t="shared" si="2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63" t="str">
        <f>'Tæng kÕt Tm '!L17</f>
        <v/>
      </c>
      <c r="C15" s="263" t="str">
        <f>'Tæng kÕt Tm '!M17</f>
        <v/>
      </c>
      <c r="D15" s="263" t="str">
        <f>'Tæng kÕt Tm '!N17</f>
        <v/>
      </c>
      <c r="E15" s="263" t="str">
        <f>'Tæng kÕt Tm '!O17</f>
        <v/>
      </c>
      <c r="F15" s="264" t="str">
        <f>'Tæng kÕt Tm '!P17</f>
        <v/>
      </c>
      <c r="G15" s="263" t="str">
        <f>'Tæng kÕt Tm '!Q17</f>
        <v/>
      </c>
      <c r="H15" s="263" t="str">
        <f>'Tæng kÕt Tm '!R17</f>
        <v/>
      </c>
      <c r="I15" s="263" t="str">
        <f>'Tæng kÕt Tm '!S17</f>
        <v/>
      </c>
      <c r="J15" s="263" t="str">
        <f>'Tæng kÕt Tm '!T17</f>
        <v/>
      </c>
      <c r="K15" s="264" t="str">
        <f>'Tæng kÕt Tm '!U17</f>
        <v/>
      </c>
      <c r="L15" s="265" t="str">
        <f t="shared" si="0"/>
        <v xml:space="preserve"> </v>
      </c>
      <c r="M15" s="265" t="str">
        <f t="shared" si="1"/>
        <v xml:space="preserve"> </v>
      </c>
      <c r="N15" s="266" t="str">
        <f t="shared" si="2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63" t="str">
        <f>'Tæng kÕt Tm '!L18</f>
        <v/>
      </c>
      <c r="C16" s="263" t="str">
        <f>'Tæng kÕt Tm '!M18</f>
        <v/>
      </c>
      <c r="D16" s="263" t="str">
        <f>'Tæng kÕt Tm '!N18</f>
        <v/>
      </c>
      <c r="E16" s="263" t="str">
        <f>'Tæng kÕt Tm '!O18</f>
        <v/>
      </c>
      <c r="F16" s="264" t="str">
        <f>'Tæng kÕt Tm '!P18</f>
        <v/>
      </c>
      <c r="G16" s="263" t="str">
        <f>'Tæng kÕt Tm '!Q18</f>
        <v/>
      </c>
      <c r="H16" s="263" t="str">
        <f>'Tæng kÕt Tm '!R18</f>
        <v/>
      </c>
      <c r="I16" s="263" t="str">
        <f>'Tæng kÕt Tm '!S18</f>
        <v/>
      </c>
      <c r="J16" s="263" t="str">
        <f>'Tæng kÕt Tm '!T18</f>
        <v/>
      </c>
      <c r="K16" s="264" t="str">
        <f>'Tæng kÕt Tm '!U18</f>
        <v/>
      </c>
      <c r="L16" s="265" t="str">
        <f t="shared" si="0"/>
        <v xml:space="preserve"> </v>
      </c>
      <c r="M16" s="265" t="str">
        <f t="shared" si="1"/>
        <v xml:space="preserve"> </v>
      </c>
      <c r="N16" s="266" t="str">
        <f t="shared" si="2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63" t="str">
        <f>'Tæng kÕt Tm '!L19</f>
        <v/>
      </c>
      <c r="C17" s="263" t="str">
        <f>'Tæng kÕt Tm '!M19</f>
        <v/>
      </c>
      <c r="D17" s="263" t="str">
        <f>'Tæng kÕt Tm '!N19</f>
        <v/>
      </c>
      <c r="E17" s="263" t="str">
        <f>'Tæng kÕt Tm '!O19</f>
        <v/>
      </c>
      <c r="F17" s="264" t="str">
        <f>'Tæng kÕt Tm '!P19</f>
        <v/>
      </c>
      <c r="G17" s="263" t="str">
        <f>'Tæng kÕt Tm '!Q19</f>
        <v/>
      </c>
      <c r="H17" s="263" t="str">
        <f>'Tæng kÕt Tm '!R19</f>
        <v/>
      </c>
      <c r="I17" s="263" t="str">
        <f>'Tæng kÕt Tm '!S19</f>
        <v/>
      </c>
      <c r="J17" s="263" t="str">
        <f>'Tæng kÕt Tm '!T19</f>
        <v/>
      </c>
      <c r="K17" s="264" t="str">
        <f>'Tæng kÕt Tm '!U19</f>
        <v/>
      </c>
      <c r="L17" s="265" t="str">
        <f t="shared" si="0"/>
        <v xml:space="preserve"> </v>
      </c>
      <c r="M17" s="265" t="str">
        <f t="shared" si="1"/>
        <v xml:space="preserve"> </v>
      </c>
      <c r="N17" s="266" t="str">
        <f t="shared" si="2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63" t="str">
        <f>'Tæng kÕt Tm '!L20</f>
        <v/>
      </c>
      <c r="C18" s="263" t="str">
        <f>'Tæng kÕt Tm '!M20</f>
        <v/>
      </c>
      <c r="D18" s="263" t="str">
        <f>'Tæng kÕt Tm '!N20</f>
        <v/>
      </c>
      <c r="E18" s="263" t="str">
        <f>'Tæng kÕt Tm '!O20</f>
        <v/>
      </c>
      <c r="F18" s="264" t="str">
        <f>'Tæng kÕt Tm '!P20</f>
        <v/>
      </c>
      <c r="G18" s="263" t="str">
        <f>'Tæng kÕt Tm '!Q20</f>
        <v/>
      </c>
      <c r="H18" s="263" t="str">
        <f>'Tæng kÕt Tm '!R20</f>
        <v/>
      </c>
      <c r="I18" s="263" t="str">
        <f>'Tæng kÕt Tm '!S20</f>
        <v/>
      </c>
      <c r="J18" s="263" t="str">
        <f>'Tæng kÕt Tm '!T20</f>
        <v/>
      </c>
      <c r="K18" s="264" t="str">
        <f>'Tæng kÕt Tm '!U20</f>
        <v/>
      </c>
      <c r="L18" s="265" t="str">
        <f t="shared" si="0"/>
        <v xml:space="preserve"> </v>
      </c>
      <c r="M18" s="265" t="str">
        <f t="shared" si="1"/>
        <v xml:space="preserve"> </v>
      </c>
      <c r="N18" s="266" t="str">
        <f t="shared" si="2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63" t="str">
        <f>'Tæng kÕt Tm '!L21</f>
        <v/>
      </c>
      <c r="C19" s="263" t="str">
        <f>'Tæng kÕt Tm '!M21</f>
        <v/>
      </c>
      <c r="D19" s="263" t="str">
        <f>'Tæng kÕt Tm '!N21</f>
        <v/>
      </c>
      <c r="E19" s="263" t="str">
        <f>'Tæng kÕt Tm '!O21</f>
        <v/>
      </c>
      <c r="F19" s="264" t="str">
        <f>'Tæng kÕt Tm '!P21</f>
        <v/>
      </c>
      <c r="G19" s="263" t="str">
        <f>'Tæng kÕt Tm '!Q21</f>
        <v/>
      </c>
      <c r="H19" s="263" t="str">
        <f>'Tæng kÕt Tm '!R21</f>
        <v/>
      </c>
      <c r="I19" s="263" t="str">
        <f>'Tæng kÕt Tm '!S21</f>
        <v/>
      </c>
      <c r="J19" s="263" t="str">
        <f>'Tæng kÕt Tm '!T21</f>
        <v/>
      </c>
      <c r="K19" s="264" t="str">
        <f>'Tæng kÕt Tm '!U21</f>
        <v/>
      </c>
      <c r="L19" s="265" t="str">
        <f t="shared" si="0"/>
        <v xml:space="preserve"> </v>
      </c>
      <c r="M19" s="265" t="str">
        <f t="shared" si="1"/>
        <v xml:space="preserve"> </v>
      </c>
      <c r="N19" s="266" t="str">
        <f t="shared" si="2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63" t="str">
        <f>'Tæng kÕt Tm '!L22</f>
        <v/>
      </c>
      <c r="C20" s="263" t="str">
        <f>'Tæng kÕt Tm '!M22</f>
        <v/>
      </c>
      <c r="D20" s="263" t="str">
        <f>'Tæng kÕt Tm '!N22</f>
        <v/>
      </c>
      <c r="E20" s="263" t="str">
        <f>'Tæng kÕt Tm '!O22</f>
        <v/>
      </c>
      <c r="F20" s="264" t="str">
        <f>'Tæng kÕt Tm '!P22</f>
        <v/>
      </c>
      <c r="G20" s="263" t="str">
        <f>'Tæng kÕt Tm '!Q22</f>
        <v/>
      </c>
      <c r="H20" s="263" t="str">
        <f>'Tæng kÕt Tm '!R22</f>
        <v/>
      </c>
      <c r="I20" s="263" t="str">
        <f>'Tæng kÕt Tm '!S22</f>
        <v/>
      </c>
      <c r="J20" s="263" t="str">
        <f>'Tæng kÕt Tm '!T22</f>
        <v/>
      </c>
      <c r="K20" s="264" t="str">
        <f>'Tæng kÕt Tm '!U22</f>
        <v/>
      </c>
      <c r="L20" s="265" t="str">
        <f t="shared" si="0"/>
        <v xml:space="preserve"> </v>
      </c>
      <c r="M20" s="265" t="str">
        <f t="shared" si="1"/>
        <v xml:space="preserve"> </v>
      </c>
      <c r="N20" s="266" t="str">
        <f t="shared" si="2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63" t="str">
        <f>'Tæng kÕt Tm '!L23</f>
        <v/>
      </c>
      <c r="C21" s="263" t="str">
        <f>'Tæng kÕt Tm '!M23</f>
        <v/>
      </c>
      <c r="D21" s="263" t="str">
        <f>'Tæng kÕt Tm '!N23</f>
        <v/>
      </c>
      <c r="E21" s="263" t="str">
        <f>'Tæng kÕt Tm '!O23</f>
        <v/>
      </c>
      <c r="F21" s="264" t="str">
        <f>'Tæng kÕt Tm '!P23</f>
        <v/>
      </c>
      <c r="G21" s="263" t="str">
        <f>'Tæng kÕt Tm '!Q23</f>
        <v/>
      </c>
      <c r="H21" s="263" t="str">
        <f>'Tæng kÕt Tm '!R23</f>
        <v/>
      </c>
      <c r="I21" s="263" t="str">
        <f>'Tæng kÕt Tm '!S23</f>
        <v/>
      </c>
      <c r="J21" s="263" t="str">
        <f>'Tæng kÕt Tm '!T23</f>
        <v/>
      </c>
      <c r="K21" s="264" t="str">
        <f>'Tæng kÕt Tm '!U23</f>
        <v/>
      </c>
      <c r="L21" s="265" t="str">
        <f t="shared" si="0"/>
        <v xml:space="preserve"> </v>
      </c>
      <c r="M21" s="265" t="str">
        <f t="shared" si="1"/>
        <v xml:space="preserve"> </v>
      </c>
      <c r="N21" s="266" t="str">
        <f t="shared" si="2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63" t="str">
        <f>'Tæng kÕt Tm '!L24</f>
        <v/>
      </c>
      <c r="C22" s="263" t="str">
        <f>'Tæng kÕt Tm '!M24</f>
        <v/>
      </c>
      <c r="D22" s="263" t="str">
        <f>'Tæng kÕt Tm '!N24</f>
        <v/>
      </c>
      <c r="E22" s="263" t="str">
        <f>'Tæng kÕt Tm '!O24</f>
        <v/>
      </c>
      <c r="F22" s="264" t="str">
        <f>'Tæng kÕt Tm '!P24</f>
        <v/>
      </c>
      <c r="G22" s="263" t="str">
        <f>'Tæng kÕt Tm '!Q24</f>
        <v/>
      </c>
      <c r="H22" s="263" t="str">
        <f>'Tæng kÕt Tm '!R24</f>
        <v/>
      </c>
      <c r="I22" s="263" t="str">
        <f>'Tæng kÕt Tm '!S24</f>
        <v/>
      </c>
      <c r="J22" s="263" t="str">
        <f>'Tæng kÕt Tm '!T24</f>
        <v/>
      </c>
      <c r="K22" s="264" t="str">
        <f>'Tæng kÕt Tm '!U24</f>
        <v/>
      </c>
      <c r="L22" s="265" t="str">
        <f t="shared" si="0"/>
        <v xml:space="preserve"> </v>
      </c>
      <c r="M22" s="265" t="str">
        <f t="shared" si="1"/>
        <v xml:space="preserve"> </v>
      </c>
      <c r="N22" s="266" t="str">
        <f t="shared" si="2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63" t="str">
        <f>'Tæng kÕt Tm '!L25</f>
        <v/>
      </c>
      <c r="C23" s="263" t="str">
        <f>'Tæng kÕt Tm '!M25</f>
        <v/>
      </c>
      <c r="D23" s="263" t="str">
        <f>'Tæng kÕt Tm '!N25</f>
        <v/>
      </c>
      <c r="E23" s="263" t="str">
        <f>'Tæng kÕt Tm '!O25</f>
        <v/>
      </c>
      <c r="F23" s="264" t="str">
        <f>'Tæng kÕt Tm '!P25</f>
        <v/>
      </c>
      <c r="G23" s="263" t="str">
        <f>'Tæng kÕt Tm '!Q25</f>
        <v/>
      </c>
      <c r="H23" s="263" t="str">
        <f>'Tæng kÕt Tm '!R25</f>
        <v/>
      </c>
      <c r="I23" s="263" t="str">
        <f>'Tæng kÕt Tm '!S25</f>
        <v/>
      </c>
      <c r="J23" s="263" t="str">
        <f>'Tæng kÕt Tm '!T25</f>
        <v/>
      </c>
      <c r="K23" s="264" t="str">
        <f>'Tæng kÕt Tm '!U25</f>
        <v/>
      </c>
      <c r="L23" s="265" t="str">
        <f t="shared" si="0"/>
        <v xml:space="preserve"> </v>
      </c>
      <c r="M23" s="265" t="str">
        <f t="shared" si="1"/>
        <v xml:space="preserve"> </v>
      </c>
      <c r="N23" s="266" t="str">
        <f t="shared" si="2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63" t="str">
        <f>'Tæng kÕt Tm '!L26</f>
        <v/>
      </c>
      <c r="C24" s="263" t="str">
        <f>'Tæng kÕt Tm '!M26</f>
        <v/>
      </c>
      <c r="D24" s="263" t="str">
        <f>'Tæng kÕt Tm '!N26</f>
        <v/>
      </c>
      <c r="E24" s="263" t="str">
        <f>'Tæng kÕt Tm '!O26</f>
        <v/>
      </c>
      <c r="F24" s="264" t="str">
        <f>'Tæng kÕt Tm '!P26</f>
        <v/>
      </c>
      <c r="G24" s="263" t="str">
        <f>'Tæng kÕt Tm '!Q26</f>
        <v/>
      </c>
      <c r="H24" s="263" t="str">
        <f>'Tæng kÕt Tm '!R26</f>
        <v/>
      </c>
      <c r="I24" s="263" t="str">
        <f>'Tæng kÕt Tm '!S26</f>
        <v/>
      </c>
      <c r="J24" s="263" t="str">
        <f>'Tæng kÕt Tm '!T26</f>
        <v/>
      </c>
      <c r="K24" s="264" t="str">
        <f>'Tæng kÕt Tm '!U26</f>
        <v/>
      </c>
      <c r="L24" s="265" t="str">
        <f t="shared" si="0"/>
        <v xml:space="preserve"> </v>
      </c>
      <c r="M24" s="265" t="str">
        <f t="shared" si="1"/>
        <v xml:space="preserve"> </v>
      </c>
      <c r="N24" s="266" t="str">
        <f t="shared" si="2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63" t="str">
        <f>'Tæng kÕt Tm '!L27</f>
        <v/>
      </c>
      <c r="C25" s="263" t="str">
        <f>'Tæng kÕt Tm '!M27</f>
        <v/>
      </c>
      <c r="D25" s="263" t="str">
        <f>'Tæng kÕt Tm '!N27</f>
        <v/>
      </c>
      <c r="E25" s="263" t="str">
        <f>'Tæng kÕt Tm '!O27</f>
        <v/>
      </c>
      <c r="F25" s="264" t="str">
        <f>'Tæng kÕt Tm '!P27</f>
        <v/>
      </c>
      <c r="G25" s="263" t="str">
        <f>'Tæng kÕt Tm '!Q27</f>
        <v/>
      </c>
      <c r="H25" s="263" t="str">
        <f>'Tæng kÕt Tm '!R27</f>
        <v/>
      </c>
      <c r="I25" s="263" t="str">
        <f>'Tæng kÕt Tm '!S27</f>
        <v/>
      </c>
      <c r="J25" s="263" t="str">
        <f>'Tæng kÕt Tm '!T27</f>
        <v/>
      </c>
      <c r="K25" s="264" t="str">
        <f>'Tæng kÕt Tm '!U27</f>
        <v/>
      </c>
      <c r="L25" s="265" t="str">
        <f t="shared" si="0"/>
        <v xml:space="preserve"> </v>
      </c>
      <c r="M25" s="265" t="str">
        <f t="shared" si="1"/>
        <v xml:space="preserve"> </v>
      </c>
      <c r="N25" s="266" t="str">
        <f t="shared" si="2"/>
        <v xml:space="preserve"> </v>
      </c>
      <c r="O25" s="267"/>
      <c r="P25" s="267"/>
    </row>
    <row r="26" spans="1:16" s="64" customFormat="1" ht="13.5" thickBot="1">
      <c r="A26" s="65"/>
      <c r="B26" s="272"/>
      <c r="C26" s="272"/>
      <c r="D26" s="272"/>
      <c r="E26" s="272"/>
      <c r="F26" s="273"/>
      <c r="G26" s="272"/>
      <c r="H26" s="272"/>
      <c r="I26" s="272"/>
      <c r="J26" s="272"/>
      <c r="K26" s="273"/>
      <c r="L26" s="274"/>
      <c r="M26" s="274"/>
      <c r="N26" s="275"/>
      <c r="O26" s="276"/>
      <c r="P26" s="267"/>
    </row>
    <row r="27" spans="1:16" s="64" customFormat="1" ht="13.5" thickTop="1">
      <c r="A27" s="66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66"/>
    </row>
    <row r="28" spans="1:16" s="64" customFormat="1" ht="15">
      <c r="A28" s="66"/>
      <c r="B28" s="73" t="s">
        <v>4</v>
      </c>
      <c r="C28" s="85"/>
      <c r="D28" s="85"/>
      <c r="E28" s="85"/>
      <c r="F28" s="85"/>
      <c r="G28" s="85"/>
      <c r="H28" s="85"/>
      <c r="I28" s="85"/>
      <c r="J28" s="85"/>
      <c r="K28" s="85"/>
      <c r="L28" s="74">
        <f>MAX(L4:L24)</f>
        <v>0</v>
      </c>
      <c r="M28" s="74">
        <f>MAX(M4:M24)</f>
        <v>0</v>
      </c>
      <c r="N28" s="74">
        <f>MAX(N4:N24)</f>
        <v>0</v>
      </c>
      <c r="O28" s="66"/>
    </row>
    <row r="29" spans="1:16" s="64" customFormat="1" ht="15">
      <c r="A29" s="66"/>
      <c r="B29" s="73" t="s">
        <v>5</v>
      </c>
      <c r="C29" s="85"/>
      <c r="D29" s="85"/>
      <c r="E29" s="85"/>
      <c r="F29" s="85"/>
      <c r="G29" s="85"/>
      <c r="H29" s="85"/>
      <c r="I29" s="85"/>
      <c r="J29" s="85"/>
      <c r="K29" s="85"/>
      <c r="L29" s="74">
        <f>MIN(L4:L24)</f>
        <v>0</v>
      </c>
      <c r="M29" s="74">
        <f>MIN(M4:M24)</f>
        <v>0</v>
      </c>
      <c r="N29" s="74">
        <f>MIN(N4:N24)</f>
        <v>0</v>
      </c>
      <c r="O29" s="66"/>
    </row>
    <row r="30" spans="1:16" s="64" customFormat="1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</row>
    <row r="31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34"/>
  <sheetViews>
    <sheetView showGridLines="0" zoomScale="75" workbookViewId="0">
      <selection activeCell="B5" sqref="B5:O25"/>
    </sheetView>
  </sheetViews>
  <sheetFormatPr defaultColWidth="0" defaultRowHeight="12.75" zeroHeight="1"/>
  <cols>
    <col min="1" max="1" width="16.1640625" style="6" customWidth="1"/>
    <col min="2" max="12" width="7.33203125" style="6" customWidth="1"/>
    <col min="13" max="15" width="8" style="6" customWidth="1"/>
    <col min="16" max="16" width="6.33203125" style="6" customWidth="1"/>
    <col min="17" max="17" width="6.33203125" style="5" hidden="1" customWidth="1"/>
    <col min="18" max="19" width="0" style="5" hidden="1" customWidth="1"/>
    <col min="20" max="21" width="9.6640625" style="5" hidden="1" customWidth="1"/>
    <col min="22" max="16384" width="0" style="5" hidden="1"/>
  </cols>
  <sheetData>
    <row r="1" spans="1:16" s="122" customFormat="1" ht="29.25" customHeight="1">
      <c r="A1" s="531" t="s">
        <v>175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121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4"/>
    </row>
    <row r="3" spans="1:16" s="161" customFormat="1" ht="47.1" customHeight="1" thickTop="1">
      <c r="A3" s="60" t="s">
        <v>0</v>
      </c>
      <c r="B3" s="69">
        <v>21</v>
      </c>
      <c r="C3" s="69">
        <v>22</v>
      </c>
      <c r="D3" s="69">
        <v>23</v>
      </c>
      <c r="E3" s="69">
        <v>24</v>
      </c>
      <c r="F3" s="69">
        <v>25</v>
      </c>
      <c r="G3" s="69">
        <v>26</v>
      </c>
      <c r="H3" s="69">
        <v>27</v>
      </c>
      <c r="I3" s="69">
        <v>28</v>
      </c>
      <c r="J3" s="69">
        <v>29</v>
      </c>
      <c r="K3" s="69">
        <v>30</v>
      </c>
      <c r="L3" s="69">
        <v>31</v>
      </c>
      <c r="M3" s="62" t="s">
        <v>171</v>
      </c>
      <c r="N3" s="70" t="s">
        <v>181</v>
      </c>
      <c r="O3" s="63" t="s">
        <v>182</v>
      </c>
    </row>
    <row r="4" spans="1:16" s="64" customFormat="1" ht="21" customHeight="1">
      <c r="A4" s="198" t="s">
        <v>128</v>
      </c>
      <c r="B4" s="263" t="str">
        <f>'Tæng kÕt Tm '!V6</f>
        <v/>
      </c>
      <c r="C4" s="263" t="str">
        <f>'Tæng kÕt Tm '!W6</f>
        <v/>
      </c>
      <c r="D4" s="263" t="str">
        <f>'Tæng kÕt Tm '!X6</f>
        <v/>
      </c>
      <c r="E4" s="263" t="str">
        <f>'Tæng kÕt Tm '!Y6</f>
        <v/>
      </c>
      <c r="F4" s="264" t="str">
        <f>'Tæng kÕt Tm '!Z6</f>
        <v/>
      </c>
      <c r="G4" s="263" t="str">
        <f>'Tæng kÕt Tm '!AA6</f>
        <v/>
      </c>
      <c r="H4" s="263" t="str">
        <f>'Tæng kÕt Tm '!AB6</f>
        <v/>
      </c>
      <c r="I4" s="263" t="str">
        <f>'Tæng kÕt Tm '!AC6</f>
        <v/>
      </c>
      <c r="J4" s="263" t="str">
        <f>'Tæng kÕt Tm '!AD6</f>
        <v/>
      </c>
      <c r="K4" s="263" t="str">
        <f>'Tæng kÕt Tm '!AE6</f>
        <v/>
      </c>
      <c r="L4" s="264"/>
      <c r="M4" s="265" t="str">
        <f>IF(COUNT(B4:F4)&gt;0,MIN(B4:F4)," ")</f>
        <v xml:space="preserve"> </v>
      </c>
      <c r="N4" s="265" t="str">
        <f>IF(COUNT(G4:K4)&gt;0,MIN(G4:K4)," ")</f>
        <v xml:space="preserve"> </v>
      </c>
      <c r="O4" s="266" t="str">
        <f>IF(COUNT(B4:K4)&gt;0,AVERAGE(B4:K4)," ")</f>
        <v xml:space="preserve"> </v>
      </c>
      <c r="P4" s="267"/>
    </row>
    <row r="5" spans="1:16" s="64" customFormat="1" ht="21" customHeight="1">
      <c r="A5" s="199" t="s">
        <v>129</v>
      </c>
      <c r="B5" s="263" t="str">
        <f>'Tæng kÕt Tm '!V7</f>
        <v/>
      </c>
      <c r="C5" s="263" t="str">
        <f>'Tæng kÕt Tm '!W7</f>
        <v/>
      </c>
      <c r="D5" s="263" t="str">
        <f>'Tæng kÕt Tm '!X7</f>
        <v/>
      </c>
      <c r="E5" s="263" t="str">
        <f>'Tæng kÕt Tm '!Y7</f>
        <v/>
      </c>
      <c r="F5" s="264" t="str">
        <f>'Tæng kÕt Tm '!Z7</f>
        <v/>
      </c>
      <c r="G5" s="263" t="str">
        <f>'Tæng kÕt Tm '!AA7</f>
        <v/>
      </c>
      <c r="H5" s="263" t="str">
        <f>'Tæng kÕt Tm '!AB7</f>
        <v/>
      </c>
      <c r="I5" s="263" t="str">
        <f>'Tæng kÕt Tm '!AC7</f>
        <v/>
      </c>
      <c r="J5" s="263" t="str">
        <f>'Tæng kÕt Tm '!AD7</f>
        <v/>
      </c>
      <c r="K5" s="263" t="str">
        <f>'Tæng kÕt Tm '!AE7</f>
        <v/>
      </c>
      <c r="L5" s="264"/>
      <c r="M5" s="265" t="str">
        <f>IF(COUNT(B5:F5)&gt;0,MIN(B5:F5)," ")</f>
        <v xml:space="preserve"> </v>
      </c>
      <c r="N5" s="265" t="str">
        <f>IF(COUNT(G5:K5)&gt;0,MIN(G5:K5)," ")</f>
        <v xml:space="preserve"> </v>
      </c>
      <c r="O5" s="266" t="str">
        <f>IF(COUNT(B5:K5)&gt;0,AVERAGE(B5:K5)," ")</f>
        <v xml:space="preserve"> </v>
      </c>
      <c r="P5" s="267"/>
    </row>
    <row r="6" spans="1:16" s="64" customFormat="1" ht="21" customHeight="1">
      <c r="A6" s="200" t="s">
        <v>130</v>
      </c>
      <c r="B6" s="263" t="str">
        <f>'Tæng kÕt Tm '!V8</f>
        <v/>
      </c>
      <c r="C6" s="263" t="str">
        <f>'Tæng kÕt Tm '!W8</f>
        <v/>
      </c>
      <c r="D6" s="263" t="str">
        <f>'Tæng kÕt Tm '!X8</f>
        <v/>
      </c>
      <c r="E6" s="263" t="str">
        <f>'Tæng kÕt Tm '!Y8</f>
        <v/>
      </c>
      <c r="F6" s="264" t="str">
        <f>'Tæng kÕt Tm '!Z8</f>
        <v/>
      </c>
      <c r="G6" s="263" t="str">
        <f>'Tæng kÕt Tm '!AA8</f>
        <v/>
      </c>
      <c r="H6" s="263" t="str">
        <f>'Tæng kÕt Tm '!AB8</f>
        <v/>
      </c>
      <c r="I6" s="263" t="str">
        <f>'Tæng kÕt Tm '!AC8</f>
        <v/>
      </c>
      <c r="J6" s="263" t="str">
        <f>'Tæng kÕt Tm '!AD8</f>
        <v/>
      </c>
      <c r="K6" s="263" t="str">
        <f>'Tæng kÕt Tm '!AE8</f>
        <v/>
      </c>
      <c r="L6" s="264"/>
      <c r="M6" s="265" t="str">
        <f t="shared" ref="M6:M25" si="0">IF(COUNT(B6:F6)&gt;0,MIN(B6:F6)," ")</f>
        <v xml:space="preserve"> </v>
      </c>
      <c r="N6" s="265" t="str">
        <f t="shared" ref="N6:N25" si="1">IF(COUNT(G6:K6)&gt;0,MIN(G6:K6)," ")</f>
        <v xml:space="preserve"> </v>
      </c>
      <c r="O6" s="266" t="str">
        <f t="shared" ref="O6:O25" si="2">IF(COUNT(B6:K6)&gt;0,AVERAGE(B6:K6)," ")</f>
        <v xml:space="preserve"> </v>
      </c>
      <c r="P6" s="267"/>
    </row>
    <row r="7" spans="1:16" s="64" customFormat="1" ht="21" customHeight="1">
      <c r="A7" s="199" t="s">
        <v>131</v>
      </c>
      <c r="B7" s="263" t="str">
        <f>'Tæng kÕt Tm '!V9</f>
        <v/>
      </c>
      <c r="C7" s="263" t="str">
        <f>'Tæng kÕt Tm '!W9</f>
        <v/>
      </c>
      <c r="D7" s="263" t="str">
        <f>'Tæng kÕt Tm '!X9</f>
        <v/>
      </c>
      <c r="E7" s="263" t="str">
        <f>'Tæng kÕt Tm '!Y9</f>
        <v/>
      </c>
      <c r="F7" s="264" t="str">
        <f>'Tæng kÕt Tm '!Z9</f>
        <v/>
      </c>
      <c r="G7" s="263" t="str">
        <f>'Tæng kÕt Tm '!AA9</f>
        <v/>
      </c>
      <c r="H7" s="263" t="str">
        <f>'Tæng kÕt Tm '!AB9</f>
        <v/>
      </c>
      <c r="I7" s="263" t="str">
        <f>'Tæng kÕt Tm '!AC9</f>
        <v/>
      </c>
      <c r="J7" s="263" t="str">
        <f>'Tæng kÕt Tm '!AD9</f>
        <v/>
      </c>
      <c r="K7" s="263" t="str">
        <f>'Tæng kÕt Tm '!AE9</f>
        <v/>
      </c>
      <c r="L7" s="264"/>
      <c r="M7" s="265" t="str">
        <f t="shared" si="0"/>
        <v xml:space="preserve"> </v>
      </c>
      <c r="N7" s="265" t="str">
        <f t="shared" si="1"/>
        <v xml:space="preserve"> </v>
      </c>
      <c r="O7" s="266" t="str">
        <f t="shared" si="2"/>
        <v xml:space="preserve"> </v>
      </c>
      <c r="P7" s="267"/>
    </row>
    <row r="8" spans="1:16" s="64" customFormat="1" ht="21" customHeight="1">
      <c r="A8" s="199" t="s">
        <v>132</v>
      </c>
      <c r="B8" s="263" t="str">
        <f>'Tæng kÕt Tm '!V10</f>
        <v/>
      </c>
      <c r="C8" s="263" t="str">
        <f>'Tæng kÕt Tm '!W10</f>
        <v/>
      </c>
      <c r="D8" s="263" t="str">
        <f>'Tæng kÕt Tm '!X10</f>
        <v/>
      </c>
      <c r="E8" s="263" t="str">
        <f>'Tæng kÕt Tm '!Y10</f>
        <v/>
      </c>
      <c r="F8" s="264" t="str">
        <f>'Tæng kÕt Tm '!Z10</f>
        <v/>
      </c>
      <c r="G8" s="263" t="str">
        <f>'Tæng kÕt Tm '!AA10</f>
        <v/>
      </c>
      <c r="H8" s="263" t="str">
        <f>'Tæng kÕt Tm '!AB10</f>
        <v/>
      </c>
      <c r="I8" s="263" t="str">
        <f>'Tæng kÕt Tm '!AC10</f>
        <v/>
      </c>
      <c r="J8" s="263" t="str">
        <f>'Tæng kÕt Tm '!AD10</f>
        <v/>
      </c>
      <c r="K8" s="263" t="str">
        <f>'Tæng kÕt Tm '!AE10</f>
        <v/>
      </c>
      <c r="L8" s="264"/>
      <c r="M8" s="265" t="str">
        <f t="shared" si="0"/>
        <v xml:space="preserve"> </v>
      </c>
      <c r="N8" s="265" t="str">
        <f t="shared" si="1"/>
        <v xml:space="preserve"> </v>
      </c>
      <c r="O8" s="266" t="str">
        <f t="shared" si="2"/>
        <v xml:space="preserve"> </v>
      </c>
      <c r="P8" s="267"/>
    </row>
    <row r="9" spans="1:16" s="64" customFormat="1" ht="21" customHeight="1">
      <c r="A9" s="199" t="s">
        <v>133</v>
      </c>
      <c r="B9" s="263" t="str">
        <f>'Tæng kÕt Tm '!V11</f>
        <v/>
      </c>
      <c r="C9" s="263" t="str">
        <f>'Tæng kÕt Tm '!W11</f>
        <v/>
      </c>
      <c r="D9" s="263" t="str">
        <f>'Tæng kÕt Tm '!X11</f>
        <v/>
      </c>
      <c r="E9" s="263" t="str">
        <f>'Tæng kÕt Tm '!Y11</f>
        <v/>
      </c>
      <c r="F9" s="264" t="str">
        <f>'Tæng kÕt Tm '!Z11</f>
        <v/>
      </c>
      <c r="G9" s="263" t="str">
        <f>'Tæng kÕt Tm '!AA11</f>
        <v/>
      </c>
      <c r="H9" s="263" t="str">
        <f>'Tæng kÕt Tm '!AB11</f>
        <v/>
      </c>
      <c r="I9" s="263" t="str">
        <f>'Tæng kÕt Tm '!AC11</f>
        <v/>
      </c>
      <c r="J9" s="263" t="str">
        <f>'Tæng kÕt Tm '!AD11</f>
        <v/>
      </c>
      <c r="K9" s="263" t="str">
        <f>'Tæng kÕt Tm '!AE11</f>
        <v/>
      </c>
      <c r="L9" s="264"/>
      <c r="M9" s="265" t="str">
        <f t="shared" si="0"/>
        <v xml:space="preserve"> </v>
      </c>
      <c r="N9" s="265" t="str">
        <f t="shared" si="1"/>
        <v xml:space="preserve"> </v>
      </c>
      <c r="O9" s="266" t="str">
        <f t="shared" si="2"/>
        <v xml:space="preserve"> </v>
      </c>
      <c r="P9" s="267"/>
    </row>
    <row r="10" spans="1:16" s="64" customFormat="1" ht="21" customHeight="1">
      <c r="A10" s="199" t="s">
        <v>134</v>
      </c>
      <c r="B10" s="263" t="str">
        <f>'Tæng kÕt Tm '!V12</f>
        <v/>
      </c>
      <c r="C10" s="263" t="str">
        <f>'Tæng kÕt Tm '!W12</f>
        <v/>
      </c>
      <c r="D10" s="263" t="str">
        <f>'Tæng kÕt Tm '!X12</f>
        <v/>
      </c>
      <c r="E10" s="263" t="str">
        <f>'Tæng kÕt Tm '!Y12</f>
        <v/>
      </c>
      <c r="F10" s="264" t="str">
        <f>'Tæng kÕt Tm '!Z12</f>
        <v/>
      </c>
      <c r="G10" s="263" t="str">
        <f>'Tæng kÕt Tm '!AA12</f>
        <v/>
      </c>
      <c r="H10" s="263" t="str">
        <f>'Tæng kÕt Tm '!AB12</f>
        <v/>
      </c>
      <c r="I10" s="263" t="str">
        <f>'Tæng kÕt Tm '!AC12</f>
        <v/>
      </c>
      <c r="J10" s="263" t="str">
        <f>'Tæng kÕt Tm '!AD12</f>
        <v/>
      </c>
      <c r="K10" s="263" t="str">
        <f>'Tæng kÕt Tm '!AE12</f>
        <v/>
      </c>
      <c r="L10" s="264"/>
      <c r="M10" s="265" t="str">
        <f t="shared" si="0"/>
        <v xml:space="preserve"> </v>
      </c>
      <c r="N10" s="265" t="str">
        <f t="shared" si="1"/>
        <v xml:space="preserve"> </v>
      </c>
      <c r="O10" s="266" t="str">
        <f t="shared" si="2"/>
        <v xml:space="preserve"> </v>
      </c>
      <c r="P10" s="267"/>
    </row>
    <row r="11" spans="1:16" s="64" customFormat="1" ht="21" customHeight="1">
      <c r="A11" s="199" t="s">
        <v>192</v>
      </c>
      <c r="B11" s="263" t="str">
        <f>'Tæng kÕt Tm '!V13</f>
        <v/>
      </c>
      <c r="C11" s="263" t="str">
        <f>'Tæng kÕt Tm '!W13</f>
        <v/>
      </c>
      <c r="D11" s="263" t="str">
        <f>'Tæng kÕt Tm '!X13</f>
        <v/>
      </c>
      <c r="E11" s="263" t="str">
        <f>'Tæng kÕt Tm '!Y13</f>
        <v/>
      </c>
      <c r="F11" s="264" t="str">
        <f>'Tæng kÕt Tm '!Z13</f>
        <v/>
      </c>
      <c r="G11" s="263" t="str">
        <f>'Tæng kÕt Tm '!AA13</f>
        <v/>
      </c>
      <c r="H11" s="263" t="str">
        <f>'Tæng kÕt Tm '!AB13</f>
        <v/>
      </c>
      <c r="I11" s="263" t="str">
        <f>'Tæng kÕt Tm '!AC13</f>
        <v/>
      </c>
      <c r="J11" s="263" t="str">
        <f>'Tæng kÕt Tm '!AD13</f>
        <v/>
      </c>
      <c r="K11" s="263" t="str">
        <f>'Tæng kÕt Tm '!AE13</f>
        <v/>
      </c>
      <c r="L11" s="264"/>
      <c r="M11" s="265" t="str">
        <f t="shared" si="0"/>
        <v xml:space="preserve"> </v>
      </c>
      <c r="N11" s="265" t="str">
        <f t="shared" si="1"/>
        <v xml:space="preserve"> </v>
      </c>
      <c r="O11" s="266" t="str">
        <f t="shared" si="2"/>
        <v xml:space="preserve"> </v>
      </c>
      <c r="P11" s="267"/>
    </row>
    <row r="12" spans="1:16" s="64" customFormat="1" ht="21" customHeight="1">
      <c r="A12" s="199" t="s">
        <v>135</v>
      </c>
      <c r="B12" s="263" t="str">
        <f>'Tæng kÕt Tm '!V14</f>
        <v/>
      </c>
      <c r="C12" s="263" t="str">
        <f>'Tæng kÕt Tm '!W14</f>
        <v/>
      </c>
      <c r="D12" s="263" t="str">
        <f>'Tæng kÕt Tm '!X14</f>
        <v/>
      </c>
      <c r="E12" s="263" t="str">
        <f>'Tæng kÕt Tm '!Y14</f>
        <v/>
      </c>
      <c r="F12" s="264" t="str">
        <f>'Tæng kÕt Tm '!Z14</f>
        <v/>
      </c>
      <c r="G12" s="263" t="str">
        <f>'Tæng kÕt Tm '!AA14</f>
        <v/>
      </c>
      <c r="H12" s="263" t="str">
        <f>'Tæng kÕt Tm '!AB14</f>
        <v/>
      </c>
      <c r="I12" s="263" t="str">
        <f>'Tæng kÕt Tm '!AC14</f>
        <v/>
      </c>
      <c r="J12" s="263" t="str">
        <f>'Tæng kÕt Tm '!AD14</f>
        <v/>
      </c>
      <c r="K12" s="263" t="str">
        <f>'Tæng kÕt Tm '!AE14</f>
        <v/>
      </c>
      <c r="L12" s="264"/>
      <c r="M12" s="265" t="str">
        <f t="shared" si="0"/>
        <v xml:space="preserve"> </v>
      </c>
      <c r="N12" s="265" t="str">
        <f t="shared" si="1"/>
        <v xml:space="preserve"> </v>
      </c>
      <c r="O12" s="266" t="str">
        <f t="shared" si="2"/>
        <v xml:space="preserve"> </v>
      </c>
      <c r="P12" s="267"/>
    </row>
    <row r="13" spans="1:16" s="64" customFormat="1" ht="21" customHeight="1">
      <c r="A13" s="199" t="s">
        <v>136</v>
      </c>
      <c r="B13" s="263" t="str">
        <f>'Tæng kÕt Tm '!V15</f>
        <v/>
      </c>
      <c r="C13" s="263" t="str">
        <f>'Tæng kÕt Tm '!W15</f>
        <v/>
      </c>
      <c r="D13" s="263" t="str">
        <f>'Tæng kÕt Tm '!X15</f>
        <v/>
      </c>
      <c r="E13" s="263" t="str">
        <f>'Tæng kÕt Tm '!Y15</f>
        <v/>
      </c>
      <c r="F13" s="264" t="str">
        <f>'Tæng kÕt Tm '!Z15</f>
        <v/>
      </c>
      <c r="G13" s="263" t="str">
        <f>'Tæng kÕt Tm '!AA15</f>
        <v/>
      </c>
      <c r="H13" s="263" t="str">
        <f>'Tæng kÕt Tm '!AB15</f>
        <v/>
      </c>
      <c r="I13" s="263" t="str">
        <f>'Tæng kÕt Tm '!AC15</f>
        <v/>
      </c>
      <c r="J13" s="263" t="str">
        <f>'Tæng kÕt Tm '!AD15</f>
        <v/>
      </c>
      <c r="K13" s="263" t="str">
        <f>'Tæng kÕt Tm '!AE15</f>
        <v/>
      </c>
      <c r="L13" s="264"/>
      <c r="M13" s="265" t="str">
        <f t="shared" si="0"/>
        <v xml:space="preserve"> </v>
      </c>
      <c r="N13" s="265" t="str">
        <f t="shared" si="1"/>
        <v xml:space="preserve"> </v>
      </c>
      <c r="O13" s="266" t="str">
        <f t="shared" si="2"/>
        <v xml:space="preserve"> </v>
      </c>
      <c r="P13" s="267"/>
    </row>
    <row r="14" spans="1:16" s="64" customFormat="1" ht="21" customHeight="1">
      <c r="A14" s="200" t="s">
        <v>137</v>
      </c>
      <c r="B14" s="263" t="str">
        <f>'Tæng kÕt Tm '!V16</f>
        <v/>
      </c>
      <c r="C14" s="263" t="str">
        <f>'Tæng kÕt Tm '!W16</f>
        <v/>
      </c>
      <c r="D14" s="263" t="str">
        <f>'Tæng kÕt Tm '!X16</f>
        <v/>
      </c>
      <c r="E14" s="263" t="str">
        <f>'Tæng kÕt Tm '!Y16</f>
        <v/>
      </c>
      <c r="F14" s="264" t="str">
        <f>'Tæng kÕt Tm '!Z16</f>
        <v/>
      </c>
      <c r="G14" s="263" t="str">
        <f>'Tæng kÕt Tm '!AA16</f>
        <v/>
      </c>
      <c r="H14" s="263" t="str">
        <f>'Tæng kÕt Tm '!AB16</f>
        <v/>
      </c>
      <c r="I14" s="263" t="str">
        <f>'Tæng kÕt Tm '!AC16</f>
        <v/>
      </c>
      <c r="J14" s="263" t="str">
        <f>'Tæng kÕt Tm '!AD16</f>
        <v/>
      </c>
      <c r="K14" s="263" t="str">
        <f>'Tæng kÕt Tm '!AE16</f>
        <v/>
      </c>
      <c r="L14" s="264"/>
      <c r="M14" s="265" t="str">
        <f t="shared" si="0"/>
        <v xml:space="preserve"> </v>
      </c>
      <c r="N14" s="265" t="str">
        <f t="shared" si="1"/>
        <v xml:space="preserve"> </v>
      </c>
      <c r="O14" s="266" t="str">
        <f t="shared" si="2"/>
        <v xml:space="preserve"> </v>
      </c>
      <c r="P14" s="267"/>
    </row>
    <row r="15" spans="1:16" s="64" customFormat="1" ht="21" customHeight="1">
      <c r="A15" s="199" t="s">
        <v>138</v>
      </c>
      <c r="B15" s="263" t="str">
        <f>'Tæng kÕt Tm '!V17</f>
        <v/>
      </c>
      <c r="C15" s="263" t="str">
        <f>'Tæng kÕt Tm '!W17</f>
        <v/>
      </c>
      <c r="D15" s="263" t="str">
        <f>'Tæng kÕt Tm '!X17</f>
        <v/>
      </c>
      <c r="E15" s="263" t="str">
        <f>'Tæng kÕt Tm '!Y17</f>
        <v/>
      </c>
      <c r="F15" s="264" t="str">
        <f>'Tæng kÕt Tm '!Z17</f>
        <v/>
      </c>
      <c r="G15" s="263" t="str">
        <f>'Tæng kÕt Tm '!AA17</f>
        <v/>
      </c>
      <c r="H15" s="263" t="str">
        <f>'Tæng kÕt Tm '!AB17</f>
        <v/>
      </c>
      <c r="I15" s="263" t="str">
        <f>'Tæng kÕt Tm '!AC17</f>
        <v/>
      </c>
      <c r="J15" s="263" t="str">
        <f>'Tæng kÕt Tm '!AD17</f>
        <v/>
      </c>
      <c r="K15" s="263" t="str">
        <f>'Tæng kÕt Tm '!AE17</f>
        <v/>
      </c>
      <c r="L15" s="264"/>
      <c r="M15" s="265" t="str">
        <f t="shared" si="0"/>
        <v xml:space="preserve"> </v>
      </c>
      <c r="N15" s="265" t="str">
        <f t="shared" si="1"/>
        <v xml:space="preserve"> </v>
      </c>
      <c r="O15" s="266" t="str">
        <f t="shared" si="2"/>
        <v xml:space="preserve"> </v>
      </c>
      <c r="P15" s="267"/>
    </row>
    <row r="16" spans="1:16" s="64" customFormat="1" ht="21" customHeight="1">
      <c r="A16" s="200" t="s">
        <v>139</v>
      </c>
      <c r="B16" s="263" t="str">
        <f>'Tæng kÕt Tm '!V18</f>
        <v/>
      </c>
      <c r="C16" s="263" t="str">
        <f>'Tæng kÕt Tm '!W18</f>
        <v/>
      </c>
      <c r="D16" s="263" t="str">
        <f>'Tæng kÕt Tm '!X18</f>
        <v/>
      </c>
      <c r="E16" s="263" t="str">
        <f>'Tæng kÕt Tm '!Y18</f>
        <v/>
      </c>
      <c r="F16" s="264" t="str">
        <f>'Tæng kÕt Tm '!Z18</f>
        <v/>
      </c>
      <c r="G16" s="263" t="str">
        <f>'Tæng kÕt Tm '!AA18</f>
        <v/>
      </c>
      <c r="H16" s="263" t="str">
        <f>'Tæng kÕt Tm '!AB18</f>
        <v/>
      </c>
      <c r="I16" s="263" t="str">
        <f>'Tæng kÕt Tm '!AC18</f>
        <v/>
      </c>
      <c r="J16" s="263" t="str">
        <f>'Tæng kÕt Tm '!AD18</f>
        <v/>
      </c>
      <c r="K16" s="263" t="str">
        <f>'Tæng kÕt Tm '!AE18</f>
        <v/>
      </c>
      <c r="L16" s="264"/>
      <c r="M16" s="265" t="str">
        <f t="shared" si="0"/>
        <v xml:space="preserve"> </v>
      </c>
      <c r="N16" s="265" t="str">
        <f t="shared" si="1"/>
        <v xml:space="preserve"> </v>
      </c>
      <c r="O16" s="266" t="str">
        <f t="shared" si="2"/>
        <v xml:space="preserve"> </v>
      </c>
      <c r="P16" s="267"/>
    </row>
    <row r="17" spans="1:16" s="64" customFormat="1" ht="21" customHeight="1">
      <c r="A17" s="199" t="s">
        <v>140</v>
      </c>
      <c r="B17" s="263" t="str">
        <f>'Tæng kÕt Tm '!V19</f>
        <v/>
      </c>
      <c r="C17" s="263" t="str">
        <f>'Tæng kÕt Tm '!W19</f>
        <v/>
      </c>
      <c r="D17" s="263" t="str">
        <f>'Tæng kÕt Tm '!X19</f>
        <v/>
      </c>
      <c r="E17" s="263" t="str">
        <f>'Tæng kÕt Tm '!Y19</f>
        <v/>
      </c>
      <c r="F17" s="264" t="str">
        <f>'Tæng kÕt Tm '!Z19</f>
        <v/>
      </c>
      <c r="G17" s="263" t="str">
        <f>'Tæng kÕt Tm '!AA19</f>
        <v/>
      </c>
      <c r="H17" s="263" t="str">
        <f>'Tæng kÕt Tm '!AB19</f>
        <v/>
      </c>
      <c r="I17" s="263" t="str">
        <f>'Tæng kÕt Tm '!AC19</f>
        <v/>
      </c>
      <c r="J17" s="263" t="str">
        <f>'Tæng kÕt Tm '!AD19</f>
        <v/>
      </c>
      <c r="K17" s="263" t="str">
        <f>'Tæng kÕt Tm '!AE19</f>
        <v/>
      </c>
      <c r="L17" s="264"/>
      <c r="M17" s="265" t="str">
        <f t="shared" si="0"/>
        <v xml:space="preserve"> </v>
      </c>
      <c r="N17" s="265" t="str">
        <f t="shared" si="1"/>
        <v xml:space="preserve"> </v>
      </c>
      <c r="O17" s="266" t="str">
        <f t="shared" si="2"/>
        <v xml:space="preserve"> </v>
      </c>
      <c r="P17" s="267"/>
    </row>
    <row r="18" spans="1:16" s="64" customFormat="1" ht="21" customHeight="1">
      <c r="A18" s="200" t="s">
        <v>141</v>
      </c>
      <c r="B18" s="263" t="str">
        <f>'Tæng kÕt Tm '!V20</f>
        <v/>
      </c>
      <c r="C18" s="263" t="str">
        <f>'Tæng kÕt Tm '!W20</f>
        <v/>
      </c>
      <c r="D18" s="263" t="str">
        <f>'Tæng kÕt Tm '!X20</f>
        <v/>
      </c>
      <c r="E18" s="263" t="str">
        <f>'Tæng kÕt Tm '!Y20</f>
        <v/>
      </c>
      <c r="F18" s="264" t="str">
        <f>'Tæng kÕt Tm '!Z20</f>
        <v/>
      </c>
      <c r="G18" s="263" t="str">
        <f>'Tæng kÕt Tm '!AA20</f>
        <v/>
      </c>
      <c r="H18" s="263" t="str">
        <f>'Tæng kÕt Tm '!AB20</f>
        <v/>
      </c>
      <c r="I18" s="263" t="str">
        <f>'Tæng kÕt Tm '!AC20</f>
        <v/>
      </c>
      <c r="J18" s="263" t="str">
        <f>'Tæng kÕt Tm '!AD20</f>
        <v/>
      </c>
      <c r="K18" s="263" t="str">
        <f>'Tæng kÕt Tm '!AE20</f>
        <v/>
      </c>
      <c r="L18" s="264"/>
      <c r="M18" s="265" t="str">
        <f t="shared" si="0"/>
        <v xml:space="preserve"> </v>
      </c>
      <c r="N18" s="265" t="str">
        <f t="shared" si="1"/>
        <v xml:space="preserve"> </v>
      </c>
      <c r="O18" s="266" t="str">
        <f t="shared" si="2"/>
        <v xml:space="preserve"> </v>
      </c>
      <c r="P18" s="267"/>
    </row>
    <row r="19" spans="1:16" s="64" customFormat="1" ht="21" customHeight="1">
      <c r="A19" s="199" t="s">
        <v>142</v>
      </c>
      <c r="B19" s="263" t="str">
        <f>'Tæng kÕt Tm '!V21</f>
        <v/>
      </c>
      <c r="C19" s="263" t="str">
        <f>'Tæng kÕt Tm '!W21</f>
        <v/>
      </c>
      <c r="D19" s="263" t="str">
        <f>'Tæng kÕt Tm '!X21</f>
        <v/>
      </c>
      <c r="E19" s="263" t="str">
        <f>'Tæng kÕt Tm '!Y21</f>
        <v/>
      </c>
      <c r="F19" s="264" t="str">
        <f>'Tæng kÕt Tm '!Z21</f>
        <v/>
      </c>
      <c r="G19" s="263" t="str">
        <f>'Tæng kÕt Tm '!AA21</f>
        <v/>
      </c>
      <c r="H19" s="263" t="str">
        <f>'Tæng kÕt Tm '!AB21</f>
        <v/>
      </c>
      <c r="I19" s="263" t="str">
        <f>'Tæng kÕt Tm '!AC21</f>
        <v/>
      </c>
      <c r="J19" s="263" t="str">
        <f>'Tæng kÕt Tm '!AD21</f>
        <v/>
      </c>
      <c r="K19" s="263" t="str">
        <f>'Tæng kÕt Tm '!AE21</f>
        <v/>
      </c>
      <c r="L19" s="264"/>
      <c r="M19" s="265" t="str">
        <f t="shared" si="0"/>
        <v xml:space="preserve"> </v>
      </c>
      <c r="N19" s="265" t="str">
        <f t="shared" si="1"/>
        <v xml:space="preserve"> </v>
      </c>
      <c r="O19" s="266" t="str">
        <f t="shared" si="2"/>
        <v xml:space="preserve"> </v>
      </c>
      <c r="P19" s="267"/>
    </row>
    <row r="20" spans="1:16" s="64" customFormat="1" ht="21" customHeight="1">
      <c r="A20" s="199" t="s">
        <v>143</v>
      </c>
      <c r="B20" s="263" t="str">
        <f>'Tæng kÕt Tm '!V22</f>
        <v/>
      </c>
      <c r="C20" s="263" t="str">
        <f>'Tæng kÕt Tm '!W22</f>
        <v/>
      </c>
      <c r="D20" s="263" t="str">
        <f>'Tæng kÕt Tm '!X22</f>
        <v/>
      </c>
      <c r="E20" s="263" t="str">
        <f>'Tæng kÕt Tm '!Y22</f>
        <v/>
      </c>
      <c r="F20" s="264" t="str">
        <f>'Tæng kÕt Tm '!Z22</f>
        <v/>
      </c>
      <c r="G20" s="263" t="str">
        <f>'Tæng kÕt Tm '!AA22</f>
        <v/>
      </c>
      <c r="H20" s="263" t="str">
        <f>'Tæng kÕt Tm '!AB22</f>
        <v/>
      </c>
      <c r="I20" s="263" t="str">
        <f>'Tæng kÕt Tm '!AC22</f>
        <v/>
      </c>
      <c r="J20" s="263" t="str">
        <f>'Tæng kÕt Tm '!AD22</f>
        <v/>
      </c>
      <c r="K20" s="263" t="str">
        <f>'Tæng kÕt Tm '!AE22</f>
        <v/>
      </c>
      <c r="L20" s="264"/>
      <c r="M20" s="265" t="str">
        <f t="shared" si="0"/>
        <v xml:space="preserve"> </v>
      </c>
      <c r="N20" s="265" t="str">
        <f t="shared" si="1"/>
        <v xml:space="preserve"> </v>
      </c>
      <c r="O20" s="266" t="str">
        <f t="shared" si="2"/>
        <v xml:space="preserve"> </v>
      </c>
      <c r="P20" s="267"/>
    </row>
    <row r="21" spans="1:16" s="64" customFormat="1" ht="21" customHeight="1">
      <c r="A21" s="199" t="s">
        <v>144</v>
      </c>
      <c r="B21" s="263" t="str">
        <f>'Tæng kÕt Tm '!V23</f>
        <v/>
      </c>
      <c r="C21" s="263" t="str">
        <f>'Tæng kÕt Tm '!W23</f>
        <v/>
      </c>
      <c r="D21" s="263" t="str">
        <f>'Tæng kÕt Tm '!X23</f>
        <v/>
      </c>
      <c r="E21" s="263" t="str">
        <f>'Tæng kÕt Tm '!Y23</f>
        <v/>
      </c>
      <c r="F21" s="264" t="str">
        <f>'Tæng kÕt Tm '!Z23</f>
        <v/>
      </c>
      <c r="G21" s="263" t="str">
        <f>'Tæng kÕt Tm '!AA23</f>
        <v/>
      </c>
      <c r="H21" s="263" t="str">
        <f>'Tæng kÕt Tm '!AB23</f>
        <v/>
      </c>
      <c r="I21" s="263" t="str">
        <f>'Tæng kÕt Tm '!AC23</f>
        <v/>
      </c>
      <c r="J21" s="263" t="str">
        <f>'Tæng kÕt Tm '!AD23</f>
        <v/>
      </c>
      <c r="K21" s="263" t="str">
        <f>'Tæng kÕt Tm '!AE23</f>
        <v/>
      </c>
      <c r="L21" s="264"/>
      <c r="M21" s="265" t="str">
        <f t="shared" si="0"/>
        <v xml:space="preserve"> </v>
      </c>
      <c r="N21" s="265" t="str">
        <f t="shared" si="1"/>
        <v xml:space="preserve"> </v>
      </c>
      <c r="O21" s="266" t="str">
        <f t="shared" si="2"/>
        <v xml:space="preserve"> </v>
      </c>
      <c r="P21" s="267"/>
    </row>
    <row r="22" spans="1:16" s="64" customFormat="1" ht="21" customHeight="1">
      <c r="A22" s="199" t="s">
        <v>145</v>
      </c>
      <c r="B22" s="263" t="str">
        <f>'Tæng kÕt Tm '!V24</f>
        <v/>
      </c>
      <c r="C22" s="263" t="str">
        <f>'Tæng kÕt Tm '!W24</f>
        <v/>
      </c>
      <c r="D22" s="263" t="str">
        <f>'Tæng kÕt Tm '!X24</f>
        <v/>
      </c>
      <c r="E22" s="263" t="str">
        <f>'Tæng kÕt Tm '!Y24</f>
        <v/>
      </c>
      <c r="F22" s="264" t="str">
        <f>'Tæng kÕt Tm '!Z24</f>
        <v/>
      </c>
      <c r="G22" s="263" t="str">
        <f>'Tæng kÕt Tm '!AA24</f>
        <v/>
      </c>
      <c r="H22" s="263" t="str">
        <f>'Tæng kÕt Tm '!AB24</f>
        <v/>
      </c>
      <c r="I22" s="263" t="str">
        <f>'Tæng kÕt Tm '!AC24</f>
        <v/>
      </c>
      <c r="J22" s="263" t="str">
        <f>'Tæng kÕt Tm '!AD24</f>
        <v/>
      </c>
      <c r="K22" s="263" t="str">
        <f>'Tæng kÕt Tm '!AE24</f>
        <v/>
      </c>
      <c r="L22" s="264"/>
      <c r="M22" s="265" t="str">
        <f t="shared" si="0"/>
        <v xml:space="preserve"> </v>
      </c>
      <c r="N22" s="265" t="str">
        <f t="shared" si="1"/>
        <v xml:space="preserve"> </v>
      </c>
      <c r="O22" s="266" t="str">
        <f t="shared" si="2"/>
        <v xml:space="preserve"> </v>
      </c>
      <c r="P22" s="267"/>
    </row>
    <row r="23" spans="1:16" s="64" customFormat="1" ht="21" customHeight="1">
      <c r="A23" s="199" t="s">
        <v>146</v>
      </c>
      <c r="B23" s="263" t="str">
        <f>'Tæng kÕt Tm '!V25</f>
        <v/>
      </c>
      <c r="C23" s="263" t="str">
        <f>'Tæng kÕt Tm '!W25</f>
        <v/>
      </c>
      <c r="D23" s="263" t="str">
        <f>'Tæng kÕt Tm '!X25</f>
        <v/>
      </c>
      <c r="E23" s="263" t="str">
        <f>'Tæng kÕt Tm '!Y25</f>
        <v/>
      </c>
      <c r="F23" s="264" t="str">
        <f>'Tæng kÕt Tm '!Z25</f>
        <v/>
      </c>
      <c r="G23" s="263" t="str">
        <f>'Tæng kÕt Tm '!AA25</f>
        <v/>
      </c>
      <c r="H23" s="263" t="str">
        <f>'Tæng kÕt Tm '!AB25</f>
        <v/>
      </c>
      <c r="I23" s="263" t="str">
        <f>'Tæng kÕt Tm '!AC25</f>
        <v/>
      </c>
      <c r="J23" s="263" t="str">
        <f>'Tæng kÕt Tm '!AD25</f>
        <v/>
      </c>
      <c r="K23" s="263" t="str">
        <f>'Tæng kÕt Tm '!AE25</f>
        <v/>
      </c>
      <c r="L23" s="264"/>
      <c r="M23" s="265" t="str">
        <f t="shared" si="0"/>
        <v xml:space="preserve"> </v>
      </c>
      <c r="N23" s="265" t="str">
        <f t="shared" si="1"/>
        <v xml:space="preserve"> </v>
      </c>
      <c r="O23" s="266" t="str">
        <f t="shared" si="2"/>
        <v xml:space="preserve"> </v>
      </c>
      <c r="P23" s="267"/>
    </row>
    <row r="24" spans="1:16" s="64" customFormat="1" ht="21" customHeight="1">
      <c r="A24" s="199" t="s">
        <v>147</v>
      </c>
      <c r="B24" s="263" t="str">
        <f>'Tæng kÕt Tm '!V26</f>
        <v/>
      </c>
      <c r="C24" s="263" t="str">
        <f>'Tæng kÕt Tm '!W26</f>
        <v/>
      </c>
      <c r="D24" s="263" t="str">
        <f>'Tæng kÕt Tm '!X26</f>
        <v/>
      </c>
      <c r="E24" s="263" t="str">
        <f>'Tæng kÕt Tm '!Y26</f>
        <v/>
      </c>
      <c r="F24" s="264" t="str">
        <f>'Tæng kÕt Tm '!Z26</f>
        <v/>
      </c>
      <c r="G24" s="263" t="str">
        <f>'Tæng kÕt Tm '!AA26</f>
        <v/>
      </c>
      <c r="H24" s="263" t="str">
        <f>'Tæng kÕt Tm '!AB26</f>
        <v/>
      </c>
      <c r="I24" s="263" t="str">
        <f>'Tæng kÕt Tm '!AC26</f>
        <v/>
      </c>
      <c r="J24" s="263" t="str">
        <f>'Tæng kÕt Tm '!AD26</f>
        <v/>
      </c>
      <c r="K24" s="263" t="str">
        <f>'Tæng kÕt Tm '!AE26</f>
        <v/>
      </c>
      <c r="L24" s="264"/>
      <c r="M24" s="265" t="str">
        <f t="shared" si="0"/>
        <v xml:space="preserve"> </v>
      </c>
      <c r="N24" s="265" t="str">
        <f t="shared" si="1"/>
        <v xml:space="preserve"> </v>
      </c>
      <c r="O24" s="266" t="str">
        <f t="shared" si="2"/>
        <v xml:space="preserve"> </v>
      </c>
      <c r="P24" s="267"/>
    </row>
    <row r="25" spans="1:16" s="64" customFormat="1" ht="21" customHeight="1">
      <c r="A25" s="302" t="s">
        <v>191</v>
      </c>
      <c r="B25" s="263" t="str">
        <f>'Tæng kÕt Tm '!V27</f>
        <v/>
      </c>
      <c r="C25" s="263" t="str">
        <f>'Tæng kÕt Tm '!W27</f>
        <v/>
      </c>
      <c r="D25" s="263" t="str">
        <f>'Tæng kÕt Tm '!X27</f>
        <v/>
      </c>
      <c r="E25" s="263" t="str">
        <f>'Tæng kÕt Tm '!Y27</f>
        <v/>
      </c>
      <c r="F25" s="264" t="str">
        <f>'Tæng kÕt Tm '!Z27</f>
        <v/>
      </c>
      <c r="G25" s="263" t="str">
        <f>'Tæng kÕt Tm '!AA27</f>
        <v/>
      </c>
      <c r="H25" s="263" t="str">
        <f>'Tæng kÕt Tm '!AB27</f>
        <v/>
      </c>
      <c r="I25" s="263" t="str">
        <f>'Tæng kÕt Tm '!AC27</f>
        <v/>
      </c>
      <c r="J25" s="263" t="str">
        <f>'Tæng kÕt Tm '!AD27</f>
        <v/>
      </c>
      <c r="K25" s="263" t="str">
        <f>'Tæng kÕt Tm '!AE27</f>
        <v/>
      </c>
      <c r="L25" s="264"/>
      <c r="M25" s="265" t="str">
        <f t="shared" si="0"/>
        <v xml:space="preserve"> </v>
      </c>
      <c r="N25" s="265" t="str">
        <f t="shared" si="1"/>
        <v xml:space="preserve"> </v>
      </c>
      <c r="O25" s="266" t="str">
        <f t="shared" si="2"/>
        <v xml:space="preserve"> </v>
      </c>
      <c r="P25" s="267"/>
    </row>
    <row r="26" spans="1:16" s="64" customFormat="1" ht="12.75" customHeight="1" thickBot="1">
      <c r="A26" s="65"/>
      <c r="B26" s="268"/>
      <c r="C26" s="268"/>
      <c r="D26" s="268"/>
      <c r="E26" s="268"/>
      <c r="F26" s="269"/>
      <c r="G26" s="268"/>
      <c r="H26" s="268"/>
      <c r="I26" s="268"/>
      <c r="J26" s="268"/>
      <c r="K26" s="268"/>
      <c r="L26" s="269"/>
      <c r="M26" s="270"/>
      <c r="N26" s="270"/>
      <c r="O26" s="271"/>
      <c r="P26" s="267"/>
    </row>
    <row r="27" spans="1:16" s="64" customFormat="1" ht="13.5" thickTop="1">
      <c r="A27" s="71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66"/>
    </row>
    <row r="28" spans="1:16" s="64" customFormat="1" ht="15">
      <c r="A28" s="71"/>
      <c r="B28" s="73" t="s">
        <v>4</v>
      </c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4">
        <f>MAX(M4:M24)</f>
        <v>0</v>
      </c>
      <c r="N28" s="74">
        <f>MAX(N4:N24)</f>
        <v>0</v>
      </c>
      <c r="O28" s="74">
        <f>MAX(O4:O24)</f>
        <v>0</v>
      </c>
      <c r="P28" s="66"/>
    </row>
    <row r="29" spans="1:16" s="64" customFormat="1" ht="15">
      <c r="A29" s="71"/>
      <c r="B29" s="73" t="s">
        <v>5</v>
      </c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4">
        <f>MIN(M4:M24)</f>
        <v>0</v>
      </c>
      <c r="N29" s="74">
        <f>MIN(N4:N24)</f>
        <v>0</v>
      </c>
      <c r="O29" s="74">
        <f>MIN(O4:O24)</f>
        <v>0</v>
      </c>
      <c r="P29" s="66"/>
    </row>
    <row r="30" spans="1:16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</row>
    <row r="31" spans="1:16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spans="1:16" hidden="1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</row>
    <row r="33" spans="1:15" hidden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</row>
    <row r="34" spans="1:15" hidden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</sheetData>
  <mergeCells count="2">
    <mergeCell ref="A1:O1"/>
    <mergeCell ref="A2:O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S31"/>
  <sheetViews>
    <sheetView showGridLines="0" zoomScale="75" workbookViewId="0">
      <selection activeCell="B5" sqref="B5: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116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162" t="s">
        <v>0</v>
      </c>
      <c r="B3" s="86">
        <v>1</v>
      </c>
      <c r="C3" s="86">
        <v>2</v>
      </c>
      <c r="D3" s="86">
        <v>3</v>
      </c>
      <c r="E3" s="86">
        <v>4</v>
      </c>
      <c r="F3" s="86">
        <v>5</v>
      </c>
      <c r="G3" s="61">
        <v>6</v>
      </c>
      <c r="H3" s="86">
        <v>7</v>
      </c>
      <c r="I3" s="86">
        <v>8</v>
      </c>
      <c r="J3" s="86">
        <v>9</v>
      </c>
      <c r="K3" s="86">
        <v>10</v>
      </c>
      <c r="L3" s="88" t="s">
        <v>9</v>
      </c>
      <c r="M3" s="88" t="s">
        <v>10</v>
      </c>
      <c r="N3" s="87" t="s">
        <v>11</v>
      </c>
    </row>
    <row r="4" spans="1:16" s="64" customFormat="1" ht="21" customHeight="1">
      <c r="A4" s="198" t="s">
        <v>128</v>
      </c>
      <c r="B4" s="277" t="str">
        <f>'Tæng kÕt Tx'!B6</f>
        <v xml:space="preserve"> </v>
      </c>
      <c r="C4" s="277" t="str">
        <f>'Tæng kÕt Tx'!C6</f>
        <v/>
      </c>
      <c r="D4" s="277" t="str">
        <f>'Tæng kÕt Tx'!D6</f>
        <v/>
      </c>
      <c r="E4" s="277" t="str">
        <f>'Tæng kÕt Tx'!E6</f>
        <v/>
      </c>
      <c r="F4" s="278" t="str">
        <f>'Tæng kÕt Tx'!F6</f>
        <v/>
      </c>
      <c r="G4" s="277" t="str">
        <f>'Tæng kÕt Tx'!G6</f>
        <v/>
      </c>
      <c r="H4" s="277" t="str">
        <f>'Tæng kÕt Tx'!H6</f>
        <v/>
      </c>
      <c r="I4" s="277" t="str">
        <f>'Tæng kÕt Tx'!I6</f>
        <v/>
      </c>
      <c r="J4" s="277" t="str">
        <f>'Tæng kÕt Tx'!J6</f>
        <v/>
      </c>
      <c r="K4" s="277" t="str">
        <f>'Tæng kÕt Tx'!K6</f>
        <v/>
      </c>
      <c r="L4" s="285" t="str">
        <f>IF(COUNT(B4:F4)&gt;0,MAX(B4:F4)," ")</f>
        <v xml:space="preserve"> </v>
      </c>
      <c r="M4" s="285" t="str">
        <f>IF(COUNT(G4:K4)&gt;0,MAX(G4:K4)," ")</f>
        <v xml:space="preserve"> </v>
      </c>
      <c r="N4" s="266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77" t="str">
        <f>'Tæng kÕt Tx'!B7</f>
        <v xml:space="preserve"> </v>
      </c>
      <c r="C5" s="277" t="str">
        <f>'Tæng kÕt Tx'!C7</f>
        <v/>
      </c>
      <c r="D5" s="277" t="str">
        <f>'Tæng kÕt Tx'!D7</f>
        <v/>
      </c>
      <c r="E5" s="277" t="str">
        <f>'Tæng kÕt Tx'!E7</f>
        <v/>
      </c>
      <c r="F5" s="278" t="str">
        <f>'Tæng kÕt Tx'!F7</f>
        <v/>
      </c>
      <c r="G5" s="277" t="str">
        <f>'Tæng kÕt Tx'!G7</f>
        <v/>
      </c>
      <c r="H5" s="277" t="str">
        <f>'Tæng kÕt Tx'!H7</f>
        <v/>
      </c>
      <c r="I5" s="277" t="str">
        <f>'Tæng kÕt Tx'!I7</f>
        <v/>
      </c>
      <c r="J5" s="277" t="str">
        <f>'Tæng kÕt Tx'!J7</f>
        <v/>
      </c>
      <c r="K5" s="277" t="str">
        <f>'Tæng kÕt Tx'!K7</f>
        <v/>
      </c>
      <c r="L5" s="285" t="str">
        <f>IF(COUNT(B5:F5)&gt;0,MAX(B5:F5)," ")</f>
        <v xml:space="preserve"> </v>
      </c>
      <c r="M5" s="285" t="str">
        <f>IF(COUNT(G5:K5)&gt;0,MAX(G5:K5)," ")</f>
        <v xml:space="preserve"> </v>
      </c>
      <c r="N5" s="266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77" t="str">
        <f>'Tæng kÕt Tx'!B8</f>
        <v xml:space="preserve"> </v>
      </c>
      <c r="C6" s="277" t="str">
        <f>'Tæng kÕt Tx'!C8</f>
        <v/>
      </c>
      <c r="D6" s="277" t="str">
        <f>'Tæng kÕt Tx'!D8</f>
        <v/>
      </c>
      <c r="E6" s="277" t="str">
        <f>'Tæng kÕt Tx'!E8</f>
        <v/>
      </c>
      <c r="F6" s="278" t="str">
        <f>'Tæng kÕt Tx'!F8</f>
        <v/>
      </c>
      <c r="G6" s="277" t="str">
        <f>'Tæng kÕt Tx'!G8</f>
        <v/>
      </c>
      <c r="H6" s="277" t="str">
        <f>'Tæng kÕt Tx'!H8</f>
        <v/>
      </c>
      <c r="I6" s="277" t="str">
        <f>'Tæng kÕt Tx'!I8</f>
        <v/>
      </c>
      <c r="J6" s="277" t="str">
        <f>'Tæng kÕt Tx'!J8</f>
        <v/>
      </c>
      <c r="K6" s="277" t="str">
        <f>'Tæng kÕt Tx'!K8</f>
        <v/>
      </c>
      <c r="L6" s="285" t="str">
        <f t="shared" ref="L6:L25" si="0">IF(COUNT(B6:F6)&gt;0,MAX(B6:F6)," ")</f>
        <v xml:space="preserve"> </v>
      </c>
      <c r="M6" s="285" t="str">
        <f t="shared" ref="M6:M25" si="1">IF(COUNT(G6:K6)&gt;0,MAX(G6:K6)," ")</f>
        <v xml:space="preserve"> </v>
      </c>
      <c r="N6" s="266" t="str">
        <f t="shared" ref="N6:N25" si="2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77" t="str">
        <f>'Tæng kÕt Tx'!B9</f>
        <v xml:space="preserve"> </v>
      </c>
      <c r="C7" s="277" t="str">
        <f>'Tæng kÕt Tx'!C9</f>
        <v/>
      </c>
      <c r="D7" s="277" t="str">
        <f>'Tæng kÕt Tx'!D9</f>
        <v/>
      </c>
      <c r="E7" s="277" t="str">
        <f>'Tæng kÕt Tx'!E9</f>
        <v/>
      </c>
      <c r="F7" s="278" t="str">
        <f>'Tæng kÕt Tx'!F9</f>
        <v/>
      </c>
      <c r="G7" s="277" t="str">
        <f>'Tæng kÕt Tx'!G9</f>
        <v/>
      </c>
      <c r="H7" s="277" t="str">
        <f>'Tæng kÕt Tx'!H9</f>
        <v/>
      </c>
      <c r="I7" s="277" t="str">
        <f>'Tæng kÕt Tx'!I9</f>
        <v/>
      </c>
      <c r="J7" s="277" t="str">
        <f>'Tæng kÕt Tx'!J9</f>
        <v/>
      </c>
      <c r="K7" s="277" t="str">
        <f>'Tæng kÕt Tx'!K9</f>
        <v/>
      </c>
      <c r="L7" s="285" t="str">
        <f t="shared" si="0"/>
        <v xml:space="preserve"> </v>
      </c>
      <c r="M7" s="285" t="str">
        <f t="shared" si="1"/>
        <v xml:space="preserve"> </v>
      </c>
      <c r="N7" s="266" t="str">
        <f t="shared" si="2"/>
        <v xml:space="preserve"> </v>
      </c>
      <c r="O7" s="267"/>
      <c r="P7" s="267"/>
    </row>
    <row r="8" spans="1:16" s="64" customFormat="1" ht="21" customHeight="1">
      <c r="A8" s="199" t="s">
        <v>132</v>
      </c>
      <c r="B8" s="277" t="str">
        <f>'Tæng kÕt Tx'!B10</f>
        <v xml:space="preserve"> </v>
      </c>
      <c r="C8" s="277" t="str">
        <f>'Tæng kÕt Tx'!C10</f>
        <v/>
      </c>
      <c r="D8" s="277" t="str">
        <f>'Tæng kÕt Tx'!D10</f>
        <v/>
      </c>
      <c r="E8" s="277" t="str">
        <f>'Tæng kÕt Tx'!E10</f>
        <v/>
      </c>
      <c r="F8" s="278" t="str">
        <f>'Tæng kÕt Tx'!F10</f>
        <v/>
      </c>
      <c r="G8" s="277" t="str">
        <f>'Tæng kÕt Tx'!G10</f>
        <v/>
      </c>
      <c r="H8" s="277" t="str">
        <f>'Tæng kÕt Tx'!H10</f>
        <v/>
      </c>
      <c r="I8" s="277" t="str">
        <f>'Tæng kÕt Tx'!I10</f>
        <v/>
      </c>
      <c r="J8" s="277" t="str">
        <f>'Tæng kÕt Tx'!J10</f>
        <v/>
      </c>
      <c r="K8" s="277" t="str">
        <f>'Tæng kÕt Tx'!K10</f>
        <v/>
      </c>
      <c r="L8" s="285" t="str">
        <f t="shared" si="0"/>
        <v xml:space="preserve"> </v>
      </c>
      <c r="M8" s="285" t="str">
        <f t="shared" si="1"/>
        <v xml:space="preserve"> </v>
      </c>
      <c r="N8" s="266" t="str">
        <f t="shared" si="2"/>
        <v xml:space="preserve"> </v>
      </c>
      <c r="O8" s="267"/>
      <c r="P8" s="267"/>
    </row>
    <row r="9" spans="1:16" s="64" customFormat="1" ht="21" customHeight="1">
      <c r="A9" s="199" t="s">
        <v>133</v>
      </c>
      <c r="B9" s="277" t="str">
        <f>'Tæng kÕt Tx'!B11</f>
        <v xml:space="preserve"> </v>
      </c>
      <c r="C9" s="277" t="str">
        <f>'Tæng kÕt Tx'!C11</f>
        <v/>
      </c>
      <c r="D9" s="277" t="str">
        <f>'Tæng kÕt Tx'!D11</f>
        <v/>
      </c>
      <c r="E9" s="277" t="str">
        <f>'Tæng kÕt Tx'!E11</f>
        <v/>
      </c>
      <c r="F9" s="278" t="str">
        <f>'Tæng kÕt Tx'!F11</f>
        <v/>
      </c>
      <c r="G9" s="277" t="str">
        <f>'Tæng kÕt Tx'!G11</f>
        <v/>
      </c>
      <c r="H9" s="277" t="str">
        <f>'Tæng kÕt Tx'!H11</f>
        <v/>
      </c>
      <c r="I9" s="277" t="str">
        <f>'Tæng kÕt Tx'!I11</f>
        <v/>
      </c>
      <c r="J9" s="277" t="str">
        <f>'Tæng kÕt Tx'!J11</f>
        <v/>
      </c>
      <c r="K9" s="277" t="str">
        <f>'Tæng kÕt Tx'!K11</f>
        <v/>
      </c>
      <c r="L9" s="285" t="str">
        <f t="shared" si="0"/>
        <v xml:space="preserve"> </v>
      </c>
      <c r="M9" s="285" t="str">
        <f t="shared" si="1"/>
        <v xml:space="preserve"> </v>
      </c>
      <c r="N9" s="266" t="str">
        <f t="shared" si="2"/>
        <v xml:space="preserve"> </v>
      </c>
      <c r="O9" s="267"/>
      <c r="P9" s="267"/>
    </row>
    <row r="10" spans="1:16" s="64" customFormat="1" ht="21" customHeight="1">
      <c r="A10" s="199" t="s">
        <v>134</v>
      </c>
      <c r="B10" s="277" t="str">
        <f>'Tæng kÕt Tx'!B12</f>
        <v xml:space="preserve"> </v>
      </c>
      <c r="C10" s="277" t="str">
        <f>'Tæng kÕt Tx'!C12</f>
        <v/>
      </c>
      <c r="D10" s="277" t="str">
        <f>'Tæng kÕt Tx'!D12</f>
        <v/>
      </c>
      <c r="E10" s="277" t="str">
        <f>'Tæng kÕt Tx'!E12</f>
        <v/>
      </c>
      <c r="F10" s="278" t="str">
        <f>'Tæng kÕt Tx'!F12</f>
        <v/>
      </c>
      <c r="G10" s="277" t="str">
        <f>'Tæng kÕt Tx'!G12</f>
        <v/>
      </c>
      <c r="H10" s="277" t="str">
        <f>'Tæng kÕt Tx'!H12</f>
        <v/>
      </c>
      <c r="I10" s="277" t="str">
        <f>'Tæng kÕt Tx'!I12</f>
        <v/>
      </c>
      <c r="J10" s="277" t="str">
        <f>'Tæng kÕt Tx'!J12</f>
        <v/>
      </c>
      <c r="K10" s="277" t="str">
        <f>'Tæng kÕt Tx'!K12</f>
        <v/>
      </c>
      <c r="L10" s="285" t="str">
        <f t="shared" si="0"/>
        <v xml:space="preserve"> </v>
      </c>
      <c r="M10" s="285" t="str">
        <f t="shared" si="1"/>
        <v xml:space="preserve"> </v>
      </c>
      <c r="N10" s="266" t="str">
        <f t="shared" si="2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77" t="str">
        <f>'Tæng kÕt Tx'!B13</f>
        <v xml:space="preserve"> </v>
      </c>
      <c r="C11" s="277" t="str">
        <f>'Tæng kÕt Tx'!C13</f>
        <v/>
      </c>
      <c r="D11" s="277" t="str">
        <f>'Tæng kÕt Tx'!D13</f>
        <v/>
      </c>
      <c r="E11" s="277" t="str">
        <f>'Tæng kÕt Tx'!E13</f>
        <v/>
      </c>
      <c r="F11" s="278" t="str">
        <f>'Tæng kÕt Tx'!F13</f>
        <v/>
      </c>
      <c r="G11" s="277" t="str">
        <f>'Tæng kÕt Tx'!G13</f>
        <v/>
      </c>
      <c r="H11" s="277" t="str">
        <f>'Tæng kÕt Tx'!H13</f>
        <v/>
      </c>
      <c r="I11" s="277" t="str">
        <f>'Tæng kÕt Tx'!I13</f>
        <v/>
      </c>
      <c r="J11" s="277" t="str">
        <f>'Tæng kÕt Tx'!J13</f>
        <v/>
      </c>
      <c r="K11" s="277" t="str">
        <f>'Tæng kÕt Tx'!K13</f>
        <v/>
      </c>
      <c r="L11" s="285" t="str">
        <f t="shared" si="0"/>
        <v xml:space="preserve"> </v>
      </c>
      <c r="M11" s="285" t="str">
        <f t="shared" si="1"/>
        <v xml:space="preserve"> </v>
      </c>
      <c r="N11" s="266" t="str">
        <f t="shared" si="2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77" t="str">
        <f>'Tæng kÕt Tx'!B14</f>
        <v xml:space="preserve"> </v>
      </c>
      <c r="C12" s="277" t="str">
        <f>'Tæng kÕt Tx'!C14</f>
        <v/>
      </c>
      <c r="D12" s="277" t="str">
        <f>'Tæng kÕt Tx'!D14</f>
        <v/>
      </c>
      <c r="E12" s="277" t="str">
        <f>'Tæng kÕt Tx'!E14</f>
        <v/>
      </c>
      <c r="F12" s="278" t="str">
        <f>'Tæng kÕt Tx'!F14</f>
        <v/>
      </c>
      <c r="G12" s="277" t="str">
        <f>'Tæng kÕt Tx'!G14</f>
        <v/>
      </c>
      <c r="H12" s="277" t="str">
        <f>'Tæng kÕt Tx'!H14</f>
        <v/>
      </c>
      <c r="I12" s="277" t="str">
        <f>'Tæng kÕt Tx'!I14</f>
        <v/>
      </c>
      <c r="J12" s="277" t="str">
        <f>'Tæng kÕt Tx'!J14</f>
        <v/>
      </c>
      <c r="K12" s="277" t="str">
        <f>'Tæng kÕt Tx'!K14</f>
        <v/>
      </c>
      <c r="L12" s="285" t="str">
        <f t="shared" si="0"/>
        <v xml:space="preserve"> </v>
      </c>
      <c r="M12" s="285" t="str">
        <f t="shared" si="1"/>
        <v xml:space="preserve"> </v>
      </c>
      <c r="N12" s="266" t="str">
        <f t="shared" si="2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77" t="str">
        <f>'Tæng kÕt Tx'!B15</f>
        <v xml:space="preserve"> </v>
      </c>
      <c r="C13" s="277" t="str">
        <f>'Tæng kÕt Tx'!C15</f>
        <v/>
      </c>
      <c r="D13" s="277" t="str">
        <f>'Tæng kÕt Tx'!D15</f>
        <v/>
      </c>
      <c r="E13" s="277" t="str">
        <f>'Tæng kÕt Tx'!E15</f>
        <v/>
      </c>
      <c r="F13" s="278" t="str">
        <f>'Tæng kÕt Tx'!F15</f>
        <v/>
      </c>
      <c r="G13" s="277" t="str">
        <f>'Tæng kÕt Tx'!G15</f>
        <v/>
      </c>
      <c r="H13" s="277" t="str">
        <f>'Tæng kÕt Tx'!H15</f>
        <v/>
      </c>
      <c r="I13" s="277" t="str">
        <f>'Tæng kÕt Tx'!I15</f>
        <v/>
      </c>
      <c r="J13" s="277" t="str">
        <f>'Tæng kÕt Tx'!J15</f>
        <v/>
      </c>
      <c r="K13" s="277" t="str">
        <f>'Tæng kÕt Tx'!K15</f>
        <v/>
      </c>
      <c r="L13" s="285" t="str">
        <f t="shared" si="0"/>
        <v xml:space="preserve"> </v>
      </c>
      <c r="M13" s="285" t="str">
        <f t="shared" si="1"/>
        <v xml:space="preserve"> </v>
      </c>
      <c r="N13" s="266" t="str">
        <f t="shared" si="2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77" t="str">
        <f>'Tæng kÕt Tx'!B16</f>
        <v xml:space="preserve"> </v>
      </c>
      <c r="C14" s="277" t="str">
        <f>'Tæng kÕt Tx'!C16</f>
        <v/>
      </c>
      <c r="D14" s="277" t="str">
        <f>'Tæng kÕt Tx'!D16</f>
        <v/>
      </c>
      <c r="E14" s="277" t="str">
        <f>'Tæng kÕt Tx'!E16</f>
        <v/>
      </c>
      <c r="F14" s="278" t="str">
        <f>'Tæng kÕt Tx'!F16</f>
        <v/>
      </c>
      <c r="G14" s="277" t="str">
        <f>'Tæng kÕt Tx'!G16</f>
        <v/>
      </c>
      <c r="H14" s="277" t="str">
        <f>'Tæng kÕt Tx'!H16</f>
        <v/>
      </c>
      <c r="I14" s="277" t="str">
        <f>'Tæng kÕt Tx'!I16</f>
        <v/>
      </c>
      <c r="J14" s="277" t="str">
        <f>'Tæng kÕt Tx'!J16</f>
        <v/>
      </c>
      <c r="K14" s="277" t="str">
        <f>'Tæng kÕt Tx'!K16</f>
        <v/>
      </c>
      <c r="L14" s="285" t="str">
        <f t="shared" si="0"/>
        <v xml:space="preserve"> </v>
      </c>
      <c r="M14" s="285" t="str">
        <f t="shared" si="1"/>
        <v xml:space="preserve"> </v>
      </c>
      <c r="N14" s="266" t="str">
        <f t="shared" si="2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77" t="str">
        <f>'Tæng kÕt Tx'!B17</f>
        <v xml:space="preserve"> </v>
      </c>
      <c r="C15" s="277" t="str">
        <f>'Tæng kÕt Tx'!C17</f>
        <v/>
      </c>
      <c r="D15" s="277" t="str">
        <f>'Tæng kÕt Tx'!D17</f>
        <v/>
      </c>
      <c r="E15" s="277" t="str">
        <f>'Tæng kÕt Tx'!E17</f>
        <v/>
      </c>
      <c r="F15" s="278" t="str">
        <f>'Tæng kÕt Tx'!F17</f>
        <v/>
      </c>
      <c r="G15" s="277" t="str">
        <f>'Tæng kÕt Tx'!G17</f>
        <v/>
      </c>
      <c r="H15" s="277" t="str">
        <f>'Tæng kÕt Tx'!H17</f>
        <v/>
      </c>
      <c r="I15" s="277" t="str">
        <f>'Tæng kÕt Tx'!I17</f>
        <v/>
      </c>
      <c r="J15" s="277" t="str">
        <f>'Tæng kÕt Tx'!J17</f>
        <v/>
      </c>
      <c r="K15" s="277" t="str">
        <f>'Tæng kÕt Tx'!K17</f>
        <v/>
      </c>
      <c r="L15" s="285" t="str">
        <f t="shared" si="0"/>
        <v xml:space="preserve"> </v>
      </c>
      <c r="M15" s="285" t="str">
        <f t="shared" si="1"/>
        <v xml:space="preserve"> </v>
      </c>
      <c r="N15" s="266" t="str">
        <f t="shared" si="2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77" t="str">
        <f>'Tæng kÕt Tx'!B18</f>
        <v xml:space="preserve"> </v>
      </c>
      <c r="C16" s="277" t="str">
        <f>'Tæng kÕt Tx'!C18</f>
        <v/>
      </c>
      <c r="D16" s="277" t="str">
        <f>'Tæng kÕt Tx'!D18</f>
        <v/>
      </c>
      <c r="E16" s="277" t="str">
        <f>'Tæng kÕt Tx'!E18</f>
        <v/>
      </c>
      <c r="F16" s="278" t="str">
        <f>'Tæng kÕt Tx'!F18</f>
        <v/>
      </c>
      <c r="G16" s="277" t="str">
        <f>'Tæng kÕt Tx'!G18</f>
        <v/>
      </c>
      <c r="H16" s="277" t="str">
        <f>'Tæng kÕt Tx'!H18</f>
        <v/>
      </c>
      <c r="I16" s="277" t="str">
        <f>'Tæng kÕt Tx'!I18</f>
        <v/>
      </c>
      <c r="J16" s="277" t="str">
        <f>'Tæng kÕt Tx'!J18</f>
        <v/>
      </c>
      <c r="K16" s="277" t="str">
        <f>'Tæng kÕt Tx'!K18</f>
        <v/>
      </c>
      <c r="L16" s="285" t="str">
        <f t="shared" si="0"/>
        <v xml:space="preserve"> </v>
      </c>
      <c r="M16" s="285" t="str">
        <f t="shared" si="1"/>
        <v xml:space="preserve"> </v>
      </c>
      <c r="N16" s="266" t="str">
        <f t="shared" si="2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77" t="str">
        <f>'Tæng kÕt Tx'!B19</f>
        <v xml:space="preserve"> </v>
      </c>
      <c r="C17" s="277" t="str">
        <f>'Tæng kÕt Tx'!C19</f>
        <v/>
      </c>
      <c r="D17" s="277" t="str">
        <f>'Tæng kÕt Tx'!D19</f>
        <v/>
      </c>
      <c r="E17" s="277" t="str">
        <f>'Tæng kÕt Tx'!E19</f>
        <v/>
      </c>
      <c r="F17" s="278" t="str">
        <f>'Tæng kÕt Tx'!F19</f>
        <v/>
      </c>
      <c r="G17" s="277" t="str">
        <f>'Tæng kÕt Tx'!G19</f>
        <v/>
      </c>
      <c r="H17" s="277" t="str">
        <f>'Tæng kÕt Tx'!H19</f>
        <v/>
      </c>
      <c r="I17" s="277" t="str">
        <f>'Tæng kÕt Tx'!I19</f>
        <v/>
      </c>
      <c r="J17" s="277" t="str">
        <f>'Tæng kÕt Tx'!J19</f>
        <v/>
      </c>
      <c r="K17" s="277" t="str">
        <f>'Tæng kÕt Tx'!K19</f>
        <v/>
      </c>
      <c r="L17" s="285" t="str">
        <f t="shared" si="0"/>
        <v xml:space="preserve"> </v>
      </c>
      <c r="M17" s="285" t="str">
        <f t="shared" si="1"/>
        <v xml:space="preserve"> </v>
      </c>
      <c r="N17" s="266" t="str">
        <f t="shared" si="2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77" t="str">
        <f>'Tæng kÕt Tx'!B20</f>
        <v xml:space="preserve"> </v>
      </c>
      <c r="C18" s="277" t="str">
        <f>'Tæng kÕt Tx'!C20</f>
        <v/>
      </c>
      <c r="D18" s="277" t="str">
        <f>'Tæng kÕt Tx'!D20</f>
        <v/>
      </c>
      <c r="E18" s="277" t="str">
        <f>'Tæng kÕt Tx'!E20</f>
        <v/>
      </c>
      <c r="F18" s="278" t="str">
        <f>'Tæng kÕt Tx'!F20</f>
        <v/>
      </c>
      <c r="G18" s="277" t="str">
        <f>'Tæng kÕt Tx'!G20</f>
        <v/>
      </c>
      <c r="H18" s="277" t="str">
        <f>'Tæng kÕt Tx'!H20</f>
        <v/>
      </c>
      <c r="I18" s="277" t="str">
        <f>'Tæng kÕt Tx'!I20</f>
        <v/>
      </c>
      <c r="J18" s="277" t="str">
        <f>'Tæng kÕt Tx'!J20</f>
        <v/>
      </c>
      <c r="K18" s="277" t="str">
        <f>'Tæng kÕt Tx'!K20</f>
        <v/>
      </c>
      <c r="L18" s="285" t="str">
        <f t="shared" si="0"/>
        <v xml:space="preserve"> </v>
      </c>
      <c r="M18" s="285" t="str">
        <f t="shared" si="1"/>
        <v xml:space="preserve"> </v>
      </c>
      <c r="N18" s="266" t="str">
        <f t="shared" si="2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77" t="str">
        <f>'Tæng kÕt Tx'!B21</f>
        <v xml:space="preserve"> </v>
      </c>
      <c r="C19" s="277" t="str">
        <f>'Tæng kÕt Tx'!C21</f>
        <v/>
      </c>
      <c r="D19" s="277" t="str">
        <f>'Tæng kÕt Tx'!D21</f>
        <v/>
      </c>
      <c r="E19" s="277" t="str">
        <f>'Tæng kÕt Tx'!E21</f>
        <v/>
      </c>
      <c r="F19" s="278" t="str">
        <f>'Tæng kÕt Tx'!F21</f>
        <v/>
      </c>
      <c r="G19" s="277" t="str">
        <f>'Tæng kÕt Tx'!G21</f>
        <v/>
      </c>
      <c r="H19" s="277" t="str">
        <f>'Tæng kÕt Tx'!H21</f>
        <v/>
      </c>
      <c r="I19" s="277" t="str">
        <f>'Tæng kÕt Tx'!I21</f>
        <v/>
      </c>
      <c r="J19" s="277" t="str">
        <f>'Tæng kÕt Tx'!J21</f>
        <v/>
      </c>
      <c r="K19" s="277" t="str">
        <f>'Tæng kÕt Tx'!K21</f>
        <v/>
      </c>
      <c r="L19" s="285" t="str">
        <f t="shared" si="0"/>
        <v xml:space="preserve"> </v>
      </c>
      <c r="M19" s="285" t="str">
        <f t="shared" si="1"/>
        <v xml:space="preserve"> </v>
      </c>
      <c r="N19" s="266" t="str">
        <f t="shared" si="2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77" t="str">
        <f>'Tæng kÕt Tx'!B22</f>
        <v xml:space="preserve"> </v>
      </c>
      <c r="C20" s="277" t="str">
        <f>'Tæng kÕt Tx'!C22</f>
        <v/>
      </c>
      <c r="D20" s="277" t="str">
        <f>'Tæng kÕt Tx'!D22</f>
        <v/>
      </c>
      <c r="E20" s="277" t="str">
        <f>'Tæng kÕt Tx'!E22</f>
        <v/>
      </c>
      <c r="F20" s="278" t="str">
        <f>'Tæng kÕt Tx'!F22</f>
        <v/>
      </c>
      <c r="G20" s="277" t="str">
        <f>'Tæng kÕt Tx'!G22</f>
        <v/>
      </c>
      <c r="H20" s="277" t="str">
        <f>'Tæng kÕt Tx'!H22</f>
        <v/>
      </c>
      <c r="I20" s="277" t="str">
        <f>'Tæng kÕt Tx'!I22</f>
        <v/>
      </c>
      <c r="J20" s="277" t="str">
        <f>'Tæng kÕt Tx'!J22</f>
        <v/>
      </c>
      <c r="K20" s="277" t="str">
        <f>'Tæng kÕt Tx'!K22</f>
        <v/>
      </c>
      <c r="L20" s="285" t="str">
        <f t="shared" si="0"/>
        <v xml:space="preserve"> </v>
      </c>
      <c r="M20" s="285" t="str">
        <f t="shared" si="1"/>
        <v xml:space="preserve"> </v>
      </c>
      <c r="N20" s="266" t="str">
        <f t="shared" si="2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77" t="str">
        <f>'Tæng kÕt Tx'!B23</f>
        <v xml:space="preserve"> </v>
      </c>
      <c r="C21" s="277" t="str">
        <f>'Tæng kÕt Tx'!C23</f>
        <v/>
      </c>
      <c r="D21" s="277" t="str">
        <f>'Tæng kÕt Tx'!D23</f>
        <v/>
      </c>
      <c r="E21" s="277" t="str">
        <f>'Tæng kÕt Tx'!E23</f>
        <v/>
      </c>
      <c r="F21" s="278" t="str">
        <f>'Tæng kÕt Tx'!F23</f>
        <v/>
      </c>
      <c r="G21" s="277" t="str">
        <f>'Tæng kÕt Tx'!G23</f>
        <v/>
      </c>
      <c r="H21" s="277" t="str">
        <f>'Tæng kÕt Tx'!H23</f>
        <v/>
      </c>
      <c r="I21" s="277" t="str">
        <f>'Tæng kÕt Tx'!I23</f>
        <v/>
      </c>
      <c r="J21" s="277" t="str">
        <f>'Tæng kÕt Tx'!J23</f>
        <v/>
      </c>
      <c r="K21" s="277" t="str">
        <f>'Tæng kÕt Tx'!K23</f>
        <v/>
      </c>
      <c r="L21" s="285" t="str">
        <f t="shared" si="0"/>
        <v xml:space="preserve"> </v>
      </c>
      <c r="M21" s="285" t="str">
        <f t="shared" si="1"/>
        <v xml:space="preserve"> </v>
      </c>
      <c r="N21" s="266" t="str">
        <f t="shared" si="2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77" t="str">
        <f>'Tæng kÕt Tx'!B24</f>
        <v xml:space="preserve"> </v>
      </c>
      <c r="C22" s="277" t="str">
        <f>'Tæng kÕt Tx'!C24</f>
        <v/>
      </c>
      <c r="D22" s="277" t="str">
        <f>'Tæng kÕt Tx'!D24</f>
        <v/>
      </c>
      <c r="E22" s="277" t="str">
        <f>'Tæng kÕt Tx'!E24</f>
        <v/>
      </c>
      <c r="F22" s="278" t="str">
        <f>'Tæng kÕt Tx'!F24</f>
        <v/>
      </c>
      <c r="G22" s="277" t="str">
        <f>'Tæng kÕt Tx'!G24</f>
        <v/>
      </c>
      <c r="H22" s="277" t="str">
        <f>'Tæng kÕt Tx'!H24</f>
        <v/>
      </c>
      <c r="I22" s="277" t="str">
        <f>'Tæng kÕt Tx'!I24</f>
        <v/>
      </c>
      <c r="J22" s="277" t="str">
        <f>'Tæng kÕt Tx'!J24</f>
        <v/>
      </c>
      <c r="K22" s="277" t="str">
        <f>'Tæng kÕt Tx'!K24</f>
        <v/>
      </c>
      <c r="L22" s="285" t="str">
        <f t="shared" si="0"/>
        <v xml:space="preserve"> </v>
      </c>
      <c r="M22" s="285" t="str">
        <f t="shared" si="1"/>
        <v xml:space="preserve"> </v>
      </c>
      <c r="N22" s="266" t="str">
        <f t="shared" si="2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77" t="str">
        <f>'Tæng kÕt Tx'!B25</f>
        <v xml:space="preserve"> </v>
      </c>
      <c r="C23" s="277" t="str">
        <f>'Tæng kÕt Tx'!C25</f>
        <v/>
      </c>
      <c r="D23" s="277" t="str">
        <f>'Tæng kÕt Tx'!D25</f>
        <v/>
      </c>
      <c r="E23" s="277" t="str">
        <f>'Tæng kÕt Tx'!E25</f>
        <v/>
      </c>
      <c r="F23" s="278" t="str">
        <f>'Tæng kÕt Tx'!F25</f>
        <v/>
      </c>
      <c r="G23" s="277" t="str">
        <f>'Tæng kÕt Tx'!G25</f>
        <v/>
      </c>
      <c r="H23" s="277" t="str">
        <f>'Tæng kÕt Tx'!H25</f>
        <v/>
      </c>
      <c r="I23" s="277" t="str">
        <f>'Tæng kÕt Tx'!I25</f>
        <v/>
      </c>
      <c r="J23" s="277" t="str">
        <f>'Tæng kÕt Tx'!J25</f>
        <v/>
      </c>
      <c r="K23" s="277" t="str">
        <f>'Tæng kÕt Tx'!K25</f>
        <v/>
      </c>
      <c r="L23" s="285" t="str">
        <f t="shared" si="0"/>
        <v xml:space="preserve"> </v>
      </c>
      <c r="M23" s="285" t="str">
        <f t="shared" si="1"/>
        <v xml:space="preserve"> </v>
      </c>
      <c r="N23" s="266" t="str">
        <f t="shared" si="2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77" t="str">
        <f>'Tæng kÕt Tx'!B26</f>
        <v xml:space="preserve"> </v>
      </c>
      <c r="C24" s="277" t="str">
        <f>'Tæng kÕt Tx'!C26</f>
        <v/>
      </c>
      <c r="D24" s="277" t="str">
        <f>'Tæng kÕt Tx'!D26</f>
        <v/>
      </c>
      <c r="E24" s="277" t="str">
        <f>'Tæng kÕt Tx'!E26</f>
        <v/>
      </c>
      <c r="F24" s="278" t="str">
        <f>'Tæng kÕt Tx'!F26</f>
        <v/>
      </c>
      <c r="G24" s="277" t="str">
        <f>'Tæng kÕt Tx'!G26</f>
        <v/>
      </c>
      <c r="H24" s="277" t="str">
        <f>'Tæng kÕt Tx'!H26</f>
        <v/>
      </c>
      <c r="I24" s="277" t="str">
        <f>'Tæng kÕt Tx'!I26</f>
        <v/>
      </c>
      <c r="J24" s="277" t="str">
        <f>'Tæng kÕt Tx'!J26</f>
        <v/>
      </c>
      <c r="K24" s="277" t="str">
        <f>'Tæng kÕt Tx'!K26</f>
        <v/>
      </c>
      <c r="L24" s="285" t="str">
        <f t="shared" si="0"/>
        <v xml:space="preserve"> </v>
      </c>
      <c r="M24" s="285" t="str">
        <f t="shared" si="1"/>
        <v xml:space="preserve"> </v>
      </c>
      <c r="N24" s="266" t="str">
        <f t="shared" si="2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77" t="str">
        <f>'Tæng kÕt Tx'!B27</f>
        <v xml:space="preserve"> </v>
      </c>
      <c r="C25" s="277" t="str">
        <f>'Tæng kÕt Tx'!C27</f>
        <v/>
      </c>
      <c r="D25" s="277" t="str">
        <f>'Tæng kÕt Tx'!D27</f>
        <v/>
      </c>
      <c r="E25" s="277" t="str">
        <f>'Tæng kÕt Tx'!E27</f>
        <v/>
      </c>
      <c r="F25" s="278" t="str">
        <f>'Tæng kÕt Tx'!F27</f>
        <v/>
      </c>
      <c r="G25" s="277" t="str">
        <f>'Tæng kÕt Tx'!G27</f>
        <v/>
      </c>
      <c r="H25" s="277" t="str">
        <f>'Tæng kÕt Tx'!H27</f>
        <v/>
      </c>
      <c r="I25" s="277" t="str">
        <f>'Tæng kÕt Tx'!I27</f>
        <v/>
      </c>
      <c r="J25" s="277" t="str">
        <f>'Tæng kÕt Tx'!J27</f>
        <v/>
      </c>
      <c r="K25" s="277" t="str">
        <f>'Tæng kÕt Tx'!K27</f>
        <v/>
      </c>
      <c r="L25" s="285" t="str">
        <f t="shared" si="0"/>
        <v xml:space="preserve"> </v>
      </c>
      <c r="M25" s="285" t="str">
        <f t="shared" si="1"/>
        <v xml:space="preserve"> </v>
      </c>
      <c r="N25" s="266" t="str">
        <f t="shared" si="2"/>
        <v xml:space="preserve"> </v>
      </c>
      <c r="O25" s="267"/>
      <c r="P25" s="267"/>
    </row>
    <row r="26" spans="1:16" s="64" customFormat="1" ht="15" customHeight="1" thickBot="1">
      <c r="A26" s="91"/>
      <c r="B26" s="286"/>
      <c r="C26" s="286"/>
      <c r="D26" s="286"/>
      <c r="E26" s="286"/>
      <c r="F26" s="287"/>
      <c r="G26" s="286"/>
      <c r="H26" s="286"/>
      <c r="I26" s="286"/>
      <c r="J26" s="286"/>
      <c r="K26" s="286"/>
      <c r="L26" s="288"/>
      <c r="M26" s="288"/>
      <c r="N26" s="289"/>
      <c r="O26" s="267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80"/>
      <c r="N27" s="84"/>
    </row>
    <row r="28" spans="1:16" s="64" customFormat="1" ht="15">
      <c r="A28" s="66"/>
      <c r="B28" s="67" t="s">
        <v>4</v>
      </c>
      <c r="C28" s="66"/>
      <c r="D28" s="66"/>
      <c r="E28" s="66"/>
      <c r="F28" s="66"/>
      <c r="G28" s="66"/>
      <c r="H28" s="66"/>
      <c r="I28" s="66"/>
      <c r="J28" s="66"/>
      <c r="K28" s="66"/>
      <c r="L28" s="68">
        <f>MAX(L4:L24)</f>
        <v>0</v>
      </c>
      <c r="M28" s="68">
        <f>MAX(M4:M24)</f>
        <v>0</v>
      </c>
      <c r="N28" s="68">
        <f>MAX(N4:N24)</f>
        <v>0</v>
      </c>
    </row>
    <row r="29" spans="1:16" s="64" customFormat="1" ht="15">
      <c r="A29" s="66"/>
      <c r="B29" s="67" t="s">
        <v>5</v>
      </c>
      <c r="C29" s="66"/>
      <c r="D29" s="66"/>
      <c r="E29" s="66"/>
      <c r="F29" s="66"/>
      <c r="G29" s="66"/>
      <c r="H29" s="66"/>
      <c r="I29" s="66"/>
      <c r="J29" s="66"/>
      <c r="K29" s="66"/>
      <c r="L29" s="68">
        <f>MIN(L4:L24)</f>
        <v>0</v>
      </c>
      <c r="M29" s="68">
        <f>MIN(M4:M24)</f>
        <v>0</v>
      </c>
      <c r="N29" s="68">
        <f>MIN(N4:N24)</f>
        <v>0</v>
      </c>
    </row>
    <row r="30" spans="1:16"/>
    <row r="31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S31"/>
  <sheetViews>
    <sheetView showGridLines="0" zoomScale="75" workbookViewId="0">
      <selection activeCell="N25" sqref="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117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60" t="s">
        <v>0</v>
      </c>
      <c r="B3" s="61">
        <v>11</v>
      </c>
      <c r="C3" s="61">
        <v>12</v>
      </c>
      <c r="D3" s="61">
        <v>13</v>
      </c>
      <c r="E3" s="61">
        <v>14</v>
      </c>
      <c r="F3" s="61">
        <v>15</v>
      </c>
      <c r="G3" s="61">
        <v>16</v>
      </c>
      <c r="H3" s="61">
        <v>17</v>
      </c>
      <c r="I3" s="61">
        <v>18</v>
      </c>
      <c r="J3" s="61">
        <v>19</v>
      </c>
      <c r="K3" s="61">
        <v>20</v>
      </c>
      <c r="L3" s="62" t="s">
        <v>9</v>
      </c>
      <c r="M3" s="62" t="s">
        <v>10</v>
      </c>
      <c r="N3" s="81" t="s">
        <v>17</v>
      </c>
    </row>
    <row r="4" spans="1:16" s="64" customFormat="1" ht="21" customHeight="1">
      <c r="A4" s="198" t="s">
        <v>128</v>
      </c>
      <c r="B4" s="263" t="str">
        <f>'Tæng kÕt Tx'!L6</f>
        <v/>
      </c>
      <c r="C4" s="263" t="str">
        <f>'Tæng kÕt Tx'!M6</f>
        <v/>
      </c>
      <c r="D4" s="263" t="str">
        <f>'Tæng kÕt Tx'!N6</f>
        <v/>
      </c>
      <c r="E4" s="263" t="str">
        <f>'Tæng kÕt Tx'!O6</f>
        <v/>
      </c>
      <c r="F4" s="264" t="str">
        <f>'Tæng kÕt Tx'!P6</f>
        <v/>
      </c>
      <c r="G4" s="263" t="str">
        <f>'Tæng kÕt Tx'!Q6</f>
        <v/>
      </c>
      <c r="H4" s="263" t="str">
        <f>'Tæng kÕt Tx'!R6</f>
        <v/>
      </c>
      <c r="I4" s="263" t="str">
        <f>'Tæng kÕt Tx'!S6</f>
        <v/>
      </c>
      <c r="J4" s="263" t="str">
        <f>'Tæng kÕt Tx'!T6</f>
        <v/>
      </c>
      <c r="K4" s="264" t="str">
        <f>'Tæng kÕt Tx'!U6</f>
        <v/>
      </c>
      <c r="L4" s="265" t="str">
        <f>IF(COUNT(B4:F4)&gt;0,MAX(B4:F4)," ")</f>
        <v xml:space="preserve"> </v>
      </c>
      <c r="M4" s="265" t="str">
        <f>IF(COUNT(G4:K4)&gt;0,MAX(G4:K4)," ")</f>
        <v xml:space="preserve"> </v>
      </c>
      <c r="N4" s="266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63" t="str">
        <f>'Tæng kÕt Tx'!L7</f>
        <v/>
      </c>
      <c r="C5" s="263" t="str">
        <f>'Tæng kÕt Tx'!M7</f>
        <v/>
      </c>
      <c r="D5" s="263" t="str">
        <f>'Tæng kÕt Tx'!N7</f>
        <v/>
      </c>
      <c r="E5" s="263" t="str">
        <f>'Tæng kÕt Tx'!O7</f>
        <v/>
      </c>
      <c r="F5" s="264" t="str">
        <f>'Tæng kÕt Tx'!P7</f>
        <v/>
      </c>
      <c r="G5" s="263" t="str">
        <f>'Tæng kÕt Tx'!Q7</f>
        <v/>
      </c>
      <c r="H5" s="263" t="str">
        <f>'Tæng kÕt Tx'!R7</f>
        <v/>
      </c>
      <c r="I5" s="263" t="str">
        <f>'Tæng kÕt Tx'!S7</f>
        <v/>
      </c>
      <c r="J5" s="263" t="str">
        <f>'Tæng kÕt Tx'!T7</f>
        <v/>
      </c>
      <c r="K5" s="264" t="str">
        <f>'Tæng kÕt Tx'!U7</f>
        <v/>
      </c>
      <c r="L5" s="265" t="str">
        <f>IF(COUNT(B5:F5)&gt;0,MAX(B5:F5)," ")</f>
        <v xml:space="preserve"> </v>
      </c>
      <c r="M5" s="265" t="str">
        <f>IF(COUNT(G5:K5)&gt;0,MAX(G5:K5)," ")</f>
        <v xml:space="preserve"> </v>
      </c>
      <c r="N5" s="266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63" t="str">
        <f>'Tæng kÕt Tx'!L8</f>
        <v/>
      </c>
      <c r="C6" s="263" t="str">
        <f>'Tæng kÕt Tx'!M8</f>
        <v/>
      </c>
      <c r="D6" s="263" t="str">
        <f>'Tæng kÕt Tx'!N8</f>
        <v/>
      </c>
      <c r="E6" s="263" t="str">
        <f>'Tæng kÕt Tx'!O8</f>
        <v/>
      </c>
      <c r="F6" s="264" t="str">
        <f>'Tæng kÕt Tx'!P8</f>
        <v/>
      </c>
      <c r="G6" s="263" t="str">
        <f>'Tæng kÕt Tx'!Q8</f>
        <v/>
      </c>
      <c r="H6" s="263" t="str">
        <f>'Tæng kÕt Tx'!R8</f>
        <v/>
      </c>
      <c r="I6" s="263" t="str">
        <f>'Tæng kÕt Tx'!S8</f>
        <v/>
      </c>
      <c r="J6" s="263" t="str">
        <f>'Tæng kÕt Tx'!T8</f>
        <v/>
      </c>
      <c r="K6" s="264" t="str">
        <f>'Tæng kÕt Tx'!U8</f>
        <v/>
      </c>
      <c r="L6" s="265" t="str">
        <f t="shared" ref="L6:L25" si="0">IF(COUNT(B6:F6)&gt;0,MAX(B6:F6)," ")</f>
        <v xml:space="preserve"> </v>
      </c>
      <c r="M6" s="265" t="str">
        <f t="shared" ref="M6:M25" si="1">IF(COUNT(G6:K6)&gt;0,MAX(G6:K6)," ")</f>
        <v xml:space="preserve"> </v>
      </c>
      <c r="N6" s="266" t="str">
        <f t="shared" ref="N6:N25" si="2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63" t="str">
        <f>'Tæng kÕt Tx'!L9</f>
        <v/>
      </c>
      <c r="C7" s="263" t="str">
        <f>'Tæng kÕt Tx'!M9</f>
        <v/>
      </c>
      <c r="D7" s="263" t="str">
        <f>'Tæng kÕt Tx'!N9</f>
        <v/>
      </c>
      <c r="E7" s="263" t="str">
        <f>'Tæng kÕt Tx'!O9</f>
        <v/>
      </c>
      <c r="F7" s="264" t="str">
        <f>'Tæng kÕt Tx'!P9</f>
        <v/>
      </c>
      <c r="G7" s="263" t="str">
        <f>'Tæng kÕt Tx'!Q9</f>
        <v/>
      </c>
      <c r="H7" s="263" t="str">
        <f>'Tæng kÕt Tx'!R9</f>
        <v/>
      </c>
      <c r="I7" s="263" t="str">
        <f>'Tæng kÕt Tx'!S9</f>
        <v/>
      </c>
      <c r="J7" s="263" t="str">
        <f>'Tæng kÕt Tx'!T9</f>
        <v/>
      </c>
      <c r="K7" s="264" t="str">
        <f>'Tæng kÕt Tx'!U9</f>
        <v/>
      </c>
      <c r="L7" s="265" t="str">
        <f t="shared" si="0"/>
        <v xml:space="preserve"> </v>
      </c>
      <c r="M7" s="265" t="str">
        <f t="shared" si="1"/>
        <v xml:space="preserve"> </v>
      </c>
      <c r="N7" s="266" t="str">
        <f t="shared" si="2"/>
        <v xml:space="preserve"> </v>
      </c>
      <c r="O7" s="267"/>
      <c r="P7" s="267"/>
    </row>
    <row r="8" spans="1:16" s="64" customFormat="1" ht="21" customHeight="1">
      <c r="A8" s="199" t="s">
        <v>132</v>
      </c>
      <c r="B8" s="263" t="str">
        <f>'Tæng kÕt Tx'!L10</f>
        <v/>
      </c>
      <c r="C8" s="263" t="str">
        <f>'Tæng kÕt Tx'!M10</f>
        <v/>
      </c>
      <c r="D8" s="263" t="str">
        <f>'Tæng kÕt Tx'!N10</f>
        <v/>
      </c>
      <c r="E8" s="263" t="str">
        <f>'Tæng kÕt Tx'!O10</f>
        <v/>
      </c>
      <c r="F8" s="264" t="str">
        <f>'Tæng kÕt Tx'!P10</f>
        <v/>
      </c>
      <c r="G8" s="263" t="str">
        <f>'Tæng kÕt Tx'!Q10</f>
        <v/>
      </c>
      <c r="H8" s="263" t="str">
        <f>'Tæng kÕt Tx'!R10</f>
        <v/>
      </c>
      <c r="I8" s="263" t="str">
        <f>'Tæng kÕt Tx'!S10</f>
        <v/>
      </c>
      <c r="J8" s="263" t="str">
        <f>'Tæng kÕt Tx'!T10</f>
        <v/>
      </c>
      <c r="K8" s="264" t="str">
        <f>'Tæng kÕt Tx'!U10</f>
        <v/>
      </c>
      <c r="L8" s="265" t="str">
        <f t="shared" si="0"/>
        <v xml:space="preserve"> </v>
      </c>
      <c r="M8" s="265" t="str">
        <f t="shared" si="1"/>
        <v xml:space="preserve"> </v>
      </c>
      <c r="N8" s="266" t="str">
        <f t="shared" si="2"/>
        <v xml:space="preserve"> </v>
      </c>
      <c r="O8" s="267"/>
      <c r="P8" s="267"/>
    </row>
    <row r="9" spans="1:16" s="64" customFormat="1" ht="21" customHeight="1">
      <c r="A9" s="199" t="s">
        <v>133</v>
      </c>
      <c r="B9" s="263" t="str">
        <f>'Tæng kÕt Tx'!L11</f>
        <v/>
      </c>
      <c r="C9" s="263" t="str">
        <f>'Tæng kÕt Tx'!M11</f>
        <v/>
      </c>
      <c r="D9" s="263" t="str">
        <f>'Tæng kÕt Tx'!N11</f>
        <v/>
      </c>
      <c r="E9" s="263" t="str">
        <f>'Tæng kÕt Tx'!O11</f>
        <v/>
      </c>
      <c r="F9" s="264" t="str">
        <f>'Tæng kÕt Tx'!P11</f>
        <v/>
      </c>
      <c r="G9" s="263" t="str">
        <f>'Tæng kÕt Tx'!Q11</f>
        <v/>
      </c>
      <c r="H9" s="263" t="str">
        <f>'Tæng kÕt Tx'!R11</f>
        <v/>
      </c>
      <c r="I9" s="263" t="str">
        <f>'Tæng kÕt Tx'!S11</f>
        <v/>
      </c>
      <c r="J9" s="263" t="str">
        <f>'Tæng kÕt Tx'!T11</f>
        <v/>
      </c>
      <c r="K9" s="264" t="str">
        <f>'Tæng kÕt Tx'!U11</f>
        <v/>
      </c>
      <c r="L9" s="265" t="str">
        <f t="shared" si="0"/>
        <v xml:space="preserve"> </v>
      </c>
      <c r="M9" s="265" t="str">
        <f t="shared" si="1"/>
        <v xml:space="preserve"> </v>
      </c>
      <c r="N9" s="266" t="str">
        <f t="shared" si="2"/>
        <v xml:space="preserve"> </v>
      </c>
      <c r="O9" s="267"/>
      <c r="P9" s="267"/>
    </row>
    <row r="10" spans="1:16" s="64" customFormat="1" ht="21" customHeight="1">
      <c r="A10" s="199" t="s">
        <v>134</v>
      </c>
      <c r="B10" s="263" t="str">
        <f>'Tæng kÕt Tx'!L12</f>
        <v/>
      </c>
      <c r="C10" s="263" t="str">
        <f>'Tæng kÕt Tx'!M12</f>
        <v/>
      </c>
      <c r="D10" s="263" t="str">
        <f>'Tæng kÕt Tx'!N12</f>
        <v/>
      </c>
      <c r="E10" s="263" t="str">
        <f>'Tæng kÕt Tx'!O12</f>
        <v/>
      </c>
      <c r="F10" s="264" t="str">
        <f>'Tæng kÕt Tx'!P12</f>
        <v/>
      </c>
      <c r="G10" s="263" t="str">
        <f>'Tæng kÕt Tx'!Q12</f>
        <v/>
      </c>
      <c r="H10" s="263" t="str">
        <f>'Tæng kÕt Tx'!R12</f>
        <v/>
      </c>
      <c r="I10" s="263" t="str">
        <f>'Tæng kÕt Tx'!S12</f>
        <v/>
      </c>
      <c r="J10" s="263" t="str">
        <f>'Tæng kÕt Tx'!T12</f>
        <v/>
      </c>
      <c r="K10" s="264" t="str">
        <f>'Tæng kÕt Tx'!U12</f>
        <v/>
      </c>
      <c r="L10" s="265" t="str">
        <f t="shared" si="0"/>
        <v xml:space="preserve"> </v>
      </c>
      <c r="M10" s="265" t="str">
        <f t="shared" si="1"/>
        <v xml:space="preserve"> </v>
      </c>
      <c r="N10" s="266" t="str">
        <f t="shared" si="2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63" t="str">
        <f>'Tæng kÕt Tx'!L13</f>
        <v/>
      </c>
      <c r="C11" s="263" t="str">
        <f>'Tæng kÕt Tx'!M13</f>
        <v/>
      </c>
      <c r="D11" s="263" t="str">
        <f>'Tæng kÕt Tx'!N13</f>
        <v/>
      </c>
      <c r="E11" s="263" t="str">
        <f>'Tæng kÕt Tx'!O13</f>
        <v/>
      </c>
      <c r="F11" s="264" t="str">
        <f>'Tæng kÕt Tx'!P13</f>
        <v/>
      </c>
      <c r="G11" s="263" t="str">
        <f>'Tæng kÕt Tx'!Q13</f>
        <v/>
      </c>
      <c r="H11" s="263" t="str">
        <f>'Tæng kÕt Tx'!R13</f>
        <v/>
      </c>
      <c r="I11" s="263" t="str">
        <f>'Tæng kÕt Tx'!S13</f>
        <v/>
      </c>
      <c r="J11" s="263" t="str">
        <f>'Tæng kÕt Tx'!T13</f>
        <v/>
      </c>
      <c r="K11" s="264" t="str">
        <f>'Tæng kÕt Tx'!U13</f>
        <v/>
      </c>
      <c r="L11" s="265" t="str">
        <f t="shared" si="0"/>
        <v xml:space="preserve"> </v>
      </c>
      <c r="M11" s="265" t="str">
        <f t="shared" si="1"/>
        <v xml:space="preserve"> </v>
      </c>
      <c r="N11" s="266" t="str">
        <f t="shared" si="2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63" t="str">
        <f>'Tæng kÕt Tx'!L14</f>
        <v/>
      </c>
      <c r="C12" s="263" t="str">
        <f>'Tæng kÕt Tx'!M14</f>
        <v/>
      </c>
      <c r="D12" s="263" t="str">
        <f>'Tæng kÕt Tx'!N14</f>
        <v/>
      </c>
      <c r="E12" s="263" t="str">
        <f>'Tæng kÕt Tx'!O14</f>
        <v/>
      </c>
      <c r="F12" s="264" t="str">
        <f>'Tæng kÕt Tx'!P14</f>
        <v/>
      </c>
      <c r="G12" s="263" t="str">
        <f>'Tæng kÕt Tx'!Q14</f>
        <v/>
      </c>
      <c r="H12" s="263" t="str">
        <f>'Tæng kÕt Tx'!R14</f>
        <v/>
      </c>
      <c r="I12" s="263" t="str">
        <f>'Tæng kÕt Tx'!S14</f>
        <v/>
      </c>
      <c r="J12" s="263" t="str">
        <f>'Tæng kÕt Tx'!T14</f>
        <v/>
      </c>
      <c r="K12" s="264" t="str">
        <f>'Tæng kÕt Tx'!U14</f>
        <v/>
      </c>
      <c r="L12" s="265" t="str">
        <f t="shared" si="0"/>
        <v xml:space="preserve"> </v>
      </c>
      <c r="M12" s="265" t="str">
        <f t="shared" si="1"/>
        <v xml:space="preserve"> </v>
      </c>
      <c r="N12" s="266" t="str">
        <f t="shared" si="2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63" t="str">
        <f>'Tæng kÕt Tx'!L15</f>
        <v/>
      </c>
      <c r="C13" s="263" t="str">
        <f>'Tæng kÕt Tx'!M15</f>
        <v/>
      </c>
      <c r="D13" s="263" t="str">
        <f>'Tæng kÕt Tx'!N15</f>
        <v/>
      </c>
      <c r="E13" s="263" t="str">
        <f>'Tæng kÕt Tx'!O15</f>
        <v/>
      </c>
      <c r="F13" s="264" t="str">
        <f>'Tæng kÕt Tx'!P15</f>
        <v/>
      </c>
      <c r="G13" s="263" t="str">
        <f>'Tæng kÕt Tx'!Q15</f>
        <v/>
      </c>
      <c r="H13" s="263" t="str">
        <f>'Tæng kÕt Tx'!R15</f>
        <v/>
      </c>
      <c r="I13" s="263" t="str">
        <f>'Tæng kÕt Tx'!S15</f>
        <v/>
      </c>
      <c r="J13" s="263" t="str">
        <f>'Tæng kÕt Tx'!T15</f>
        <v/>
      </c>
      <c r="K13" s="264" t="str">
        <f>'Tæng kÕt Tx'!U15</f>
        <v/>
      </c>
      <c r="L13" s="265" t="str">
        <f t="shared" si="0"/>
        <v xml:space="preserve"> </v>
      </c>
      <c r="M13" s="265" t="str">
        <f t="shared" si="1"/>
        <v xml:space="preserve"> </v>
      </c>
      <c r="N13" s="266" t="str">
        <f t="shared" si="2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63" t="str">
        <f>'Tæng kÕt Tx'!L16</f>
        <v/>
      </c>
      <c r="C14" s="263" t="str">
        <f>'Tæng kÕt Tx'!M16</f>
        <v/>
      </c>
      <c r="D14" s="263" t="str">
        <f>'Tæng kÕt Tx'!N16</f>
        <v/>
      </c>
      <c r="E14" s="263" t="str">
        <f>'Tæng kÕt Tx'!O16</f>
        <v/>
      </c>
      <c r="F14" s="264" t="str">
        <f>'Tæng kÕt Tx'!P16</f>
        <v/>
      </c>
      <c r="G14" s="263" t="str">
        <f>'Tæng kÕt Tx'!Q16</f>
        <v/>
      </c>
      <c r="H14" s="263" t="str">
        <f>'Tæng kÕt Tx'!R16</f>
        <v/>
      </c>
      <c r="I14" s="263" t="str">
        <f>'Tæng kÕt Tx'!S16</f>
        <v/>
      </c>
      <c r="J14" s="263" t="str">
        <f>'Tæng kÕt Tx'!T16</f>
        <v/>
      </c>
      <c r="K14" s="264" t="str">
        <f>'Tæng kÕt Tx'!U16</f>
        <v/>
      </c>
      <c r="L14" s="265" t="str">
        <f t="shared" si="0"/>
        <v xml:space="preserve"> </v>
      </c>
      <c r="M14" s="265" t="str">
        <f t="shared" si="1"/>
        <v xml:space="preserve"> </v>
      </c>
      <c r="N14" s="266" t="str">
        <f t="shared" si="2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63" t="str">
        <f>'Tæng kÕt Tx'!L17</f>
        <v/>
      </c>
      <c r="C15" s="263" t="str">
        <f>'Tæng kÕt Tx'!M17</f>
        <v/>
      </c>
      <c r="D15" s="263" t="str">
        <f>'Tæng kÕt Tx'!N17</f>
        <v/>
      </c>
      <c r="E15" s="263" t="str">
        <f>'Tæng kÕt Tx'!O17</f>
        <v/>
      </c>
      <c r="F15" s="264" t="str">
        <f>'Tæng kÕt Tx'!P17</f>
        <v/>
      </c>
      <c r="G15" s="263" t="str">
        <f>'Tæng kÕt Tx'!Q17</f>
        <v/>
      </c>
      <c r="H15" s="263" t="str">
        <f>'Tæng kÕt Tx'!R17</f>
        <v/>
      </c>
      <c r="I15" s="263" t="str">
        <f>'Tæng kÕt Tx'!S17</f>
        <v/>
      </c>
      <c r="J15" s="263" t="str">
        <f>'Tæng kÕt Tx'!T17</f>
        <v/>
      </c>
      <c r="K15" s="264" t="str">
        <f>'Tæng kÕt Tx'!U17</f>
        <v/>
      </c>
      <c r="L15" s="265" t="str">
        <f t="shared" si="0"/>
        <v xml:space="preserve"> </v>
      </c>
      <c r="M15" s="265" t="str">
        <f t="shared" si="1"/>
        <v xml:space="preserve"> </v>
      </c>
      <c r="N15" s="266" t="str">
        <f t="shared" si="2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63" t="str">
        <f>'Tæng kÕt Tx'!L18</f>
        <v/>
      </c>
      <c r="C16" s="263" t="str">
        <f>'Tæng kÕt Tx'!M18</f>
        <v/>
      </c>
      <c r="D16" s="263" t="str">
        <f>'Tæng kÕt Tx'!N18</f>
        <v/>
      </c>
      <c r="E16" s="263" t="str">
        <f>'Tæng kÕt Tx'!O18</f>
        <v/>
      </c>
      <c r="F16" s="264" t="str">
        <f>'Tæng kÕt Tx'!P18</f>
        <v/>
      </c>
      <c r="G16" s="263" t="str">
        <f>'Tæng kÕt Tx'!Q18</f>
        <v/>
      </c>
      <c r="H16" s="263" t="str">
        <f>'Tæng kÕt Tx'!R18</f>
        <v/>
      </c>
      <c r="I16" s="263" t="str">
        <f>'Tæng kÕt Tx'!S18</f>
        <v/>
      </c>
      <c r="J16" s="263" t="str">
        <f>'Tæng kÕt Tx'!T18</f>
        <v/>
      </c>
      <c r="K16" s="264" t="str">
        <f>'Tæng kÕt Tx'!U18</f>
        <v/>
      </c>
      <c r="L16" s="265" t="str">
        <f t="shared" si="0"/>
        <v xml:space="preserve"> </v>
      </c>
      <c r="M16" s="265" t="str">
        <f t="shared" si="1"/>
        <v xml:space="preserve"> </v>
      </c>
      <c r="N16" s="266" t="str">
        <f t="shared" si="2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63" t="str">
        <f>'Tæng kÕt Tx'!L19</f>
        <v/>
      </c>
      <c r="C17" s="263" t="str">
        <f>'Tæng kÕt Tx'!M19</f>
        <v/>
      </c>
      <c r="D17" s="263" t="str">
        <f>'Tæng kÕt Tx'!N19</f>
        <v/>
      </c>
      <c r="E17" s="263" t="str">
        <f>'Tæng kÕt Tx'!O19</f>
        <v/>
      </c>
      <c r="F17" s="264" t="str">
        <f>'Tæng kÕt Tx'!P19</f>
        <v/>
      </c>
      <c r="G17" s="263" t="str">
        <f>'Tæng kÕt Tx'!Q19</f>
        <v/>
      </c>
      <c r="H17" s="263" t="str">
        <f>'Tæng kÕt Tx'!R19</f>
        <v/>
      </c>
      <c r="I17" s="263" t="str">
        <f>'Tæng kÕt Tx'!S19</f>
        <v/>
      </c>
      <c r="J17" s="263" t="str">
        <f>'Tæng kÕt Tx'!T19</f>
        <v/>
      </c>
      <c r="K17" s="264" t="str">
        <f>'Tæng kÕt Tx'!U19</f>
        <v/>
      </c>
      <c r="L17" s="265" t="str">
        <f t="shared" si="0"/>
        <v xml:space="preserve"> </v>
      </c>
      <c r="M17" s="265" t="str">
        <f t="shared" si="1"/>
        <v xml:space="preserve"> </v>
      </c>
      <c r="N17" s="266" t="str">
        <f t="shared" si="2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63" t="str">
        <f>'Tæng kÕt Tx'!L20</f>
        <v/>
      </c>
      <c r="C18" s="263" t="str">
        <f>'Tæng kÕt Tx'!M20</f>
        <v/>
      </c>
      <c r="D18" s="263" t="str">
        <f>'Tæng kÕt Tx'!N20</f>
        <v/>
      </c>
      <c r="E18" s="263" t="str">
        <f>'Tæng kÕt Tx'!O20</f>
        <v/>
      </c>
      <c r="F18" s="264" t="str">
        <f>'Tæng kÕt Tx'!P20</f>
        <v/>
      </c>
      <c r="G18" s="263" t="str">
        <f>'Tæng kÕt Tx'!Q20</f>
        <v/>
      </c>
      <c r="H18" s="263" t="str">
        <f>'Tæng kÕt Tx'!R20</f>
        <v/>
      </c>
      <c r="I18" s="263" t="str">
        <f>'Tæng kÕt Tx'!S20</f>
        <v/>
      </c>
      <c r="J18" s="263" t="str">
        <f>'Tæng kÕt Tx'!T20</f>
        <v/>
      </c>
      <c r="K18" s="264" t="str">
        <f>'Tæng kÕt Tx'!U20</f>
        <v/>
      </c>
      <c r="L18" s="265" t="str">
        <f t="shared" si="0"/>
        <v xml:space="preserve"> </v>
      </c>
      <c r="M18" s="265" t="str">
        <f t="shared" si="1"/>
        <v xml:space="preserve"> </v>
      </c>
      <c r="N18" s="266" t="str">
        <f t="shared" si="2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63" t="str">
        <f>'Tæng kÕt Tx'!L21</f>
        <v/>
      </c>
      <c r="C19" s="263" t="str">
        <f>'Tæng kÕt Tx'!M21</f>
        <v/>
      </c>
      <c r="D19" s="263" t="str">
        <f>'Tæng kÕt Tx'!N21</f>
        <v/>
      </c>
      <c r="E19" s="263" t="str">
        <f>'Tæng kÕt Tx'!O21</f>
        <v/>
      </c>
      <c r="F19" s="264" t="str">
        <f>'Tæng kÕt Tx'!P21</f>
        <v/>
      </c>
      <c r="G19" s="263" t="str">
        <f>'Tæng kÕt Tx'!Q21</f>
        <v/>
      </c>
      <c r="H19" s="263" t="str">
        <f>'Tæng kÕt Tx'!R21</f>
        <v/>
      </c>
      <c r="I19" s="263" t="str">
        <f>'Tæng kÕt Tx'!S21</f>
        <v/>
      </c>
      <c r="J19" s="263" t="str">
        <f>'Tæng kÕt Tx'!T21</f>
        <v/>
      </c>
      <c r="K19" s="264" t="str">
        <f>'Tæng kÕt Tx'!U21</f>
        <v/>
      </c>
      <c r="L19" s="265" t="str">
        <f t="shared" si="0"/>
        <v xml:space="preserve"> </v>
      </c>
      <c r="M19" s="265" t="str">
        <f t="shared" si="1"/>
        <v xml:space="preserve"> </v>
      </c>
      <c r="N19" s="266" t="str">
        <f t="shared" si="2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63" t="str">
        <f>'Tæng kÕt Tx'!L22</f>
        <v/>
      </c>
      <c r="C20" s="263" t="str">
        <f>'Tæng kÕt Tx'!M22</f>
        <v/>
      </c>
      <c r="D20" s="263" t="str">
        <f>'Tæng kÕt Tx'!N22</f>
        <v/>
      </c>
      <c r="E20" s="263" t="str">
        <f>'Tæng kÕt Tx'!O22</f>
        <v/>
      </c>
      <c r="F20" s="264" t="str">
        <f>'Tæng kÕt Tx'!P22</f>
        <v/>
      </c>
      <c r="G20" s="263" t="str">
        <f>'Tæng kÕt Tx'!Q22</f>
        <v/>
      </c>
      <c r="H20" s="263" t="str">
        <f>'Tæng kÕt Tx'!R22</f>
        <v/>
      </c>
      <c r="I20" s="263" t="str">
        <f>'Tæng kÕt Tx'!S22</f>
        <v/>
      </c>
      <c r="J20" s="263" t="str">
        <f>'Tæng kÕt Tx'!T22</f>
        <v/>
      </c>
      <c r="K20" s="264" t="str">
        <f>'Tæng kÕt Tx'!U22</f>
        <v/>
      </c>
      <c r="L20" s="265" t="str">
        <f t="shared" si="0"/>
        <v xml:space="preserve"> </v>
      </c>
      <c r="M20" s="265" t="str">
        <f t="shared" si="1"/>
        <v xml:space="preserve"> </v>
      </c>
      <c r="N20" s="266" t="str">
        <f t="shared" si="2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63" t="str">
        <f>'Tæng kÕt Tx'!L23</f>
        <v/>
      </c>
      <c r="C21" s="263" t="str">
        <f>'Tæng kÕt Tx'!M23</f>
        <v/>
      </c>
      <c r="D21" s="263" t="str">
        <f>'Tæng kÕt Tx'!N23</f>
        <v/>
      </c>
      <c r="E21" s="263" t="str">
        <f>'Tæng kÕt Tx'!O23</f>
        <v/>
      </c>
      <c r="F21" s="264" t="str">
        <f>'Tæng kÕt Tx'!P23</f>
        <v/>
      </c>
      <c r="G21" s="263" t="str">
        <f>'Tæng kÕt Tx'!Q23</f>
        <v/>
      </c>
      <c r="H21" s="263" t="str">
        <f>'Tæng kÕt Tx'!R23</f>
        <v/>
      </c>
      <c r="I21" s="263" t="str">
        <f>'Tæng kÕt Tx'!S23</f>
        <v/>
      </c>
      <c r="J21" s="263" t="str">
        <f>'Tæng kÕt Tx'!T23</f>
        <v/>
      </c>
      <c r="K21" s="264" t="str">
        <f>'Tæng kÕt Tx'!U23</f>
        <v/>
      </c>
      <c r="L21" s="265" t="str">
        <f t="shared" si="0"/>
        <v xml:space="preserve"> </v>
      </c>
      <c r="M21" s="265" t="str">
        <f t="shared" si="1"/>
        <v xml:space="preserve"> </v>
      </c>
      <c r="N21" s="266" t="str">
        <f t="shared" si="2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63" t="str">
        <f>'Tæng kÕt Tx'!L24</f>
        <v/>
      </c>
      <c r="C22" s="263" t="str">
        <f>'Tæng kÕt Tx'!M24</f>
        <v/>
      </c>
      <c r="D22" s="263" t="str">
        <f>'Tæng kÕt Tx'!N24</f>
        <v/>
      </c>
      <c r="E22" s="263" t="str">
        <f>'Tæng kÕt Tx'!O24</f>
        <v/>
      </c>
      <c r="F22" s="264" t="str">
        <f>'Tæng kÕt Tx'!P24</f>
        <v/>
      </c>
      <c r="G22" s="263" t="str">
        <f>'Tæng kÕt Tx'!Q24</f>
        <v/>
      </c>
      <c r="H22" s="263" t="str">
        <f>'Tæng kÕt Tx'!R24</f>
        <v/>
      </c>
      <c r="I22" s="263" t="str">
        <f>'Tæng kÕt Tx'!S24</f>
        <v/>
      </c>
      <c r="J22" s="263" t="str">
        <f>'Tæng kÕt Tx'!T24</f>
        <v/>
      </c>
      <c r="K22" s="264" t="str">
        <f>'Tæng kÕt Tx'!U24</f>
        <v/>
      </c>
      <c r="L22" s="265" t="str">
        <f t="shared" si="0"/>
        <v xml:space="preserve"> </v>
      </c>
      <c r="M22" s="265" t="str">
        <f t="shared" si="1"/>
        <v xml:space="preserve"> </v>
      </c>
      <c r="N22" s="266" t="str">
        <f t="shared" si="2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63" t="str">
        <f>'Tæng kÕt Tx'!L25</f>
        <v/>
      </c>
      <c r="C23" s="263" t="str">
        <f>'Tæng kÕt Tx'!M25</f>
        <v/>
      </c>
      <c r="D23" s="263" t="str">
        <f>'Tæng kÕt Tx'!N25</f>
        <v/>
      </c>
      <c r="E23" s="263" t="str">
        <f>'Tæng kÕt Tx'!O25</f>
        <v/>
      </c>
      <c r="F23" s="264" t="str">
        <f>'Tæng kÕt Tx'!P25</f>
        <v/>
      </c>
      <c r="G23" s="263" t="str">
        <f>'Tæng kÕt Tx'!Q25</f>
        <v/>
      </c>
      <c r="H23" s="263" t="str">
        <f>'Tæng kÕt Tx'!R25</f>
        <v/>
      </c>
      <c r="I23" s="263" t="str">
        <f>'Tæng kÕt Tx'!S25</f>
        <v/>
      </c>
      <c r="J23" s="263" t="str">
        <f>'Tæng kÕt Tx'!T25</f>
        <v/>
      </c>
      <c r="K23" s="264" t="str">
        <f>'Tæng kÕt Tx'!U25</f>
        <v/>
      </c>
      <c r="L23" s="265" t="str">
        <f t="shared" si="0"/>
        <v xml:space="preserve"> </v>
      </c>
      <c r="M23" s="265" t="str">
        <f t="shared" si="1"/>
        <v xml:space="preserve"> </v>
      </c>
      <c r="N23" s="266" t="str">
        <f t="shared" si="2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63" t="str">
        <f>'Tæng kÕt Tx'!L26</f>
        <v/>
      </c>
      <c r="C24" s="263" t="str">
        <f>'Tæng kÕt Tx'!M26</f>
        <v/>
      </c>
      <c r="D24" s="263" t="str">
        <f>'Tæng kÕt Tx'!N26</f>
        <v/>
      </c>
      <c r="E24" s="263" t="str">
        <f>'Tæng kÕt Tx'!O26</f>
        <v/>
      </c>
      <c r="F24" s="264" t="str">
        <f>'Tæng kÕt Tx'!P26</f>
        <v/>
      </c>
      <c r="G24" s="263" t="str">
        <f>'Tæng kÕt Tx'!Q26</f>
        <v/>
      </c>
      <c r="H24" s="263" t="str">
        <f>'Tæng kÕt Tx'!R26</f>
        <v/>
      </c>
      <c r="I24" s="263" t="str">
        <f>'Tæng kÕt Tx'!S26</f>
        <v/>
      </c>
      <c r="J24" s="263" t="str">
        <f>'Tæng kÕt Tx'!T26</f>
        <v/>
      </c>
      <c r="K24" s="264" t="str">
        <f>'Tæng kÕt Tx'!U26</f>
        <v/>
      </c>
      <c r="L24" s="265" t="str">
        <f t="shared" si="0"/>
        <v xml:space="preserve"> </v>
      </c>
      <c r="M24" s="265" t="str">
        <f t="shared" si="1"/>
        <v xml:space="preserve"> </v>
      </c>
      <c r="N24" s="266" t="str">
        <f t="shared" si="2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63" t="str">
        <f>'Tæng kÕt Tx'!L27</f>
        <v/>
      </c>
      <c r="C25" s="263" t="str">
        <f>'Tæng kÕt Tx'!M27</f>
        <v/>
      </c>
      <c r="D25" s="263" t="str">
        <f>'Tæng kÕt Tx'!N27</f>
        <v/>
      </c>
      <c r="E25" s="263" t="str">
        <f>'Tæng kÕt Tx'!O27</f>
        <v/>
      </c>
      <c r="F25" s="264" t="str">
        <f>'Tæng kÕt Tx'!P27</f>
        <v/>
      </c>
      <c r="G25" s="263" t="str">
        <f>'Tæng kÕt Tx'!Q27</f>
        <v/>
      </c>
      <c r="H25" s="263" t="str">
        <f>'Tæng kÕt Tx'!R27</f>
        <v/>
      </c>
      <c r="I25" s="263" t="str">
        <f>'Tæng kÕt Tx'!S27</f>
        <v/>
      </c>
      <c r="J25" s="263" t="str">
        <f>'Tæng kÕt Tx'!T27</f>
        <v/>
      </c>
      <c r="K25" s="264" t="str">
        <f>'Tæng kÕt Tx'!U27</f>
        <v/>
      </c>
      <c r="L25" s="265" t="str">
        <f t="shared" si="0"/>
        <v xml:space="preserve"> </v>
      </c>
      <c r="M25" s="265" t="str">
        <f t="shared" si="1"/>
        <v xml:space="preserve"> </v>
      </c>
      <c r="N25" s="266" t="str">
        <f t="shared" si="2"/>
        <v xml:space="preserve"> </v>
      </c>
      <c r="O25" s="267"/>
      <c r="P25" s="267"/>
    </row>
    <row r="26" spans="1:16" s="64" customFormat="1" ht="13.5" customHeight="1" thickBot="1">
      <c r="A26" s="65"/>
      <c r="B26" s="272"/>
      <c r="C26" s="272"/>
      <c r="D26" s="272"/>
      <c r="E26" s="272"/>
      <c r="F26" s="273"/>
      <c r="G26" s="272"/>
      <c r="H26" s="272"/>
      <c r="I26" s="272"/>
      <c r="J26" s="272"/>
      <c r="K26" s="273"/>
      <c r="L26" s="274"/>
      <c r="M26" s="274"/>
      <c r="N26" s="275"/>
      <c r="O26" s="267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80"/>
      <c r="N27" s="84"/>
      <c r="O27" s="66"/>
    </row>
    <row r="28" spans="1:16" s="64" customFormat="1" ht="15">
      <c r="A28" s="66"/>
      <c r="B28" s="67" t="s">
        <v>4</v>
      </c>
      <c r="C28" s="66"/>
      <c r="D28" s="66"/>
      <c r="E28" s="66"/>
      <c r="F28" s="66"/>
      <c r="G28" s="66"/>
      <c r="H28" s="66"/>
      <c r="I28" s="66"/>
      <c r="J28" s="66"/>
      <c r="K28" s="66"/>
      <c r="L28" s="68">
        <f>MAX(L4:L24)</f>
        <v>0</v>
      </c>
      <c r="M28" s="68">
        <f>MAX(M4:M24)</f>
        <v>0</v>
      </c>
      <c r="N28" s="68">
        <f>MAX(N4:N24)</f>
        <v>0</v>
      </c>
      <c r="O28" s="66"/>
    </row>
    <row r="29" spans="1:16" s="64" customFormat="1" ht="15">
      <c r="A29" s="66"/>
      <c r="B29" s="67" t="s">
        <v>5</v>
      </c>
      <c r="C29" s="66"/>
      <c r="D29" s="66"/>
      <c r="E29" s="66"/>
      <c r="F29" s="66"/>
      <c r="G29" s="66"/>
      <c r="H29" s="66"/>
      <c r="I29" s="66"/>
      <c r="J29" s="66"/>
      <c r="K29" s="66"/>
      <c r="L29" s="68">
        <f>MIN(L4:L24)</f>
        <v>0</v>
      </c>
      <c r="M29" s="68">
        <f>MIN(M4:M24)</f>
        <v>0</v>
      </c>
      <c r="N29" s="68">
        <f>MIN(N4:N24)</f>
        <v>0</v>
      </c>
      <c r="O29" s="66"/>
    </row>
    <row r="30" spans="1:16"/>
    <row r="31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U31"/>
  <sheetViews>
    <sheetView showGridLines="0" zoomScale="75" workbookViewId="0">
      <selection activeCell="O25" sqref="O25"/>
    </sheetView>
  </sheetViews>
  <sheetFormatPr defaultColWidth="0" defaultRowHeight="12.75" zeroHeight="1"/>
  <cols>
    <col min="1" max="1" width="16.1640625" style="6" customWidth="1"/>
    <col min="2" max="12" width="7.33203125" style="6" customWidth="1"/>
    <col min="13" max="15" width="8" style="6" customWidth="1"/>
    <col min="16" max="16" width="6.33203125" style="6" customWidth="1"/>
    <col min="17" max="17" width="6.33203125" style="5" hidden="1" customWidth="1"/>
    <col min="18" max="19" width="0" style="5" hidden="1" customWidth="1"/>
    <col min="20" max="21" width="9.6640625" style="5" hidden="1" customWidth="1"/>
    <col min="22" max="16384" width="0" style="5" hidden="1"/>
  </cols>
  <sheetData>
    <row r="1" spans="1:16" s="122" customFormat="1" ht="29.25" customHeight="1">
      <c r="A1" s="531" t="s">
        <v>176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121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4"/>
    </row>
    <row r="3" spans="1:16" s="161" customFormat="1" ht="47.1" customHeight="1" thickTop="1">
      <c r="A3" s="60" t="s">
        <v>0</v>
      </c>
      <c r="B3" s="69">
        <v>21</v>
      </c>
      <c r="C3" s="69">
        <v>22</v>
      </c>
      <c r="D3" s="69">
        <v>23</v>
      </c>
      <c r="E3" s="69">
        <v>24</v>
      </c>
      <c r="F3" s="69">
        <v>25</v>
      </c>
      <c r="G3" s="69">
        <v>26</v>
      </c>
      <c r="H3" s="69">
        <v>27</v>
      </c>
      <c r="I3" s="69">
        <v>28</v>
      </c>
      <c r="J3" s="69">
        <v>29</v>
      </c>
      <c r="K3" s="69">
        <v>30</v>
      </c>
      <c r="L3" s="69">
        <v>31</v>
      </c>
      <c r="M3" s="62" t="s">
        <v>170</v>
      </c>
      <c r="N3" s="70" t="s">
        <v>183</v>
      </c>
      <c r="O3" s="63" t="s">
        <v>184</v>
      </c>
    </row>
    <row r="4" spans="1:16" s="64" customFormat="1" ht="21" customHeight="1">
      <c r="A4" s="198" t="s">
        <v>128</v>
      </c>
      <c r="B4" s="263" t="str">
        <f>'Tæng kÕt Tx'!V6</f>
        <v/>
      </c>
      <c r="C4" s="263" t="str">
        <f>'Tæng kÕt Tx'!W6</f>
        <v xml:space="preserve"> </v>
      </c>
      <c r="D4" s="263" t="str">
        <f>'Tæng kÕt Tx'!X6</f>
        <v xml:space="preserve"> </v>
      </c>
      <c r="E4" s="263" t="str">
        <f>'Tæng kÕt Tx'!Y6</f>
        <v/>
      </c>
      <c r="F4" s="264" t="str">
        <f>'Tæng kÕt Tx'!Z6</f>
        <v/>
      </c>
      <c r="G4" s="263" t="str">
        <f>'Tæng kÕt Tx'!AA6</f>
        <v/>
      </c>
      <c r="H4" s="263" t="str">
        <f>'Tæng kÕt Tx'!AB6</f>
        <v/>
      </c>
      <c r="I4" s="263" t="str">
        <f>'Tæng kÕt Tx'!AC6</f>
        <v/>
      </c>
      <c r="J4" s="263" t="str">
        <f>'Tæng kÕt Tx'!AD6</f>
        <v/>
      </c>
      <c r="K4" s="263" t="str">
        <f>'Tæng kÕt Tx'!AE6</f>
        <v/>
      </c>
      <c r="L4" s="264"/>
      <c r="M4" s="265" t="str">
        <f>IF(COUNT(B4:F4)&gt;0,MAX(B4:F4)," ")</f>
        <v xml:space="preserve"> </v>
      </c>
      <c r="N4" s="265" t="str">
        <f>IF(COUNT(G4:K4)&gt;0,MAX(G4:K4)," ")</f>
        <v xml:space="preserve"> </v>
      </c>
      <c r="O4" s="266" t="str">
        <f>IF(COUNT(B4:K4)&gt;0,AVERAGE(B4:K4)," ")</f>
        <v xml:space="preserve"> </v>
      </c>
      <c r="P4" s="267"/>
    </row>
    <row r="5" spans="1:16" s="64" customFormat="1" ht="21" customHeight="1">
      <c r="A5" s="199" t="s">
        <v>129</v>
      </c>
      <c r="B5" s="263" t="str">
        <f>'Tæng kÕt Tx'!V7</f>
        <v/>
      </c>
      <c r="C5" s="263" t="str">
        <f>'Tæng kÕt Tx'!W7</f>
        <v xml:space="preserve"> </v>
      </c>
      <c r="D5" s="263" t="str">
        <f>'Tæng kÕt Tx'!X7</f>
        <v xml:space="preserve"> </v>
      </c>
      <c r="E5" s="263" t="str">
        <f>'Tæng kÕt Tx'!Y7</f>
        <v/>
      </c>
      <c r="F5" s="264" t="str">
        <f>'Tæng kÕt Tx'!Z7</f>
        <v/>
      </c>
      <c r="G5" s="263" t="str">
        <f>'Tæng kÕt Tx'!AA7</f>
        <v/>
      </c>
      <c r="H5" s="263" t="str">
        <f>'Tæng kÕt Tx'!AB7</f>
        <v/>
      </c>
      <c r="I5" s="263" t="str">
        <f>'Tæng kÕt Tx'!AC7</f>
        <v/>
      </c>
      <c r="J5" s="263" t="str">
        <f>'Tæng kÕt Tx'!AD7</f>
        <v/>
      </c>
      <c r="K5" s="263" t="str">
        <f>'Tæng kÕt Tx'!AE7</f>
        <v/>
      </c>
      <c r="L5" s="264"/>
      <c r="M5" s="265" t="str">
        <f>IF(COUNT(B5:F5)&gt;0,MAX(B5:F5)," ")</f>
        <v xml:space="preserve"> </v>
      </c>
      <c r="N5" s="265" t="str">
        <f>IF(COUNT(G5:K5)&gt;0,MAX(G5:K5)," ")</f>
        <v xml:space="preserve"> </v>
      </c>
      <c r="O5" s="266" t="str">
        <f>IF(COUNT(B5:K5)&gt;0,AVERAGE(B5:K5)," ")</f>
        <v xml:space="preserve"> </v>
      </c>
      <c r="P5" s="267"/>
    </row>
    <row r="6" spans="1:16" s="64" customFormat="1" ht="21" customHeight="1">
      <c r="A6" s="200" t="s">
        <v>130</v>
      </c>
      <c r="B6" s="263" t="str">
        <f>'Tæng kÕt Tx'!V8</f>
        <v/>
      </c>
      <c r="C6" s="263" t="str">
        <f>'Tæng kÕt Tx'!W8</f>
        <v xml:space="preserve"> </v>
      </c>
      <c r="D6" s="263" t="str">
        <f>'Tæng kÕt Tx'!X8</f>
        <v xml:space="preserve"> </v>
      </c>
      <c r="E6" s="263" t="str">
        <f>'Tæng kÕt Tx'!Y8</f>
        <v/>
      </c>
      <c r="F6" s="264" t="str">
        <f>'Tæng kÕt Tx'!Z8</f>
        <v/>
      </c>
      <c r="G6" s="263" t="str">
        <f>'Tæng kÕt Tx'!AA8</f>
        <v/>
      </c>
      <c r="H6" s="263" t="str">
        <f>'Tæng kÕt Tx'!AB8</f>
        <v/>
      </c>
      <c r="I6" s="263" t="str">
        <f>'Tæng kÕt Tx'!AC8</f>
        <v/>
      </c>
      <c r="J6" s="263" t="str">
        <f>'Tæng kÕt Tx'!AD8</f>
        <v/>
      </c>
      <c r="K6" s="263" t="str">
        <f>'Tæng kÕt Tx'!AE8</f>
        <v/>
      </c>
      <c r="L6" s="264"/>
      <c r="M6" s="265" t="str">
        <f t="shared" ref="M6:M25" si="0">IF(COUNT(B6:F6)&gt;0,MAX(B6:F6)," ")</f>
        <v xml:space="preserve"> </v>
      </c>
      <c r="N6" s="265" t="str">
        <f t="shared" ref="N6:N25" si="1">IF(COUNT(G6:K6)&gt;0,MAX(G6:K6)," ")</f>
        <v xml:space="preserve"> </v>
      </c>
      <c r="O6" s="266" t="str">
        <f t="shared" ref="O6:O25" si="2">IF(COUNT(B6:K6)&gt;0,AVERAGE(B6:K6)," ")</f>
        <v xml:space="preserve"> </v>
      </c>
      <c r="P6" s="267"/>
    </row>
    <row r="7" spans="1:16" s="64" customFormat="1" ht="21" customHeight="1">
      <c r="A7" s="199" t="s">
        <v>131</v>
      </c>
      <c r="B7" s="263" t="str">
        <f>'Tæng kÕt Tx'!V9</f>
        <v/>
      </c>
      <c r="C7" s="263" t="str">
        <f>'Tæng kÕt Tx'!W9</f>
        <v xml:space="preserve"> </v>
      </c>
      <c r="D7" s="263" t="str">
        <f>'Tæng kÕt Tx'!X9</f>
        <v xml:space="preserve"> </v>
      </c>
      <c r="E7" s="263" t="str">
        <f>'Tæng kÕt Tx'!Y9</f>
        <v/>
      </c>
      <c r="F7" s="264" t="str">
        <f>'Tæng kÕt Tx'!Z9</f>
        <v/>
      </c>
      <c r="G7" s="263" t="str">
        <f>'Tæng kÕt Tx'!AA9</f>
        <v/>
      </c>
      <c r="H7" s="263" t="str">
        <f>'Tæng kÕt Tx'!AB9</f>
        <v/>
      </c>
      <c r="I7" s="263" t="str">
        <f>'Tæng kÕt Tx'!AC9</f>
        <v/>
      </c>
      <c r="J7" s="263" t="str">
        <f>'Tæng kÕt Tx'!AD9</f>
        <v/>
      </c>
      <c r="K7" s="263" t="str">
        <f>'Tæng kÕt Tx'!AE9</f>
        <v/>
      </c>
      <c r="L7" s="264"/>
      <c r="M7" s="265" t="str">
        <f t="shared" si="0"/>
        <v xml:space="preserve"> </v>
      </c>
      <c r="N7" s="265" t="str">
        <f t="shared" si="1"/>
        <v xml:space="preserve"> </v>
      </c>
      <c r="O7" s="266" t="str">
        <f t="shared" si="2"/>
        <v xml:space="preserve"> </v>
      </c>
      <c r="P7" s="267"/>
    </row>
    <row r="8" spans="1:16" s="64" customFormat="1" ht="21" customHeight="1">
      <c r="A8" s="199" t="s">
        <v>132</v>
      </c>
      <c r="B8" s="263" t="str">
        <f>'Tæng kÕt Tx'!V10</f>
        <v/>
      </c>
      <c r="C8" s="263" t="str">
        <f>'Tæng kÕt Tx'!W10</f>
        <v xml:space="preserve"> </v>
      </c>
      <c r="D8" s="263" t="str">
        <f>'Tæng kÕt Tx'!X10</f>
        <v xml:space="preserve"> </v>
      </c>
      <c r="E8" s="263" t="str">
        <f>'Tæng kÕt Tx'!Y10</f>
        <v/>
      </c>
      <c r="F8" s="264" t="str">
        <f>'Tæng kÕt Tx'!Z10</f>
        <v/>
      </c>
      <c r="G8" s="263" t="str">
        <f>'Tæng kÕt Tx'!AA10</f>
        <v/>
      </c>
      <c r="H8" s="263" t="str">
        <f>'Tæng kÕt Tx'!AB10</f>
        <v/>
      </c>
      <c r="I8" s="263" t="str">
        <f>'Tæng kÕt Tx'!AC10</f>
        <v/>
      </c>
      <c r="J8" s="263" t="str">
        <f>'Tæng kÕt Tx'!AD10</f>
        <v/>
      </c>
      <c r="K8" s="263" t="str">
        <f>'Tæng kÕt Tx'!AE10</f>
        <v/>
      </c>
      <c r="L8" s="264"/>
      <c r="M8" s="265" t="str">
        <f t="shared" si="0"/>
        <v xml:space="preserve"> </v>
      </c>
      <c r="N8" s="265" t="str">
        <f t="shared" si="1"/>
        <v xml:space="preserve"> </v>
      </c>
      <c r="O8" s="266" t="str">
        <f t="shared" si="2"/>
        <v xml:space="preserve"> </v>
      </c>
      <c r="P8" s="267"/>
    </row>
    <row r="9" spans="1:16" s="64" customFormat="1" ht="21" customHeight="1">
      <c r="A9" s="199" t="s">
        <v>133</v>
      </c>
      <c r="B9" s="263" t="str">
        <f>'Tæng kÕt Tx'!V11</f>
        <v/>
      </c>
      <c r="C9" s="263" t="str">
        <f>'Tæng kÕt Tx'!W11</f>
        <v xml:space="preserve"> </v>
      </c>
      <c r="D9" s="263" t="str">
        <f>'Tæng kÕt Tx'!X11</f>
        <v xml:space="preserve"> </v>
      </c>
      <c r="E9" s="263" t="str">
        <f>'Tæng kÕt Tx'!Y11</f>
        <v/>
      </c>
      <c r="F9" s="264" t="str">
        <f>'Tæng kÕt Tx'!Z11</f>
        <v/>
      </c>
      <c r="G9" s="263" t="str">
        <f>'Tæng kÕt Tx'!AA11</f>
        <v/>
      </c>
      <c r="H9" s="263" t="str">
        <f>'Tæng kÕt Tx'!AB11</f>
        <v/>
      </c>
      <c r="I9" s="263" t="str">
        <f>'Tæng kÕt Tx'!AC11</f>
        <v/>
      </c>
      <c r="J9" s="263" t="str">
        <f>'Tæng kÕt Tx'!AD11</f>
        <v/>
      </c>
      <c r="K9" s="263" t="str">
        <f>'Tæng kÕt Tx'!AE11</f>
        <v/>
      </c>
      <c r="L9" s="264"/>
      <c r="M9" s="265" t="str">
        <f t="shared" si="0"/>
        <v xml:space="preserve"> </v>
      </c>
      <c r="N9" s="265" t="str">
        <f t="shared" si="1"/>
        <v xml:space="preserve"> </v>
      </c>
      <c r="O9" s="266" t="str">
        <f t="shared" si="2"/>
        <v xml:space="preserve"> </v>
      </c>
      <c r="P9" s="267"/>
    </row>
    <row r="10" spans="1:16" s="64" customFormat="1" ht="21" customHeight="1">
      <c r="A10" s="199" t="s">
        <v>134</v>
      </c>
      <c r="B10" s="263" t="str">
        <f>'Tæng kÕt Tx'!V12</f>
        <v/>
      </c>
      <c r="C10" s="263" t="str">
        <f>'Tæng kÕt Tx'!W12</f>
        <v xml:space="preserve"> </v>
      </c>
      <c r="D10" s="263" t="str">
        <f>'Tæng kÕt Tx'!X12</f>
        <v xml:space="preserve"> </v>
      </c>
      <c r="E10" s="263" t="str">
        <f>'Tæng kÕt Tx'!Y12</f>
        <v/>
      </c>
      <c r="F10" s="264" t="str">
        <f>'Tæng kÕt Tx'!Z12</f>
        <v/>
      </c>
      <c r="G10" s="263" t="str">
        <f>'Tæng kÕt Tx'!AA12</f>
        <v/>
      </c>
      <c r="H10" s="263" t="str">
        <f>'Tæng kÕt Tx'!AB12</f>
        <v/>
      </c>
      <c r="I10" s="263" t="str">
        <f>'Tæng kÕt Tx'!AC12</f>
        <v/>
      </c>
      <c r="J10" s="263" t="str">
        <f>'Tæng kÕt Tx'!AD12</f>
        <v/>
      </c>
      <c r="K10" s="263" t="str">
        <f>'Tæng kÕt Tx'!AE12</f>
        <v/>
      </c>
      <c r="L10" s="264"/>
      <c r="M10" s="265" t="str">
        <f t="shared" si="0"/>
        <v xml:space="preserve"> </v>
      </c>
      <c r="N10" s="265" t="str">
        <f t="shared" si="1"/>
        <v xml:space="preserve"> </v>
      </c>
      <c r="O10" s="266" t="str">
        <f t="shared" si="2"/>
        <v xml:space="preserve"> </v>
      </c>
      <c r="P10" s="267"/>
    </row>
    <row r="11" spans="1:16" s="64" customFormat="1" ht="21" customHeight="1">
      <c r="A11" s="199" t="s">
        <v>192</v>
      </c>
      <c r="B11" s="263" t="str">
        <f>'Tæng kÕt Tx'!V13</f>
        <v/>
      </c>
      <c r="C11" s="263" t="str">
        <f>'Tæng kÕt Tx'!W13</f>
        <v xml:space="preserve"> </v>
      </c>
      <c r="D11" s="263" t="str">
        <f>'Tæng kÕt Tx'!X13</f>
        <v xml:space="preserve"> </v>
      </c>
      <c r="E11" s="263" t="str">
        <f>'Tæng kÕt Tx'!Y13</f>
        <v/>
      </c>
      <c r="F11" s="264" t="str">
        <f>'Tæng kÕt Tx'!Z13</f>
        <v/>
      </c>
      <c r="G11" s="263" t="str">
        <f>'Tæng kÕt Tx'!AA13</f>
        <v/>
      </c>
      <c r="H11" s="263" t="str">
        <f>'Tæng kÕt Tx'!AB13</f>
        <v/>
      </c>
      <c r="I11" s="263" t="str">
        <f>'Tæng kÕt Tx'!AC13</f>
        <v/>
      </c>
      <c r="J11" s="263" t="str">
        <f>'Tæng kÕt Tx'!AD13</f>
        <v/>
      </c>
      <c r="K11" s="263" t="str">
        <f>'Tæng kÕt Tx'!AE13</f>
        <v/>
      </c>
      <c r="L11" s="264"/>
      <c r="M11" s="265" t="str">
        <f t="shared" si="0"/>
        <v xml:space="preserve"> </v>
      </c>
      <c r="N11" s="265" t="str">
        <f t="shared" si="1"/>
        <v xml:space="preserve"> </v>
      </c>
      <c r="O11" s="266" t="str">
        <f t="shared" si="2"/>
        <v xml:space="preserve"> </v>
      </c>
      <c r="P11" s="267"/>
    </row>
    <row r="12" spans="1:16" s="64" customFormat="1" ht="21" customHeight="1">
      <c r="A12" s="199" t="s">
        <v>135</v>
      </c>
      <c r="B12" s="263" t="str">
        <f>'Tæng kÕt Tx'!V14</f>
        <v/>
      </c>
      <c r="C12" s="263" t="str">
        <f>'Tæng kÕt Tx'!W14</f>
        <v xml:space="preserve"> </v>
      </c>
      <c r="D12" s="263" t="str">
        <f>'Tæng kÕt Tx'!X14</f>
        <v xml:space="preserve"> </v>
      </c>
      <c r="E12" s="263" t="str">
        <f>'Tæng kÕt Tx'!Y14</f>
        <v/>
      </c>
      <c r="F12" s="264" t="str">
        <f>'Tæng kÕt Tx'!Z14</f>
        <v/>
      </c>
      <c r="G12" s="263" t="str">
        <f>'Tæng kÕt Tx'!AA14</f>
        <v/>
      </c>
      <c r="H12" s="263" t="str">
        <f>'Tæng kÕt Tx'!AB14</f>
        <v/>
      </c>
      <c r="I12" s="263" t="str">
        <f>'Tæng kÕt Tx'!AC14</f>
        <v/>
      </c>
      <c r="J12" s="263" t="str">
        <f>'Tæng kÕt Tx'!AD14</f>
        <v/>
      </c>
      <c r="K12" s="263" t="str">
        <f>'Tæng kÕt Tx'!AE14</f>
        <v/>
      </c>
      <c r="L12" s="264"/>
      <c r="M12" s="265" t="str">
        <f t="shared" si="0"/>
        <v xml:space="preserve"> </v>
      </c>
      <c r="N12" s="265" t="str">
        <f t="shared" si="1"/>
        <v xml:space="preserve"> </v>
      </c>
      <c r="O12" s="266" t="str">
        <f t="shared" si="2"/>
        <v xml:space="preserve"> </v>
      </c>
      <c r="P12" s="267"/>
    </row>
    <row r="13" spans="1:16" s="64" customFormat="1" ht="21" customHeight="1">
      <c r="A13" s="199" t="s">
        <v>136</v>
      </c>
      <c r="B13" s="263" t="str">
        <f>'Tæng kÕt Tx'!V15</f>
        <v/>
      </c>
      <c r="C13" s="263" t="str">
        <f>'Tæng kÕt Tx'!W15</f>
        <v xml:space="preserve"> </v>
      </c>
      <c r="D13" s="263" t="str">
        <f>'Tæng kÕt Tx'!X15</f>
        <v xml:space="preserve"> </v>
      </c>
      <c r="E13" s="263" t="str">
        <f>'Tæng kÕt Tx'!Y15</f>
        <v/>
      </c>
      <c r="F13" s="264" t="str">
        <f>'Tæng kÕt Tx'!Z15</f>
        <v/>
      </c>
      <c r="G13" s="263" t="str">
        <f>'Tæng kÕt Tx'!AA15</f>
        <v/>
      </c>
      <c r="H13" s="263" t="str">
        <f>'Tæng kÕt Tx'!AB15</f>
        <v/>
      </c>
      <c r="I13" s="263" t="str">
        <f>'Tæng kÕt Tx'!AC15</f>
        <v/>
      </c>
      <c r="J13" s="263" t="str">
        <f>'Tæng kÕt Tx'!AD15</f>
        <v/>
      </c>
      <c r="K13" s="263" t="str">
        <f>'Tæng kÕt Tx'!AE15</f>
        <v/>
      </c>
      <c r="L13" s="264"/>
      <c r="M13" s="265" t="str">
        <f t="shared" si="0"/>
        <v xml:space="preserve"> </v>
      </c>
      <c r="N13" s="265" t="str">
        <f t="shared" si="1"/>
        <v xml:space="preserve"> </v>
      </c>
      <c r="O13" s="266" t="str">
        <f t="shared" si="2"/>
        <v xml:space="preserve"> </v>
      </c>
      <c r="P13" s="267"/>
    </row>
    <row r="14" spans="1:16" s="64" customFormat="1" ht="21" customHeight="1">
      <c r="A14" s="200" t="s">
        <v>137</v>
      </c>
      <c r="B14" s="263" t="str">
        <f>'Tæng kÕt Tx'!V16</f>
        <v/>
      </c>
      <c r="C14" s="263" t="str">
        <f>'Tæng kÕt Tx'!W16</f>
        <v xml:space="preserve"> </v>
      </c>
      <c r="D14" s="263" t="str">
        <f>'Tæng kÕt Tx'!X16</f>
        <v xml:space="preserve"> </v>
      </c>
      <c r="E14" s="263" t="str">
        <f>'Tæng kÕt Tx'!Y16</f>
        <v/>
      </c>
      <c r="F14" s="264" t="str">
        <f>'Tæng kÕt Tx'!Z16</f>
        <v/>
      </c>
      <c r="G14" s="263" t="str">
        <f>'Tæng kÕt Tx'!AA16</f>
        <v/>
      </c>
      <c r="H14" s="263" t="str">
        <f>'Tæng kÕt Tx'!AB16</f>
        <v/>
      </c>
      <c r="I14" s="263" t="str">
        <f>'Tæng kÕt Tx'!AC16</f>
        <v/>
      </c>
      <c r="J14" s="263" t="str">
        <f>'Tæng kÕt Tx'!AD16</f>
        <v/>
      </c>
      <c r="K14" s="263" t="str">
        <f>'Tæng kÕt Tx'!AE16</f>
        <v/>
      </c>
      <c r="L14" s="264"/>
      <c r="M14" s="265" t="str">
        <f t="shared" si="0"/>
        <v xml:space="preserve"> </v>
      </c>
      <c r="N14" s="265" t="str">
        <f t="shared" si="1"/>
        <v xml:space="preserve"> </v>
      </c>
      <c r="O14" s="266" t="str">
        <f t="shared" si="2"/>
        <v xml:space="preserve"> </v>
      </c>
      <c r="P14" s="267"/>
    </row>
    <row r="15" spans="1:16" s="64" customFormat="1" ht="21" customHeight="1">
      <c r="A15" s="199" t="s">
        <v>138</v>
      </c>
      <c r="B15" s="263" t="str">
        <f>'Tæng kÕt Tx'!V17</f>
        <v/>
      </c>
      <c r="C15" s="263" t="str">
        <f>'Tæng kÕt Tx'!W17</f>
        <v xml:space="preserve"> </v>
      </c>
      <c r="D15" s="263" t="str">
        <f>'Tæng kÕt Tx'!X17</f>
        <v xml:space="preserve"> </v>
      </c>
      <c r="E15" s="263" t="str">
        <f>'Tæng kÕt Tx'!Y17</f>
        <v/>
      </c>
      <c r="F15" s="264" t="str">
        <f>'Tæng kÕt Tx'!Z17</f>
        <v/>
      </c>
      <c r="G15" s="263" t="str">
        <f>'Tæng kÕt Tx'!AA17</f>
        <v/>
      </c>
      <c r="H15" s="263" t="str">
        <f>'Tæng kÕt Tx'!AB17</f>
        <v/>
      </c>
      <c r="I15" s="263" t="str">
        <f>'Tæng kÕt Tx'!AC17</f>
        <v/>
      </c>
      <c r="J15" s="263" t="str">
        <f>'Tæng kÕt Tx'!AD17</f>
        <v/>
      </c>
      <c r="K15" s="263" t="str">
        <f>'Tæng kÕt Tx'!AE17</f>
        <v/>
      </c>
      <c r="L15" s="264"/>
      <c r="M15" s="265" t="str">
        <f t="shared" si="0"/>
        <v xml:space="preserve"> </v>
      </c>
      <c r="N15" s="265" t="str">
        <f t="shared" si="1"/>
        <v xml:space="preserve"> </v>
      </c>
      <c r="O15" s="266" t="str">
        <f t="shared" si="2"/>
        <v xml:space="preserve"> </v>
      </c>
      <c r="P15" s="267"/>
    </row>
    <row r="16" spans="1:16" s="64" customFormat="1" ht="21" customHeight="1">
      <c r="A16" s="200" t="s">
        <v>139</v>
      </c>
      <c r="B16" s="263" t="str">
        <f>'Tæng kÕt Tx'!V18</f>
        <v/>
      </c>
      <c r="C16" s="263" t="str">
        <f>'Tæng kÕt Tx'!W18</f>
        <v xml:space="preserve"> </v>
      </c>
      <c r="D16" s="263" t="str">
        <f>'Tæng kÕt Tx'!X18</f>
        <v xml:space="preserve"> </v>
      </c>
      <c r="E16" s="263" t="str">
        <f>'Tæng kÕt Tx'!Y18</f>
        <v/>
      </c>
      <c r="F16" s="264" t="str">
        <f>'Tæng kÕt Tx'!Z18</f>
        <v/>
      </c>
      <c r="G16" s="263" t="str">
        <f>'Tæng kÕt Tx'!AA18</f>
        <v/>
      </c>
      <c r="H16" s="263" t="str">
        <f>'Tæng kÕt Tx'!AB18</f>
        <v/>
      </c>
      <c r="I16" s="263" t="str">
        <f>'Tæng kÕt Tx'!AC18</f>
        <v/>
      </c>
      <c r="J16" s="263" t="str">
        <f>'Tæng kÕt Tx'!AD18</f>
        <v/>
      </c>
      <c r="K16" s="263" t="str">
        <f>'Tæng kÕt Tx'!AE18</f>
        <v/>
      </c>
      <c r="L16" s="264"/>
      <c r="M16" s="265" t="str">
        <f t="shared" si="0"/>
        <v xml:space="preserve"> </v>
      </c>
      <c r="N16" s="265" t="str">
        <f t="shared" si="1"/>
        <v xml:space="preserve"> </v>
      </c>
      <c r="O16" s="266" t="str">
        <f t="shared" si="2"/>
        <v xml:space="preserve"> </v>
      </c>
      <c r="P16" s="267"/>
    </row>
    <row r="17" spans="1:16" s="64" customFormat="1" ht="21" customHeight="1">
      <c r="A17" s="199" t="s">
        <v>140</v>
      </c>
      <c r="B17" s="263" t="str">
        <f>'Tæng kÕt Tx'!V19</f>
        <v/>
      </c>
      <c r="C17" s="263" t="str">
        <f>'Tæng kÕt Tx'!W19</f>
        <v xml:space="preserve"> </v>
      </c>
      <c r="D17" s="263" t="str">
        <f>'Tæng kÕt Tx'!X19</f>
        <v xml:space="preserve"> </v>
      </c>
      <c r="E17" s="263" t="str">
        <f>'Tæng kÕt Tx'!Y19</f>
        <v/>
      </c>
      <c r="F17" s="264" t="str">
        <f>'Tæng kÕt Tx'!Z19</f>
        <v/>
      </c>
      <c r="G17" s="263" t="str">
        <f>'Tæng kÕt Tx'!AA19</f>
        <v/>
      </c>
      <c r="H17" s="263" t="str">
        <f>'Tæng kÕt Tx'!AB19</f>
        <v/>
      </c>
      <c r="I17" s="263" t="str">
        <f>'Tæng kÕt Tx'!AC19</f>
        <v/>
      </c>
      <c r="J17" s="263" t="str">
        <f>'Tæng kÕt Tx'!AD19</f>
        <v/>
      </c>
      <c r="K17" s="263" t="str">
        <f>'Tæng kÕt Tx'!AE19</f>
        <v/>
      </c>
      <c r="L17" s="264"/>
      <c r="M17" s="265" t="str">
        <f t="shared" si="0"/>
        <v xml:space="preserve"> </v>
      </c>
      <c r="N17" s="265" t="str">
        <f t="shared" si="1"/>
        <v xml:space="preserve"> </v>
      </c>
      <c r="O17" s="266" t="str">
        <f t="shared" si="2"/>
        <v xml:space="preserve"> </v>
      </c>
      <c r="P17" s="267"/>
    </row>
    <row r="18" spans="1:16" s="64" customFormat="1" ht="21" customHeight="1">
      <c r="A18" s="200" t="s">
        <v>141</v>
      </c>
      <c r="B18" s="263" t="str">
        <f>'Tæng kÕt Tx'!V20</f>
        <v/>
      </c>
      <c r="C18" s="263" t="str">
        <f>'Tæng kÕt Tx'!W20</f>
        <v xml:space="preserve"> </v>
      </c>
      <c r="D18" s="263" t="str">
        <f>'Tæng kÕt Tx'!X20</f>
        <v xml:space="preserve"> </v>
      </c>
      <c r="E18" s="263" t="str">
        <f>'Tæng kÕt Tx'!Y20</f>
        <v/>
      </c>
      <c r="F18" s="264" t="str">
        <f>'Tæng kÕt Tx'!Z20</f>
        <v/>
      </c>
      <c r="G18" s="263" t="str">
        <f>'Tæng kÕt Tx'!AA20</f>
        <v/>
      </c>
      <c r="H18" s="263" t="str">
        <f>'Tæng kÕt Tx'!AB20</f>
        <v/>
      </c>
      <c r="I18" s="263" t="str">
        <f>'Tæng kÕt Tx'!AC20</f>
        <v/>
      </c>
      <c r="J18" s="263" t="str">
        <f>'Tæng kÕt Tx'!AD20</f>
        <v/>
      </c>
      <c r="K18" s="263" t="str">
        <f>'Tæng kÕt Tx'!AE20</f>
        <v/>
      </c>
      <c r="L18" s="264"/>
      <c r="M18" s="265" t="str">
        <f t="shared" si="0"/>
        <v xml:space="preserve"> </v>
      </c>
      <c r="N18" s="265" t="str">
        <f t="shared" si="1"/>
        <v xml:space="preserve"> </v>
      </c>
      <c r="O18" s="266" t="str">
        <f t="shared" si="2"/>
        <v xml:space="preserve"> </v>
      </c>
      <c r="P18" s="267"/>
    </row>
    <row r="19" spans="1:16" s="64" customFormat="1" ht="21" customHeight="1">
      <c r="A19" s="199" t="s">
        <v>142</v>
      </c>
      <c r="B19" s="263" t="str">
        <f>'Tæng kÕt Tx'!V21</f>
        <v/>
      </c>
      <c r="C19" s="263" t="str">
        <f>'Tæng kÕt Tx'!W21</f>
        <v xml:space="preserve"> </v>
      </c>
      <c r="D19" s="263" t="str">
        <f>'Tæng kÕt Tx'!X21</f>
        <v xml:space="preserve"> </v>
      </c>
      <c r="E19" s="263" t="str">
        <f>'Tæng kÕt Tx'!Y21</f>
        <v/>
      </c>
      <c r="F19" s="264" t="str">
        <f>'Tæng kÕt Tx'!Z21</f>
        <v/>
      </c>
      <c r="G19" s="263" t="str">
        <f>'Tæng kÕt Tx'!AA21</f>
        <v/>
      </c>
      <c r="H19" s="263" t="str">
        <f>'Tæng kÕt Tx'!AB21</f>
        <v/>
      </c>
      <c r="I19" s="263" t="str">
        <f>'Tæng kÕt Tx'!AC21</f>
        <v/>
      </c>
      <c r="J19" s="263" t="str">
        <f>'Tæng kÕt Tx'!AD21</f>
        <v/>
      </c>
      <c r="K19" s="263" t="str">
        <f>'Tæng kÕt Tx'!AE21</f>
        <v/>
      </c>
      <c r="L19" s="264"/>
      <c r="M19" s="265" t="str">
        <f t="shared" si="0"/>
        <v xml:space="preserve"> </v>
      </c>
      <c r="N19" s="265" t="str">
        <f t="shared" si="1"/>
        <v xml:space="preserve"> </v>
      </c>
      <c r="O19" s="266" t="str">
        <f t="shared" si="2"/>
        <v xml:space="preserve"> </v>
      </c>
      <c r="P19" s="267"/>
    </row>
    <row r="20" spans="1:16" s="64" customFormat="1" ht="21" customHeight="1">
      <c r="A20" s="199" t="s">
        <v>143</v>
      </c>
      <c r="B20" s="263" t="str">
        <f>'Tæng kÕt Tx'!V22</f>
        <v/>
      </c>
      <c r="C20" s="263" t="str">
        <f>'Tæng kÕt Tx'!W22</f>
        <v xml:space="preserve"> </v>
      </c>
      <c r="D20" s="263" t="str">
        <f>'Tæng kÕt Tx'!X22</f>
        <v xml:space="preserve"> </v>
      </c>
      <c r="E20" s="263" t="str">
        <f>'Tæng kÕt Tx'!Y22</f>
        <v/>
      </c>
      <c r="F20" s="264" t="str">
        <f>'Tæng kÕt Tx'!Z22</f>
        <v/>
      </c>
      <c r="G20" s="263" t="str">
        <f>'Tæng kÕt Tx'!AA22</f>
        <v/>
      </c>
      <c r="H20" s="263" t="str">
        <f>'Tæng kÕt Tx'!AB22</f>
        <v/>
      </c>
      <c r="I20" s="263" t="str">
        <f>'Tæng kÕt Tx'!AC22</f>
        <v/>
      </c>
      <c r="J20" s="263" t="str">
        <f>'Tæng kÕt Tx'!AD22</f>
        <v/>
      </c>
      <c r="K20" s="263" t="str">
        <f>'Tæng kÕt Tx'!AE22</f>
        <v/>
      </c>
      <c r="L20" s="264"/>
      <c r="M20" s="265" t="str">
        <f t="shared" si="0"/>
        <v xml:space="preserve"> </v>
      </c>
      <c r="N20" s="265" t="str">
        <f t="shared" si="1"/>
        <v xml:space="preserve"> </v>
      </c>
      <c r="O20" s="266" t="str">
        <f t="shared" si="2"/>
        <v xml:space="preserve"> </v>
      </c>
      <c r="P20" s="267"/>
    </row>
    <row r="21" spans="1:16" s="64" customFormat="1" ht="21" customHeight="1">
      <c r="A21" s="199" t="s">
        <v>144</v>
      </c>
      <c r="B21" s="263" t="str">
        <f>'Tæng kÕt Tx'!V23</f>
        <v/>
      </c>
      <c r="C21" s="263" t="str">
        <f>'Tæng kÕt Tx'!W23</f>
        <v xml:space="preserve"> </v>
      </c>
      <c r="D21" s="263" t="str">
        <f>'Tæng kÕt Tx'!X23</f>
        <v xml:space="preserve"> </v>
      </c>
      <c r="E21" s="263" t="str">
        <f>'Tæng kÕt Tx'!Y23</f>
        <v/>
      </c>
      <c r="F21" s="264" t="str">
        <f>'Tæng kÕt Tx'!Z23</f>
        <v/>
      </c>
      <c r="G21" s="263" t="str">
        <f>'Tæng kÕt Tx'!AA23</f>
        <v/>
      </c>
      <c r="H21" s="263" t="str">
        <f>'Tæng kÕt Tx'!AB23</f>
        <v/>
      </c>
      <c r="I21" s="263" t="str">
        <f>'Tæng kÕt Tx'!AC23</f>
        <v/>
      </c>
      <c r="J21" s="263" t="str">
        <f>'Tæng kÕt Tx'!AD23</f>
        <v/>
      </c>
      <c r="K21" s="263" t="str">
        <f>'Tæng kÕt Tx'!AE23</f>
        <v/>
      </c>
      <c r="L21" s="264"/>
      <c r="M21" s="265" t="str">
        <f t="shared" si="0"/>
        <v xml:space="preserve"> </v>
      </c>
      <c r="N21" s="265" t="str">
        <f t="shared" si="1"/>
        <v xml:space="preserve"> </v>
      </c>
      <c r="O21" s="266" t="str">
        <f t="shared" si="2"/>
        <v xml:space="preserve"> </v>
      </c>
      <c r="P21" s="267"/>
    </row>
    <row r="22" spans="1:16" s="64" customFormat="1" ht="21" customHeight="1">
      <c r="A22" s="199" t="s">
        <v>145</v>
      </c>
      <c r="B22" s="263" t="str">
        <f>'Tæng kÕt Tx'!V24</f>
        <v/>
      </c>
      <c r="C22" s="263" t="str">
        <f>'Tæng kÕt Tx'!W24</f>
        <v xml:space="preserve"> </v>
      </c>
      <c r="D22" s="263" t="str">
        <f>'Tæng kÕt Tx'!X24</f>
        <v xml:space="preserve"> </v>
      </c>
      <c r="E22" s="263" t="str">
        <f>'Tæng kÕt Tx'!Y24</f>
        <v/>
      </c>
      <c r="F22" s="264" t="str">
        <f>'Tæng kÕt Tx'!Z24</f>
        <v/>
      </c>
      <c r="G22" s="263" t="str">
        <f>'Tæng kÕt Tx'!AA24</f>
        <v/>
      </c>
      <c r="H22" s="263" t="str">
        <f>'Tæng kÕt Tx'!AB24</f>
        <v/>
      </c>
      <c r="I22" s="263" t="str">
        <f>'Tæng kÕt Tx'!AC24</f>
        <v/>
      </c>
      <c r="J22" s="263" t="str">
        <f>'Tæng kÕt Tx'!AD24</f>
        <v/>
      </c>
      <c r="K22" s="263" t="str">
        <f>'Tæng kÕt Tx'!AE24</f>
        <v/>
      </c>
      <c r="L22" s="264"/>
      <c r="M22" s="265" t="str">
        <f t="shared" si="0"/>
        <v xml:space="preserve"> </v>
      </c>
      <c r="N22" s="265" t="str">
        <f t="shared" si="1"/>
        <v xml:space="preserve"> </v>
      </c>
      <c r="O22" s="266" t="str">
        <f t="shared" si="2"/>
        <v xml:space="preserve"> </v>
      </c>
      <c r="P22" s="267"/>
    </row>
    <row r="23" spans="1:16" s="64" customFormat="1" ht="21" customHeight="1">
      <c r="A23" s="199" t="s">
        <v>146</v>
      </c>
      <c r="B23" s="263" t="str">
        <f>'Tæng kÕt Tx'!V25</f>
        <v/>
      </c>
      <c r="C23" s="263" t="str">
        <f>'Tæng kÕt Tx'!W25</f>
        <v xml:space="preserve"> </v>
      </c>
      <c r="D23" s="263" t="str">
        <f>'Tæng kÕt Tx'!X25</f>
        <v xml:space="preserve"> </v>
      </c>
      <c r="E23" s="263" t="str">
        <f>'Tæng kÕt Tx'!Y25</f>
        <v/>
      </c>
      <c r="F23" s="264" t="str">
        <f>'Tæng kÕt Tx'!Z25</f>
        <v/>
      </c>
      <c r="G23" s="263" t="str">
        <f>'Tæng kÕt Tx'!AA25</f>
        <v/>
      </c>
      <c r="H23" s="263" t="str">
        <f>'Tæng kÕt Tx'!AB25</f>
        <v/>
      </c>
      <c r="I23" s="263" t="str">
        <f>'Tæng kÕt Tx'!AC25</f>
        <v/>
      </c>
      <c r="J23" s="263" t="str">
        <f>'Tæng kÕt Tx'!AD25</f>
        <v/>
      </c>
      <c r="K23" s="263" t="str">
        <f>'Tæng kÕt Tx'!AE25</f>
        <v/>
      </c>
      <c r="L23" s="264"/>
      <c r="M23" s="265" t="str">
        <f t="shared" si="0"/>
        <v xml:space="preserve"> </v>
      </c>
      <c r="N23" s="265" t="str">
        <f t="shared" si="1"/>
        <v xml:space="preserve"> </v>
      </c>
      <c r="O23" s="266" t="str">
        <f t="shared" si="2"/>
        <v xml:space="preserve"> </v>
      </c>
      <c r="P23" s="267"/>
    </row>
    <row r="24" spans="1:16" s="64" customFormat="1" ht="21" customHeight="1">
      <c r="A24" s="199" t="s">
        <v>147</v>
      </c>
      <c r="B24" s="263" t="str">
        <f>'Tæng kÕt Tx'!V26</f>
        <v/>
      </c>
      <c r="C24" s="263" t="str">
        <f>'Tæng kÕt Tx'!W26</f>
        <v xml:space="preserve"> </v>
      </c>
      <c r="D24" s="263" t="str">
        <f>'Tæng kÕt Tx'!X26</f>
        <v xml:space="preserve"> </v>
      </c>
      <c r="E24" s="263" t="str">
        <f>'Tæng kÕt Tx'!Y26</f>
        <v/>
      </c>
      <c r="F24" s="264" t="str">
        <f>'Tæng kÕt Tx'!Z26</f>
        <v/>
      </c>
      <c r="G24" s="263" t="str">
        <f>'Tæng kÕt Tx'!AA26</f>
        <v/>
      </c>
      <c r="H24" s="263" t="str">
        <f>'Tæng kÕt Tx'!AB26</f>
        <v/>
      </c>
      <c r="I24" s="263" t="str">
        <f>'Tæng kÕt Tx'!AC26</f>
        <v/>
      </c>
      <c r="J24" s="263" t="str">
        <f>'Tæng kÕt Tx'!AD26</f>
        <v/>
      </c>
      <c r="K24" s="263" t="str">
        <f>'Tæng kÕt Tx'!AE26</f>
        <v/>
      </c>
      <c r="L24" s="264"/>
      <c r="M24" s="265" t="str">
        <f t="shared" si="0"/>
        <v xml:space="preserve"> </v>
      </c>
      <c r="N24" s="265" t="str">
        <f t="shared" si="1"/>
        <v xml:space="preserve"> </v>
      </c>
      <c r="O24" s="266" t="str">
        <f t="shared" si="2"/>
        <v xml:space="preserve"> </v>
      </c>
      <c r="P24" s="267"/>
    </row>
    <row r="25" spans="1:16" s="64" customFormat="1" ht="21" customHeight="1">
      <c r="A25" s="302" t="s">
        <v>191</v>
      </c>
      <c r="B25" s="263" t="str">
        <f>'Tæng kÕt Tx'!V27</f>
        <v/>
      </c>
      <c r="C25" s="263" t="str">
        <f>'Tæng kÕt Tx'!W27</f>
        <v xml:space="preserve"> </v>
      </c>
      <c r="D25" s="263" t="str">
        <f>'Tæng kÕt Tx'!X27</f>
        <v xml:space="preserve"> </v>
      </c>
      <c r="E25" s="263" t="str">
        <f>'Tæng kÕt Tx'!Y27</f>
        <v/>
      </c>
      <c r="F25" s="264" t="str">
        <f>'Tæng kÕt Tx'!Z27</f>
        <v/>
      </c>
      <c r="G25" s="263" t="str">
        <f>'Tæng kÕt Tx'!AA27</f>
        <v/>
      </c>
      <c r="H25" s="263" t="str">
        <f>'Tæng kÕt Tx'!AB27</f>
        <v/>
      </c>
      <c r="I25" s="263" t="str">
        <f>'Tæng kÕt Tx'!AC27</f>
        <v/>
      </c>
      <c r="J25" s="263" t="str">
        <f>'Tæng kÕt Tx'!AD27</f>
        <v/>
      </c>
      <c r="K25" s="263" t="str">
        <f>'Tæng kÕt Tx'!AE27</f>
        <v/>
      </c>
      <c r="L25" s="264"/>
      <c r="M25" s="265" t="str">
        <f t="shared" si="0"/>
        <v xml:space="preserve"> </v>
      </c>
      <c r="N25" s="265" t="str">
        <f t="shared" si="1"/>
        <v xml:space="preserve"> </v>
      </c>
      <c r="O25" s="266" t="str">
        <f t="shared" si="2"/>
        <v xml:space="preserve"> </v>
      </c>
      <c r="P25" s="267"/>
    </row>
    <row r="26" spans="1:16" s="64" customFormat="1" ht="12.75" customHeight="1" thickBot="1">
      <c r="A26" s="65"/>
      <c r="B26" s="268"/>
      <c r="C26" s="268"/>
      <c r="D26" s="268"/>
      <c r="E26" s="268"/>
      <c r="F26" s="269"/>
      <c r="G26" s="268"/>
      <c r="H26" s="268"/>
      <c r="I26" s="268"/>
      <c r="J26" s="268"/>
      <c r="K26" s="268"/>
      <c r="L26" s="269"/>
      <c r="M26" s="270"/>
      <c r="N26" s="270"/>
      <c r="O26" s="271"/>
      <c r="P26" s="267"/>
    </row>
    <row r="27" spans="1:16" s="64" customFormat="1" ht="13.5" thickTop="1">
      <c r="A27" s="71"/>
      <c r="B27" s="71"/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5"/>
      <c r="O27" s="76"/>
      <c r="P27" s="66"/>
    </row>
    <row r="28" spans="1:16" s="64" customFormat="1" ht="15">
      <c r="A28" s="71"/>
      <c r="B28" s="67" t="s">
        <v>4</v>
      </c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68">
        <f>MAX(M4:M24)</f>
        <v>0</v>
      </c>
      <c r="N28" s="68">
        <f>MAX(N4:N24)</f>
        <v>0</v>
      </c>
      <c r="O28" s="68">
        <f>MAX(O4:O24)</f>
        <v>0</v>
      </c>
      <c r="P28" s="66"/>
    </row>
    <row r="29" spans="1:16" s="64" customFormat="1" ht="15">
      <c r="A29" s="71"/>
      <c r="B29" s="67" t="s">
        <v>5</v>
      </c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68">
        <f>MIN(M4:M24)</f>
        <v>0</v>
      </c>
      <c r="N29" s="68">
        <f>MIN(N4:N24)</f>
        <v>0</v>
      </c>
      <c r="O29" s="68">
        <f>MIN(O4:O24)</f>
        <v>0</v>
      </c>
      <c r="P29" s="66"/>
    </row>
    <row r="30" spans="1:16">
      <c r="A30" s="31"/>
      <c r="B30" s="31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31"/>
    </row>
    <row r="31" spans="1:16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</sheetData>
  <mergeCells count="2">
    <mergeCell ref="A1:O1"/>
    <mergeCell ref="A2:O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S30"/>
  <sheetViews>
    <sheetView showGridLines="0" zoomScale="75" workbookViewId="0">
      <selection activeCell="B5" sqref="B5: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118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30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163" t="s">
        <v>0</v>
      </c>
      <c r="B3" s="86">
        <v>1</v>
      </c>
      <c r="C3" s="86">
        <v>2</v>
      </c>
      <c r="D3" s="86">
        <v>3</v>
      </c>
      <c r="E3" s="86">
        <v>4</v>
      </c>
      <c r="F3" s="86">
        <v>5</v>
      </c>
      <c r="G3" s="61">
        <v>6</v>
      </c>
      <c r="H3" s="86">
        <v>7</v>
      </c>
      <c r="I3" s="86">
        <v>8</v>
      </c>
      <c r="J3" s="86">
        <v>9</v>
      </c>
      <c r="K3" s="86">
        <v>10</v>
      </c>
      <c r="L3" s="88" t="s">
        <v>12</v>
      </c>
      <c r="M3" s="88" t="s">
        <v>13</v>
      </c>
      <c r="N3" s="89" t="s">
        <v>14</v>
      </c>
    </row>
    <row r="4" spans="1:16" s="64" customFormat="1" ht="21" customHeight="1">
      <c r="A4" s="198" t="s">
        <v>128</v>
      </c>
      <c r="B4" s="90" t="str">
        <f>'Tæng kÕt R'!B6</f>
        <v xml:space="preserve"> </v>
      </c>
      <c r="C4" s="90" t="str">
        <f>'Tæng kÕt R'!C6</f>
        <v xml:space="preserve"> </v>
      </c>
      <c r="D4" s="90" t="str">
        <f>'Tæng kÕt R'!D6</f>
        <v xml:space="preserve"> </v>
      </c>
      <c r="E4" s="90" t="str">
        <f>'Tæng kÕt R'!E6</f>
        <v xml:space="preserve"> </v>
      </c>
      <c r="F4" s="167" t="str">
        <f>'Tæng kÕt R'!F6</f>
        <v xml:space="preserve"> </v>
      </c>
      <c r="G4" s="90" t="str">
        <f>'Tæng kÕt R'!G6</f>
        <v xml:space="preserve"> </v>
      </c>
      <c r="H4" s="90" t="str">
        <f>'Tæng kÕt R'!H6</f>
        <v xml:space="preserve"> </v>
      </c>
      <c r="I4" s="90" t="str">
        <f>'Tæng kÕt R'!I6</f>
        <v xml:space="preserve"> </v>
      </c>
      <c r="J4" s="90" t="str">
        <f>'Tæng kÕt R'!J6</f>
        <v xml:space="preserve"> </v>
      </c>
      <c r="K4" s="90" t="str">
        <f>'Tæng kÕt R'!K6</f>
        <v xml:space="preserve"> </v>
      </c>
      <c r="L4" s="285" t="str">
        <f>IF(COUNT(B4:F4)&gt;0,SUM(B4:F4)," ")</f>
        <v xml:space="preserve"> </v>
      </c>
      <c r="M4" s="285" t="str">
        <f>IF(COUNT(G4:K4)&gt;0,SUM(G4:K4),"")</f>
        <v/>
      </c>
      <c r="N4" s="266" t="str">
        <f>IF(AND(L4="-",M4="-"),"-",IF(COUNT(L4,M4)&gt;0,SUM(L4:M4),""))</f>
        <v/>
      </c>
      <c r="O4" s="267"/>
      <c r="P4" s="267"/>
    </row>
    <row r="5" spans="1:16" s="64" customFormat="1" ht="21" customHeight="1">
      <c r="A5" s="199" t="s">
        <v>129</v>
      </c>
      <c r="B5" s="90" t="str">
        <f>'Tæng kÕt R'!B7</f>
        <v xml:space="preserve"> </v>
      </c>
      <c r="C5" s="90" t="str">
        <f>'Tæng kÕt R'!C7</f>
        <v xml:space="preserve"> </v>
      </c>
      <c r="D5" s="90" t="str">
        <f>'Tæng kÕt R'!D7</f>
        <v xml:space="preserve"> </v>
      </c>
      <c r="E5" s="90" t="str">
        <f>'Tæng kÕt R'!E7</f>
        <v xml:space="preserve"> </v>
      </c>
      <c r="F5" s="167" t="str">
        <f>'Tæng kÕt R'!F7</f>
        <v xml:space="preserve"> </v>
      </c>
      <c r="G5" s="90" t="str">
        <f>'Tæng kÕt R'!G7</f>
        <v xml:space="preserve"> </v>
      </c>
      <c r="H5" s="90" t="str">
        <f>'Tæng kÕt R'!H7</f>
        <v xml:space="preserve"> </v>
      </c>
      <c r="I5" s="90" t="str">
        <f>'Tæng kÕt R'!I7</f>
        <v xml:space="preserve"> </v>
      </c>
      <c r="J5" s="90" t="str">
        <f>'Tæng kÕt R'!J7</f>
        <v xml:space="preserve"> </v>
      </c>
      <c r="K5" s="90" t="str">
        <f>'Tæng kÕt R'!K7</f>
        <v xml:space="preserve"> </v>
      </c>
      <c r="L5" s="285" t="str">
        <f>IF(COUNT(B5:F5)&gt;0,SUM(B5:F5)," ")</f>
        <v xml:space="preserve"> </v>
      </c>
      <c r="M5" s="285" t="str">
        <f>IF(COUNT(G5:K5)&gt;0,SUM(G5:K5),"")</f>
        <v/>
      </c>
      <c r="N5" s="266" t="str">
        <f>IF(AND(L5="-",M5="-"),"-",IF(COUNT(L5,M5)&gt;0,SUM(L5:M5),""))</f>
        <v/>
      </c>
      <c r="O5" s="267"/>
      <c r="P5" s="267"/>
    </row>
    <row r="6" spans="1:16" s="64" customFormat="1" ht="21" customHeight="1">
      <c r="A6" s="200" t="s">
        <v>130</v>
      </c>
      <c r="B6" s="90" t="str">
        <f>'Tæng kÕt R'!B8</f>
        <v xml:space="preserve"> </v>
      </c>
      <c r="C6" s="90" t="str">
        <f>'Tæng kÕt R'!C8</f>
        <v xml:space="preserve"> </v>
      </c>
      <c r="D6" s="90" t="str">
        <f>'Tæng kÕt R'!D8</f>
        <v xml:space="preserve"> </v>
      </c>
      <c r="E6" s="90" t="str">
        <f>'Tæng kÕt R'!E8</f>
        <v xml:space="preserve"> </v>
      </c>
      <c r="F6" s="167" t="str">
        <f>'Tæng kÕt R'!F8</f>
        <v xml:space="preserve"> </v>
      </c>
      <c r="G6" s="90" t="str">
        <f>'Tæng kÕt R'!G8</f>
        <v xml:space="preserve"> </v>
      </c>
      <c r="H6" s="90" t="str">
        <f>'Tæng kÕt R'!H8</f>
        <v xml:space="preserve"> </v>
      </c>
      <c r="I6" s="90" t="str">
        <f>'Tæng kÕt R'!I8</f>
        <v xml:space="preserve"> </v>
      </c>
      <c r="J6" s="90" t="str">
        <f>'Tæng kÕt R'!J8</f>
        <v xml:space="preserve"> </v>
      </c>
      <c r="K6" s="90" t="str">
        <f>'Tæng kÕt R'!K8</f>
        <v xml:space="preserve"> </v>
      </c>
      <c r="L6" s="285" t="str">
        <f t="shared" ref="L6:L25" si="0">IF(COUNT(B6:F6)&gt;0,SUM(B6:F6)," ")</f>
        <v xml:space="preserve"> </v>
      </c>
      <c r="M6" s="285" t="str">
        <f t="shared" ref="M6:M25" si="1">IF(COUNT(G6:K6)&gt;0,SUM(G6:K6),"")</f>
        <v/>
      </c>
      <c r="N6" s="266" t="str">
        <f t="shared" ref="N6:N25" si="2">IF(AND(L6="-",M6="-"),"-",IF(COUNT(L6,M6)&gt;0,SUM(L6:M6),""))</f>
        <v/>
      </c>
      <c r="O6" s="267"/>
      <c r="P6" s="267"/>
    </row>
    <row r="7" spans="1:16" s="64" customFormat="1" ht="21" customHeight="1">
      <c r="A7" s="199" t="s">
        <v>131</v>
      </c>
      <c r="B7" s="90" t="str">
        <f>'Tæng kÕt R'!B9</f>
        <v xml:space="preserve"> </v>
      </c>
      <c r="C7" s="90" t="str">
        <f>'Tæng kÕt R'!C9</f>
        <v xml:space="preserve"> </v>
      </c>
      <c r="D7" s="90" t="str">
        <f>'Tæng kÕt R'!D9</f>
        <v xml:space="preserve"> </v>
      </c>
      <c r="E7" s="90" t="str">
        <f>'Tæng kÕt R'!E9</f>
        <v xml:space="preserve"> </v>
      </c>
      <c r="F7" s="167" t="str">
        <f>'Tæng kÕt R'!F9</f>
        <v xml:space="preserve"> </v>
      </c>
      <c r="G7" s="90" t="str">
        <f>'Tæng kÕt R'!G9</f>
        <v xml:space="preserve"> </v>
      </c>
      <c r="H7" s="90" t="str">
        <f>'Tæng kÕt R'!H9</f>
        <v xml:space="preserve"> </v>
      </c>
      <c r="I7" s="90" t="str">
        <f>'Tæng kÕt R'!I9</f>
        <v xml:space="preserve"> </v>
      </c>
      <c r="J7" s="90" t="str">
        <f>'Tæng kÕt R'!J9</f>
        <v xml:space="preserve"> </v>
      </c>
      <c r="K7" s="90" t="str">
        <f>'Tæng kÕt R'!K9</f>
        <v xml:space="preserve"> </v>
      </c>
      <c r="L7" s="285" t="str">
        <f t="shared" si="0"/>
        <v xml:space="preserve"> </v>
      </c>
      <c r="M7" s="285" t="str">
        <f t="shared" si="1"/>
        <v/>
      </c>
      <c r="N7" s="266" t="str">
        <f t="shared" si="2"/>
        <v/>
      </c>
      <c r="O7" s="267"/>
      <c r="P7" s="267"/>
    </row>
    <row r="8" spans="1:16" s="64" customFormat="1" ht="21" customHeight="1">
      <c r="A8" s="199" t="s">
        <v>132</v>
      </c>
      <c r="B8" s="90" t="str">
        <f>'Tæng kÕt R'!B10</f>
        <v xml:space="preserve"> </v>
      </c>
      <c r="C8" s="90" t="str">
        <f>'Tæng kÕt R'!C10</f>
        <v xml:space="preserve"> </v>
      </c>
      <c r="D8" s="90" t="str">
        <f>'Tæng kÕt R'!D10</f>
        <v xml:space="preserve"> </v>
      </c>
      <c r="E8" s="90" t="str">
        <f>'Tæng kÕt R'!E10</f>
        <v xml:space="preserve"> </v>
      </c>
      <c r="F8" s="167" t="str">
        <f>'Tæng kÕt R'!F10</f>
        <v xml:space="preserve"> </v>
      </c>
      <c r="G8" s="90" t="str">
        <f>'Tæng kÕt R'!G10</f>
        <v xml:space="preserve"> </v>
      </c>
      <c r="H8" s="90" t="str">
        <f>'Tæng kÕt R'!H10</f>
        <v xml:space="preserve"> </v>
      </c>
      <c r="I8" s="90" t="str">
        <f>'Tæng kÕt R'!I10</f>
        <v xml:space="preserve"> </v>
      </c>
      <c r="J8" s="90" t="str">
        <f>'Tæng kÕt R'!J10</f>
        <v xml:space="preserve"> </v>
      </c>
      <c r="K8" s="90" t="str">
        <f>'Tæng kÕt R'!K10</f>
        <v xml:space="preserve"> </v>
      </c>
      <c r="L8" s="285" t="str">
        <f t="shared" si="0"/>
        <v xml:space="preserve"> </v>
      </c>
      <c r="M8" s="285" t="str">
        <f t="shared" si="1"/>
        <v/>
      </c>
      <c r="N8" s="266" t="str">
        <f t="shared" si="2"/>
        <v/>
      </c>
      <c r="O8" s="267"/>
      <c r="P8" s="267"/>
    </row>
    <row r="9" spans="1:16" s="64" customFormat="1" ht="21" customHeight="1">
      <c r="A9" s="199" t="s">
        <v>133</v>
      </c>
      <c r="B9" s="90" t="str">
        <f>'Tæng kÕt R'!B11</f>
        <v xml:space="preserve"> </v>
      </c>
      <c r="C9" s="90" t="str">
        <f>'Tæng kÕt R'!C11</f>
        <v xml:space="preserve"> </v>
      </c>
      <c r="D9" s="90" t="str">
        <f>'Tæng kÕt R'!D11</f>
        <v xml:space="preserve"> </v>
      </c>
      <c r="E9" s="90" t="str">
        <f>'Tæng kÕt R'!E11</f>
        <v xml:space="preserve"> </v>
      </c>
      <c r="F9" s="167" t="str">
        <f>'Tæng kÕt R'!F11</f>
        <v xml:space="preserve"> </v>
      </c>
      <c r="G9" s="90" t="str">
        <f>'Tæng kÕt R'!G11</f>
        <v xml:space="preserve"> </v>
      </c>
      <c r="H9" s="90" t="str">
        <f>'Tæng kÕt R'!H11</f>
        <v xml:space="preserve"> </v>
      </c>
      <c r="I9" s="90" t="str">
        <f>'Tæng kÕt R'!I11</f>
        <v xml:space="preserve"> </v>
      </c>
      <c r="J9" s="90" t="str">
        <f>'Tæng kÕt R'!J11</f>
        <v xml:space="preserve"> </v>
      </c>
      <c r="K9" s="90" t="str">
        <f>'Tæng kÕt R'!K11</f>
        <v xml:space="preserve"> </v>
      </c>
      <c r="L9" s="285" t="str">
        <f t="shared" si="0"/>
        <v xml:space="preserve"> </v>
      </c>
      <c r="M9" s="285" t="str">
        <f t="shared" si="1"/>
        <v/>
      </c>
      <c r="N9" s="266" t="str">
        <f t="shared" si="2"/>
        <v/>
      </c>
      <c r="O9" s="267"/>
      <c r="P9" s="267"/>
    </row>
    <row r="10" spans="1:16" s="64" customFormat="1" ht="21" customHeight="1">
      <c r="A10" s="199" t="s">
        <v>134</v>
      </c>
      <c r="B10" s="90" t="str">
        <f>'Tæng kÕt R'!B12</f>
        <v xml:space="preserve"> </v>
      </c>
      <c r="C10" s="90" t="str">
        <f>'Tæng kÕt R'!C12</f>
        <v xml:space="preserve"> </v>
      </c>
      <c r="D10" s="90" t="str">
        <f>'Tæng kÕt R'!D12</f>
        <v xml:space="preserve"> </v>
      </c>
      <c r="E10" s="90" t="str">
        <f>'Tæng kÕt R'!E12</f>
        <v xml:space="preserve"> </v>
      </c>
      <c r="F10" s="167" t="str">
        <f>'Tæng kÕt R'!F12</f>
        <v xml:space="preserve"> </v>
      </c>
      <c r="G10" s="90" t="str">
        <f>'Tæng kÕt R'!G12</f>
        <v xml:space="preserve"> </v>
      </c>
      <c r="H10" s="90" t="str">
        <f>'Tæng kÕt R'!H12</f>
        <v xml:space="preserve"> </v>
      </c>
      <c r="I10" s="90" t="str">
        <f>'Tæng kÕt R'!I12</f>
        <v xml:space="preserve"> </v>
      </c>
      <c r="J10" s="90" t="str">
        <f>'Tæng kÕt R'!J12</f>
        <v xml:space="preserve"> </v>
      </c>
      <c r="K10" s="90" t="str">
        <f>'Tæng kÕt R'!K12</f>
        <v xml:space="preserve"> </v>
      </c>
      <c r="L10" s="285" t="str">
        <f t="shared" si="0"/>
        <v xml:space="preserve"> </v>
      </c>
      <c r="M10" s="285" t="str">
        <f t="shared" si="1"/>
        <v/>
      </c>
      <c r="N10" s="266" t="str">
        <f t="shared" si="2"/>
        <v/>
      </c>
      <c r="O10" s="267"/>
      <c r="P10" s="267"/>
    </row>
    <row r="11" spans="1:16" s="64" customFormat="1" ht="21" customHeight="1">
      <c r="A11" s="199" t="s">
        <v>192</v>
      </c>
      <c r="B11" s="90" t="str">
        <f>'Tæng kÕt R'!B13</f>
        <v xml:space="preserve"> </v>
      </c>
      <c r="C11" s="90" t="str">
        <f>'Tæng kÕt R'!C13</f>
        <v xml:space="preserve"> </v>
      </c>
      <c r="D11" s="90" t="str">
        <f>'Tæng kÕt R'!D13</f>
        <v xml:space="preserve"> </v>
      </c>
      <c r="E11" s="90" t="str">
        <f>'Tæng kÕt R'!E13</f>
        <v xml:space="preserve"> </v>
      </c>
      <c r="F11" s="167" t="str">
        <f>'Tæng kÕt R'!F13</f>
        <v xml:space="preserve"> </v>
      </c>
      <c r="G11" s="90" t="str">
        <f>'Tæng kÕt R'!G13</f>
        <v xml:space="preserve"> </v>
      </c>
      <c r="H11" s="90" t="str">
        <f>'Tæng kÕt R'!H13</f>
        <v xml:space="preserve"> </v>
      </c>
      <c r="I11" s="90" t="str">
        <f>'Tæng kÕt R'!I13</f>
        <v xml:space="preserve"> </v>
      </c>
      <c r="J11" s="90" t="str">
        <f>'Tæng kÕt R'!J13</f>
        <v xml:space="preserve"> </v>
      </c>
      <c r="K11" s="90" t="str">
        <f>'Tæng kÕt R'!K13</f>
        <v xml:space="preserve"> </v>
      </c>
      <c r="L11" s="285" t="str">
        <f t="shared" si="0"/>
        <v xml:space="preserve"> </v>
      </c>
      <c r="M11" s="285" t="str">
        <f t="shared" si="1"/>
        <v/>
      </c>
      <c r="N11" s="266" t="str">
        <f t="shared" si="2"/>
        <v/>
      </c>
      <c r="O11" s="267"/>
      <c r="P11" s="267"/>
    </row>
    <row r="12" spans="1:16" s="64" customFormat="1" ht="21" customHeight="1">
      <c r="A12" s="199" t="s">
        <v>135</v>
      </c>
      <c r="B12" s="90" t="str">
        <f>'Tæng kÕt R'!B14</f>
        <v xml:space="preserve"> </v>
      </c>
      <c r="C12" s="90" t="str">
        <f>'Tæng kÕt R'!C14</f>
        <v xml:space="preserve"> </v>
      </c>
      <c r="D12" s="90" t="str">
        <f>'Tæng kÕt R'!D14</f>
        <v xml:space="preserve"> </v>
      </c>
      <c r="E12" s="90" t="str">
        <f>'Tæng kÕt R'!E14</f>
        <v xml:space="preserve"> </v>
      </c>
      <c r="F12" s="167" t="str">
        <f>'Tæng kÕt R'!F14</f>
        <v xml:space="preserve"> </v>
      </c>
      <c r="G12" s="90" t="str">
        <f>'Tæng kÕt R'!G14</f>
        <v xml:space="preserve"> </v>
      </c>
      <c r="H12" s="90" t="str">
        <f>'Tæng kÕt R'!H14</f>
        <v xml:space="preserve"> </v>
      </c>
      <c r="I12" s="90" t="str">
        <f>'Tæng kÕt R'!I14</f>
        <v xml:space="preserve"> </v>
      </c>
      <c r="J12" s="90" t="str">
        <f>'Tæng kÕt R'!J14</f>
        <v xml:space="preserve"> </v>
      </c>
      <c r="K12" s="90" t="str">
        <f>'Tæng kÕt R'!K14</f>
        <v xml:space="preserve"> </v>
      </c>
      <c r="L12" s="285" t="str">
        <f t="shared" si="0"/>
        <v xml:space="preserve"> </v>
      </c>
      <c r="M12" s="285" t="str">
        <f t="shared" si="1"/>
        <v/>
      </c>
      <c r="N12" s="266" t="str">
        <f t="shared" si="2"/>
        <v/>
      </c>
      <c r="O12" s="267"/>
      <c r="P12" s="267"/>
    </row>
    <row r="13" spans="1:16" s="64" customFormat="1" ht="21" customHeight="1">
      <c r="A13" s="199" t="s">
        <v>136</v>
      </c>
      <c r="B13" s="90" t="str">
        <f>'Tæng kÕt R'!B15</f>
        <v xml:space="preserve"> </v>
      </c>
      <c r="C13" s="90" t="str">
        <f>'Tæng kÕt R'!C15</f>
        <v xml:space="preserve"> </v>
      </c>
      <c r="D13" s="90" t="str">
        <f>'Tæng kÕt R'!D15</f>
        <v xml:space="preserve"> </v>
      </c>
      <c r="E13" s="90" t="str">
        <f>'Tæng kÕt R'!E15</f>
        <v xml:space="preserve"> </v>
      </c>
      <c r="F13" s="167" t="str">
        <f>'Tæng kÕt R'!F15</f>
        <v xml:space="preserve"> </v>
      </c>
      <c r="G13" s="90" t="str">
        <f>'Tæng kÕt R'!G15</f>
        <v xml:space="preserve"> </v>
      </c>
      <c r="H13" s="90" t="str">
        <f>'Tæng kÕt R'!H15</f>
        <v xml:space="preserve"> </v>
      </c>
      <c r="I13" s="90" t="str">
        <f>'Tæng kÕt R'!I15</f>
        <v xml:space="preserve"> </v>
      </c>
      <c r="J13" s="90" t="str">
        <f>'Tæng kÕt R'!J15</f>
        <v xml:space="preserve"> </v>
      </c>
      <c r="K13" s="90" t="str">
        <f>'Tæng kÕt R'!K15</f>
        <v xml:space="preserve"> </v>
      </c>
      <c r="L13" s="285" t="str">
        <f t="shared" si="0"/>
        <v xml:space="preserve"> </v>
      </c>
      <c r="M13" s="285" t="str">
        <f t="shared" si="1"/>
        <v/>
      </c>
      <c r="N13" s="266" t="str">
        <f t="shared" si="2"/>
        <v/>
      </c>
      <c r="O13" s="267"/>
      <c r="P13" s="267"/>
    </row>
    <row r="14" spans="1:16" s="64" customFormat="1" ht="21" customHeight="1">
      <c r="A14" s="200" t="s">
        <v>137</v>
      </c>
      <c r="B14" s="90" t="str">
        <f>'Tæng kÕt R'!B16</f>
        <v xml:space="preserve"> </v>
      </c>
      <c r="C14" s="90" t="str">
        <f>'Tæng kÕt R'!C16</f>
        <v xml:space="preserve"> </v>
      </c>
      <c r="D14" s="90" t="str">
        <f>'Tæng kÕt R'!D16</f>
        <v xml:space="preserve"> </v>
      </c>
      <c r="E14" s="90" t="str">
        <f>'Tæng kÕt R'!E16</f>
        <v xml:space="preserve"> </v>
      </c>
      <c r="F14" s="167" t="str">
        <f>'Tæng kÕt R'!F16</f>
        <v xml:space="preserve"> </v>
      </c>
      <c r="G14" s="90" t="str">
        <f>'Tæng kÕt R'!G16</f>
        <v xml:space="preserve"> </v>
      </c>
      <c r="H14" s="90" t="str">
        <f>'Tæng kÕt R'!H16</f>
        <v xml:space="preserve"> </v>
      </c>
      <c r="I14" s="90" t="str">
        <f>'Tæng kÕt R'!I16</f>
        <v xml:space="preserve"> </v>
      </c>
      <c r="J14" s="90" t="str">
        <f>'Tæng kÕt R'!J16</f>
        <v xml:space="preserve"> </v>
      </c>
      <c r="K14" s="90" t="str">
        <f>'Tæng kÕt R'!K16</f>
        <v xml:space="preserve"> </v>
      </c>
      <c r="L14" s="285" t="str">
        <f t="shared" si="0"/>
        <v xml:space="preserve"> </v>
      </c>
      <c r="M14" s="285" t="str">
        <f t="shared" si="1"/>
        <v/>
      </c>
      <c r="N14" s="266" t="str">
        <f t="shared" si="2"/>
        <v/>
      </c>
      <c r="O14" s="267"/>
      <c r="P14" s="267"/>
    </row>
    <row r="15" spans="1:16" s="64" customFormat="1" ht="21" customHeight="1">
      <c r="A15" s="199" t="s">
        <v>138</v>
      </c>
      <c r="B15" s="90" t="str">
        <f>'Tæng kÕt R'!B17</f>
        <v xml:space="preserve"> </v>
      </c>
      <c r="C15" s="90" t="str">
        <f>'Tæng kÕt R'!C17</f>
        <v xml:space="preserve"> </v>
      </c>
      <c r="D15" s="90" t="str">
        <f>'Tæng kÕt R'!D17</f>
        <v xml:space="preserve"> </v>
      </c>
      <c r="E15" s="90" t="str">
        <f>'Tæng kÕt R'!E17</f>
        <v xml:space="preserve"> </v>
      </c>
      <c r="F15" s="167" t="str">
        <f>'Tæng kÕt R'!F17</f>
        <v xml:space="preserve"> </v>
      </c>
      <c r="G15" s="90" t="str">
        <f>'Tæng kÕt R'!G17</f>
        <v xml:space="preserve"> </v>
      </c>
      <c r="H15" s="90" t="str">
        <f>'Tæng kÕt R'!H17</f>
        <v xml:space="preserve"> </v>
      </c>
      <c r="I15" s="90" t="str">
        <f>'Tæng kÕt R'!I17</f>
        <v xml:space="preserve"> </v>
      </c>
      <c r="J15" s="90" t="str">
        <f>'Tæng kÕt R'!J17</f>
        <v xml:space="preserve"> </v>
      </c>
      <c r="K15" s="90" t="str">
        <f>'Tæng kÕt R'!K17</f>
        <v xml:space="preserve"> </v>
      </c>
      <c r="L15" s="285" t="str">
        <f t="shared" si="0"/>
        <v xml:space="preserve"> </v>
      </c>
      <c r="M15" s="285" t="str">
        <f t="shared" si="1"/>
        <v/>
      </c>
      <c r="N15" s="266" t="str">
        <f t="shared" si="2"/>
        <v/>
      </c>
      <c r="O15" s="267"/>
      <c r="P15" s="267"/>
    </row>
    <row r="16" spans="1:16" s="64" customFormat="1" ht="21" customHeight="1">
      <c r="A16" s="200" t="s">
        <v>139</v>
      </c>
      <c r="B16" s="90" t="str">
        <f>'Tæng kÕt R'!B18</f>
        <v xml:space="preserve"> </v>
      </c>
      <c r="C16" s="90" t="str">
        <f>'Tæng kÕt R'!C18</f>
        <v xml:space="preserve"> </v>
      </c>
      <c r="D16" s="90" t="str">
        <f>'Tæng kÕt R'!D18</f>
        <v xml:space="preserve"> </v>
      </c>
      <c r="E16" s="90" t="str">
        <f>'Tæng kÕt R'!E18</f>
        <v xml:space="preserve"> </v>
      </c>
      <c r="F16" s="167" t="str">
        <f>'Tæng kÕt R'!F18</f>
        <v xml:space="preserve"> </v>
      </c>
      <c r="G16" s="90" t="str">
        <f>'Tæng kÕt R'!G18</f>
        <v xml:space="preserve"> </v>
      </c>
      <c r="H16" s="90" t="str">
        <f>'Tæng kÕt R'!H18</f>
        <v xml:space="preserve"> </v>
      </c>
      <c r="I16" s="90" t="str">
        <f>'Tæng kÕt R'!I18</f>
        <v xml:space="preserve"> </v>
      </c>
      <c r="J16" s="90" t="str">
        <f>'Tæng kÕt R'!J18</f>
        <v xml:space="preserve"> </v>
      </c>
      <c r="K16" s="90" t="str">
        <f>'Tæng kÕt R'!K18</f>
        <v xml:space="preserve"> </v>
      </c>
      <c r="L16" s="285" t="str">
        <f t="shared" si="0"/>
        <v xml:space="preserve"> </v>
      </c>
      <c r="M16" s="285" t="str">
        <f t="shared" si="1"/>
        <v/>
      </c>
      <c r="N16" s="266" t="str">
        <f t="shared" si="2"/>
        <v/>
      </c>
      <c r="O16" s="267"/>
      <c r="P16" s="267"/>
    </row>
    <row r="17" spans="1:16" s="64" customFormat="1" ht="21" customHeight="1">
      <c r="A17" s="199" t="s">
        <v>140</v>
      </c>
      <c r="B17" s="90" t="str">
        <f>'Tæng kÕt R'!B19</f>
        <v xml:space="preserve"> </v>
      </c>
      <c r="C17" s="90" t="str">
        <f>'Tæng kÕt R'!C19</f>
        <v xml:space="preserve"> </v>
      </c>
      <c r="D17" s="90" t="str">
        <f>'Tæng kÕt R'!D19</f>
        <v xml:space="preserve"> </v>
      </c>
      <c r="E17" s="90" t="str">
        <f>'Tæng kÕt R'!E19</f>
        <v xml:space="preserve"> </v>
      </c>
      <c r="F17" s="167" t="str">
        <f>'Tæng kÕt R'!F19</f>
        <v xml:space="preserve"> </v>
      </c>
      <c r="G17" s="90" t="str">
        <f>'Tæng kÕt R'!G19</f>
        <v xml:space="preserve"> </v>
      </c>
      <c r="H17" s="90" t="str">
        <f>'Tæng kÕt R'!H19</f>
        <v xml:space="preserve"> </v>
      </c>
      <c r="I17" s="90" t="str">
        <f>'Tæng kÕt R'!I19</f>
        <v xml:space="preserve"> </v>
      </c>
      <c r="J17" s="90" t="str">
        <f>'Tæng kÕt R'!J19</f>
        <v xml:space="preserve"> </v>
      </c>
      <c r="K17" s="90" t="str">
        <f>'Tæng kÕt R'!K19</f>
        <v xml:space="preserve"> </v>
      </c>
      <c r="L17" s="285" t="str">
        <f t="shared" si="0"/>
        <v xml:space="preserve"> </v>
      </c>
      <c r="M17" s="285" t="str">
        <f t="shared" si="1"/>
        <v/>
      </c>
      <c r="N17" s="266" t="str">
        <f t="shared" si="2"/>
        <v/>
      </c>
      <c r="O17" s="267"/>
      <c r="P17" s="267"/>
    </row>
    <row r="18" spans="1:16" s="64" customFormat="1" ht="21" customHeight="1">
      <c r="A18" s="200" t="s">
        <v>141</v>
      </c>
      <c r="B18" s="90" t="str">
        <f>'Tæng kÕt R'!B20</f>
        <v xml:space="preserve"> </v>
      </c>
      <c r="C18" s="90" t="str">
        <f>'Tæng kÕt R'!C20</f>
        <v xml:space="preserve"> </v>
      </c>
      <c r="D18" s="90" t="str">
        <f>'Tæng kÕt R'!D20</f>
        <v xml:space="preserve"> </v>
      </c>
      <c r="E18" s="90" t="str">
        <f>'Tæng kÕt R'!E20</f>
        <v xml:space="preserve"> </v>
      </c>
      <c r="F18" s="167" t="str">
        <f>'Tæng kÕt R'!F20</f>
        <v xml:space="preserve"> </v>
      </c>
      <c r="G18" s="90" t="str">
        <f>'Tæng kÕt R'!G20</f>
        <v xml:space="preserve"> </v>
      </c>
      <c r="H18" s="90" t="str">
        <f>'Tæng kÕt R'!H20</f>
        <v xml:space="preserve"> </v>
      </c>
      <c r="I18" s="90" t="str">
        <f>'Tæng kÕt R'!I20</f>
        <v xml:space="preserve"> </v>
      </c>
      <c r="J18" s="90" t="str">
        <f>'Tæng kÕt R'!J20</f>
        <v xml:space="preserve"> </v>
      </c>
      <c r="K18" s="90" t="str">
        <f>'Tæng kÕt R'!K20</f>
        <v xml:space="preserve"> </v>
      </c>
      <c r="L18" s="285" t="str">
        <f t="shared" si="0"/>
        <v xml:space="preserve"> </v>
      </c>
      <c r="M18" s="285" t="str">
        <f t="shared" si="1"/>
        <v/>
      </c>
      <c r="N18" s="266" t="str">
        <f t="shared" si="2"/>
        <v/>
      </c>
      <c r="O18" s="267"/>
      <c r="P18" s="267"/>
    </row>
    <row r="19" spans="1:16" s="64" customFormat="1" ht="21" customHeight="1">
      <c r="A19" s="199" t="s">
        <v>142</v>
      </c>
      <c r="B19" s="90" t="str">
        <f>'Tæng kÕt R'!B21</f>
        <v xml:space="preserve"> </v>
      </c>
      <c r="C19" s="90" t="str">
        <f>'Tæng kÕt R'!C21</f>
        <v xml:space="preserve"> </v>
      </c>
      <c r="D19" s="90" t="str">
        <f>'Tæng kÕt R'!D21</f>
        <v xml:space="preserve"> </v>
      </c>
      <c r="E19" s="90" t="str">
        <f>'Tæng kÕt R'!E21</f>
        <v xml:space="preserve"> </v>
      </c>
      <c r="F19" s="167" t="str">
        <f>'Tæng kÕt R'!F21</f>
        <v xml:space="preserve"> </v>
      </c>
      <c r="G19" s="90" t="str">
        <f>'Tæng kÕt R'!G21</f>
        <v xml:space="preserve"> </v>
      </c>
      <c r="H19" s="90" t="str">
        <f>'Tæng kÕt R'!H21</f>
        <v xml:space="preserve"> </v>
      </c>
      <c r="I19" s="90" t="str">
        <f>'Tæng kÕt R'!I21</f>
        <v xml:space="preserve"> </v>
      </c>
      <c r="J19" s="90" t="str">
        <f>'Tæng kÕt R'!J21</f>
        <v xml:space="preserve"> </v>
      </c>
      <c r="K19" s="90" t="str">
        <f>'Tæng kÕt R'!K21</f>
        <v xml:space="preserve"> </v>
      </c>
      <c r="L19" s="285" t="str">
        <f t="shared" si="0"/>
        <v xml:space="preserve"> </v>
      </c>
      <c r="M19" s="285" t="str">
        <f t="shared" si="1"/>
        <v/>
      </c>
      <c r="N19" s="266" t="str">
        <f t="shared" si="2"/>
        <v/>
      </c>
      <c r="O19" s="267"/>
      <c r="P19" s="267"/>
    </row>
    <row r="20" spans="1:16" s="64" customFormat="1" ht="21" customHeight="1">
      <c r="A20" s="199" t="s">
        <v>143</v>
      </c>
      <c r="B20" s="90" t="str">
        <f>'Tæng kÕt R'!B22</f>
        <v xml:space="preserve"> </v>
      </c>
      <c r="C20" s="90" t="str">
        <f>'Tæng kÕt R'!C22</f>
        <v xml:space="preserve"> </v>
      </c>
      <c r="D20" s="90" t="str">
        <f>'Tæng kÕt R'!D22</f>
        <v xml:space="preserve"> </v>
      </c>
      <c r="E20" s="90" t="str">
        <f>'Tæng kÕt R'!E22</f>
        <v xml:space="preserve"> </v>
      </c>
      <c r="F20" s="167" t="str">
        <f>'Tæng kÕt R'!F22</f>
        <v xml:space="preserve"> </v>
      </c>
      <c r="G20" s="90" t="str">
        <f>'Tæng kÕt R'!G22</f>
        <v xml:space="preserve"> </v>
      </c>
      <c r="H20" s="90" t="str">
        <f>'Tæng kÕt R'!H22</f>
        <v xml:space="preserve"> </v>
      </c>
      <c r="I20" s="90" t="str">
        <f>'Tæng kÕt R'!I22</f>
        <v xml:space="preserve"> </v>
      </c>
      <c r="J20" s="90" t="str">
        <f>'Tæng kÕt R'!J22</f>
        <v xml:space="preserve"> </v>
      </c>
      <c r="K20" s="90" t="str">
        <f>'Tæng kÕt R'!K22</f>
        <v xml:space="preserve"> </v>
      </c>
      <c r="L20" s="285" t="str">
        <f t="shared" si="0"/>
        <v xml:space="preserve"> </v>
      </c>
      <c r="M20" s="285" t="str">
        <f t="shared" si="1"/>
        <v/>
      </c>
      <c r="N20" s="266" t="str">
        <f t="shared" si="2"/>
        <v/>
      </c>
      <c r="O20" s="267"/>
      <c r="P20" s="267"/>
    </row>
    <row r="21" spans="1:16" s="64" customFormat="1" ht="21" customHeight="1">
      <c r="A21" s="199" t="s">
        <v>144</v>
      </c>
      <c r="B21" s="90" t="str">
        <f>'Tæng kÕt R'!B23</f>
        <v xml:space="preserve"> </v>
      </c>
      <c r="C21" s="90" t="str">
        <f>'Tæng kÕt R'!C23</f>
        <v xml:space="preserve"> </v>
      </c>
      <c r="D21" s="90" t="str">
        <f>'Tæng kÕt R'!D23</f>
        <v xml:space="preserve"> </v>
      </c>
      <c r="E21" s="90" t="str">
        <f>'Tæng kÕt R'!E23</f>
        <v xml:space="preserve"> </v>
      </c>
      <c r="F21" s="167" t="str">
        <f>'Tæng kÕt R'!F23</f>
        <v xml:space="preserve"> </v>
      </c>
      <c r="G21" s="90" t="str">
        <f>'Tæng kÕt R'!G23</f>
        <v xml:space="preserve"> </v>
      </c>
      <c r="H21" s="90" t="str">
        <f>'Tæng kÕt R'!H23</f>
        <v xml:space="preserve"> </v>
      </c>
      <c r="I21" s="90" t="str">
        <f>'Tæng kÕt R'!I23</f>
        <v xml:space="preserve"> </v>
      </c>
      <c r="J21" s="90" t="str">
        <f>'Tæng kÕt R'!J23</f>
        <v xml:space="preserve"> </v>
      </c>
      <c r="K21" s="90" t="str">
        <f>'Tæng kÕt R'!K23</f>
        <v xml:space="preserve"> </v>
      </c>
      <c r="L21" s="285" t="str">
        <f t="shared" si="0"/>
        <v xml:space="preserve"> </v>
      </c>
      <c r="M21" s="285" t="str">
        <f t="shared" si="1"/>
        <v/>
      </c>
      <c r="N21" s="266" t="str">
        <f t="shared" si="2"/>
        <v/>
      </c>
      <c r="O21" s="267"/>
      <c r="P21" s="267"/>
    </row>
    <row r="22" spans="1:16" s="64" customFormat="1" ht="21" customHeight="1">
      <c r="A22" s="199" t="s">
        <v>145</v>
      </c>
      <c r="B22" s="90" t="str">
        <f>'Tæng kÕt R'!B24</f>
        <v xml:space="preserve"> </v>
      </c>
      <c r="C22" s="90" t="str">
        <f>'Tæng kÕt R'!C24</f>
        <v xml:space="preserve"> </v>
      </c>
      <c r="D22" s="90" t="str">
        <f>'Tæng kÕt R'!D24</f>
        <v xml:space="preserve"> </v>
      </c>
      <c r="E22" s="90" t="str">
        <f>'Tæng kÕt R'!E24</f>
        <v xml:space="preserve"> </v>
      </c>
      <c r="F22" s="167" t="str">
        <f>'Tæng kÕt R'!F24</f>
        <v xml:space="preserve"> </v>
      </c>
      <c r="G22" s="90" t="str">
        <f>'Tæng kÕt R'!G24</f>
        <v xml:space="preserve"> </v>
      </c>
      <c r="H22" s="90" t="str">
        <f>'Tæng kÕt R'!H24</f>
        <v xml:space="preserve"> </v>
      </c>
      <c r="I22" s="90" t="str">
        <f>'Tæng kÕt R'!I24</f>
        <v xml:space="preserve"> </v>
      </c>
      <c r="J22" s="90" t="str">
        <f>'Tæng kÕt R'!J24</f>
        <v xml:space="preserve"> </v>
      </c>
      <c r="K22" s="90" t="str">
        <f>'Tæng kÕt R'!K24</f>
        <v xml:space="preserve"> </v>
      </c>
      <c r="L22" s="285" t="str">
        <f t="shared" si="0"/>
        <v xml:space="preserve"> </v>
      </c>
      <c r="M22" s="285" t="str">
        <f t="shared" si="1"/>
        <v/>
      </c>
      <c r="N22" s="266" t="str">
        <f t="shared" si="2"/>
        <v/>
      </c>
      <c r="O22" s="267"/>
      <c r="P22" s="267"/>
    </row>
    <row r="23" spans="1:16" s="64" customFormat="1" ht="21" customHeight="1">
      <c r="A23" s="199" t="s">
        <v>146</v>
      </c>
      <c r="B23" s="90" t="str">
        <f>'Tæng kÕt R'!B25</f>
        <v xml:space="preserve"> </v>
      </c>
      <c r="C23" s="90" t="str">
        <f>'Tæng kÕt R'!C25</f>
        <v xml:space="preserve"> </v>
      </c>
      <c r="D23" s="90" t="str">
        <f>'Tæng kÕt R'!D25</f>
        <v xml:space="preserve"> </v>
      </c>
      <c r="E23" s="90" t="str">
        <f>'Tæng kÕt R'!E25</f>
        <v xml:space="preserve"> </v>
      </c>
      <c r="F23" s="167" t="str">
        <f>'Tæng kÕt R'!F25</f>
        <v xml:space="preserve"> </v>
      </c>
      <c r="G23" s="90" t="str">
        <f>'Tæng kÕt R'!G25</f>
        <v xml:space="preserve"> </v>
      </c>
      <c r="H23" s="90" t="str">
        <f>'Tæng kÕt R'!H25</f>
        <v xml:space="preserve"> </v>
      </c>
      <c r="I23" s="90" t="str">
        <f>'Tæng kÕt R'!I25</f>
        <v xml:space="preserve"> </v>
      </c>
      <c r="J23" s="90" t="str">
        <f>'Tæng kÕt R'!J25</f>
        <v xml:space="preserve"> </v>
      </c>
      <c r="K23" s="90" t="str">
        <f>'Tæng kÕt R'!K25</f>
        <v xml:space="preserve"> </v>
      </c>
      <c r="L23" s="285" t="str">
        <f t="shared" si="0"/>
        <v xml:space="preserve"> </v>
      </c>
      <c r="M23" s="285" t="str">
        <f t="shared" si="1"/>
        <v/>
      </c>
      <c r="N23" s="266" t="str">
        <f t="shared" si="2"/>
        <v/>
      </c>
      <c r="O23" s="267"/>
      <c r="P23" s="267"/>
    </row>
    <row r="24" spans="1:16" s="64" customFormat="1" ht="21" customHeight="1">
      <c r="A24" s="199" t="s">
        <v>147</v>
      </c>
      <c r="B24" s="90" t="str">
        <f>'Tæng kÕt R'!B26</f>
        <v xml:space="preserve"> </v>
      </c>
      <c r="C24" s="90" t="str">
        <f>'Tæng kÕt R'!C26</f>
        <v xml:space="preserve"> </v>
      </c>
      <c r="D24" s="90" t="str">
        <f>'Tæng kÕt R'!D26</f>
        <v xml:space="preserve"> </v>
      </c>
      <c r="E24" s="90" t="str">
        <f>'Tæng kÕt R'!E26</f>
        <v xml:space="preserve"> </v>
      </c>
      <c r="F24" s="167" t="str">
        <f>'Tæng kÕt R'!F26</f>
        <v xml:space="preserve"> </v>
      </c>
      <c r="G24" s="90" t="str">
        <f>'Tæng kÕt R'!G26</f>
        <v xml:space="preserve"> </v>
      </c>
      <c r="H24" s="90" t="str">
        <f>'Tæng kÕt R'!H26</f>
        <v xml:space="preserve"> </v>
      </c>
      <c r="I24" s="90" t="str">
        <f>'Tæng kÕt R'!I26</f>
        <v xml:space="preserve"> </v>
      </c>
      <c r="J24" s="90" t="str">
        <f>'Tæng kÕt R'!J26</f>
        <v xml:space="preserve"> </v>
      </c>
      <c r="K24" s="90" t="str">
        <f>'Tæng kÕt R'!K26</f>
        <v xml:space="preserve"> </v>
      </c>
      <c r="L24" s="285" t="str">
        <f t="shared" si="0"/>
        <v xml:space="preserve"> </v>
      </c>
      <c r="M24" s="285" t="str">
        <f t="shared" si="1"/>
        <v/>
      </c>
      <c r="N24" s="266" t="str">
        <f t="shared" si="2"/>
        <v/>
      </c>
      <c r="O24" s="267"/>
      <c r="P24" s="267"/>
    </row>
    <row r="25" spans="1:16" s="64" customFormat="1" ht="21" customHeight="1">
      <c r="A25" s="302" t="s">
        <v>191</v>
      </c>
      <c r="B25" s="90" t="str">
        <f>'Tæng kÕt R'!B27</f>
        <v xml:space="preserve"> </v>
      </c>
      <c r="C25" s="90" t="str">
        <f>'Tæng kÕt R'!C27</f>
        <v xml:space="preserve"> </v>
      </c>
      <c r="D25" s="90" t="str">
        <f>'Tæng kÕt R'!D27</f>
        <v xml:space="preserve"> </v>
      </c>
      <c r="E25" s="90" t="str">
        <f>'Tæng kÕt R'!E27</f>
        <v xml:space="preserve"> </v>
      </c>
      <c r="F25" s="167" t="str">
        <f>'Tæng kÕt R'!F27</f>
        <v xml:space="preserve"> </v>
      </c>
      <c r="G25" s="90" t="str">
        <f>'Tæng kÕt R'!G27</f>
        <v xml:space="preserve"> </v>
      </c>
      <c r="H25" s="90" t="str">
        <f>'Tæng kÕt R'!H27</f>
        <v xml:space="preserve"> </v>
      </c>
      <c r="I25" s="90" t="str">
        <f>'Tæng kÕt R'!I27</f>
        <v xml:space="preserve"> </v>
      </c>
      <c r="J25" s="90" t="str">
        <f>'Tæng kÕt R'!J27</f>
        <v xml:space="preserve"> </v>
      </c>
      <c r="K25" s="90" t="str">
        <f>'Tæng kÕt R'!K27</f>
        <v xml:space="preserve"> </v>
      </c>
      <c r="L25" s="285" t="str">
        <f t="shared" si="0"/>
        <v xml:space="preserve"> </v>
      </c>
      <c r="M25" s="285" t="str">
        <f t="shared" si="1"/>
        <v/>
      </c>
      <c r="N25" s="266" t="str">
        <f t="shared" si="2"/>
        <v/>
      </c>
      <c r="O25" s="267"/>
      <c r="P25" s="267"/>
    </row>
    <row r="26" spans="1:16" s="64" customFormat="1" ht="13.5" thickBot="1">
      <c r="A26" s="65"/>
      <c r="B26" s="281"/>
      <c r="C26" s="281"/>
      <c r="D26" s="281"/>
      <c r="E26" s="281"/>
      <c r="F26" s="282"/>
      <c r="G26" s="283"/>
      <c r="H26" s="283"/>
      <c r="I26" s="283"/>
      <c r="J26" s="283"/>
      <c r="K26" s="283"/>
      <c r="L26" s="283"/>
      <c r="M26" s="283"/>
      <c r="N26" s="284"/>
      <c r="O26" s="267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</row>
    <row r="28" spans="1:16" s="64" customFormat="1" ht="15">
      <c r="A28" s="66"/>
      <c r="B28" s="67" t="s">
        <v>15</v>
      </c>
      <c r="C28" s="66"/>
      <c r="D28" s="66"/>
      <c r="E28" s="66"/>
      <c r="F28" s="66"/>
      <c r="G28" s="66"/>
      <c r="H28" s="66"/>
      <c r="I28" s="66"/>
      <c r="J28" s="66"/>
      <c r="K28" s="66"/>
      <c r="L28" s="68">
        <f>MAX(L4:L24)</f>
        <v>0</v>
      </c>
      <c r="M28" s="68">
        <f>MAX(M4:M24)</f>
        <v>0</v>
      </c>
      <c r="N28" s="68">
        <f>MAX(N4:N24)</f>
        <v>0</v>
      </c>
    </row>
    <row r="29" spans="1:16" s="64" customForma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</row>
    <row r="30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S30"/>
  <sheetViews>
    <sheetView showGridLines="0" zoomScale="75" workbookViewId="0">
      <selection activeCell="B5" sqref="B5: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119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60" t="s">
        <v>0</v>
      </c>
      <c r="B3" s="61">
        <v>11</v>
      </c>
      <c r="C3" s="61">
        <v>12</v>
      </c>
      <c r="D3" s="61">
        <v>13</v>
      </c>
      <c r="E3" s="61">
        <v>14</v>
      </c>
      <c r="F3" s="61">
        <v>15</v>
      </c>
      <c r="G3" s="61">
        <v>16</v>
      </c>
      <c r="H3" s="61">
        <v>17</v>
      </c>
      <c r="I3" s="61">
        <v>18</v>
      </c>
      <c r="J3" s="61">
        <v>19</v>
      </c>
      <c r="K3" s="61">
        <v>20</v>
      </c>
      <c r="L3" s="62" t="s">
        <v>12</v>
      </c>
      <c r="M3" s="62" t="s">
        <v>13</v>
      </c>
      <c r="N3" s="81" t="s">
        <v>14</v>
      </c>
    </row>
    <row r="4" spans="1:16" s="64" customFormat="1" ht="21" customHeight="1">
      <c r="A4" s="198" t="s">
        <v>128</v>
      </c>
      <c r="B4" s="263" t="str">
        <f>'Tæng kÕt R'!L6</f>
        <v xml:space="preserve"> </v>
      </c>
      <c r="C4" s="263" t="str">
        <f>'Tæng kÕt R'!M6</f>
        <v xml:space="preserve"> </v>
      </c>
      <c r="D4" s="263" t="str">
        <f>'Tæng kÕt R'!N6</f>
        <v xml:space="preserve"> </v>
      </c>
      <c r="E4" s="263" t="str">
        <f>'Tæng kÕt R'!O6</f>
        <v xml:space="preserve"> </v>
      </c>
      <c r="F4" s="264" t="str">
        <f>'Tæng kÕt R'!P6</f>
        <v xml:space="preserve"> </v>
      </c>
      <c r="G4" s="263" t="str">
        <f>'Tæng kÕt R'!Q6</f>
        <v xml:space="preserve"> </v>
      </c>
      <c r="H4" s="263" t="str">
        <f>'Tæng kÕt R'!R6</f>
        <v xml:space="preserve"> </v>
      </c>
      <c r="I4" s="263" t="str">
        <f>'Tæng kÕt R'!S6</f>
        <v xml:space="preserve"> </v>
      </c>
      <c r="J4" s="263" t="str">
        <f>'Tæng kÕt R'!T6</f>
        <v xml:space="preserve"> </v>
      </c>
      <c r="K4" s="264" t="str">
        <f>'Tæng kÕt R'!U6</f>
        <v xml:space="preserve"> </v>
      </c>
      <c r="L4" s="265" t="str">
        <f>IF(COUNT(B4:F4)&gt;0,SUM(B4:F4)," ")</f>
        <v xml:space="preserve"> </v>
      </c>
      <c r="M4" s="265" t="str">
        <f>IF(COUNT(G4:K4)&gt;0,SUM(G4:K4),"")</f>
        <v/>
      </c>
      <c r="N4" s="266" t="str">
        <f>IF(AND(L4="-",M4="-"),"-",IF(COUNT(L4,M4)&gt;0,SUM(L4:M4),""))</f>
        <v/>
      </c>
      <c r="O4" s="267"/>
      <c r="P4" s="267"/>
    </row>
    <row r="5" spans="1:16" s="64" customFormat="1" ht="21" customHeight="1">
      <c r="A5" s="199" t="s">
        <v>129</v>
      </c>
      <c r="B5" s="263" t="str">
        <f>'Tæng kÕt R'!L7</f>
        <v xml:space="preserve"> </v>
      </c>
      <c r="C5" s="263" t="str">
        <f>'Tæng kÕt R'!M7</f>
        <v xml:space="preserve"> </v>
      </c>
      <c r="D5" s="263" t="str">
        <f>'Tæng kÕt R'!N7</f>
        <v xml:space="preserve"> </v>
      </c>
      <c r="E5" s="263" t="str">
        <f>'Tæng kÕt R'!O7</f>
        <v xml:space="preserve"> </v>
      </c>
      <c r="F5" s="264" t="str">
        <f>'Tæng kÕt R'!P7</f>
        <v xml:space="preserve"> </v>
      </c>
      <c r="G5" s="263" t="str">
        <f>'Tæng kÕt R'!Q7</f>
        <v xml:space="preserve"> </v>
      </c>
      <c r="H5" s="263" t="str">
        <f>'Tæng kÕt R'!R7</f>
        <v xml:space="preserve"> </v>
      </c>
      <c r="I5" s="263" t="str">
        <f>'Tæng kÕt R'!S7</f>
        <v xml:space="preserve"> </v>
      </c>
      <c r="J5" s="263" t="str">
        <f>'Tæng kÕt R'!T7</f>
        <v xml:space="preserve"> </v>
      </c>
      <c r="K5" s="264" t="str">
        <f>'Tæng kÕt R'!U7</f>
        <v xml:space="preserve"> </v>
      </c>
      <c r="L5" s="265" t="str">
        <f>IF(COUNT(B5:F5)&gt;0,SUM(B5:F5)," ")</f>
        <v xml:space="preserve"> </v>
      </c>
      <c r="M5" s="265" t="str">
        <f>IF(COUNT(G5:K5)&gt;0,SUM(G5:K5),"")</f>
        <v/>
      </c>
      <c r="N5" s="266" t="str">
        <f>IF(AND(L5="-",M5="-"),"-",IF(COUNT(L5,M5)&gt;0,SUM(L5:M5),""))</f>
        <v/>
      </c>
      <c r="O5" s="267"/>
      <c r="P5" s="267"/>
    </row>
    <row r="6" spans="1:16" s="64" customFormat="1" ht="21" customHeight="1">
      <c r="A6" s="200" t="s">
        <v>130</v>
      </c>
      <c r="B6" s="263" t="str">
        <f>'Tæng kÕt R'!L8</f>
        <v xml:space="preserve"> </v>
      </c>
      <c r="C6" s="263" t="str">
        <f>'Tæng kÕt R'!M8</f>
        <v xml:space="preserve"> </v>
      </c>
      <c r="D6" s="263" t="str">
        <f>'Tæng kÕt R'!N8</f>
        <v xml:space="preserve"> </v>
      </c>
      <c r="E6" s="263" t="str">
        <f>'Tæng kÕt R'!O8</f>
        <v xml:space="preserve"> </v>
      </c>
      <c r="F6" s="264" t="str">
        <f>'Tæng kÕt R'!P8</f>
        <v xml:space="preserve"> </v>
      </c>
      <c r="G6" s="263" t="str">
        <f>'Tæng kÕt R'!Q8</f>
        <v xml:space="preserve"> </v>
      </c>
      <c r="H6" s="263" t="str">
        <f>'Tæng kÕt R'!R8</f>
        <v xml:space="preserve"> </v>
      </c>
      <c r="I6" s="263" t="str">
        <f>'Tæng kÕt R'!S8</f>
        <v xml:space="preserve"> </v>
      </c>
      <c r="J6" s="263" t="str">
        <f>'Tæng kÕt R'!T8</f>
        <v xml:space="preserve"> </v>
      </c>
      <c r="K6" s="264" t="str">
        <f>'Tæng kÕt R'!U8</f>
        <v xml:space="preserve"> </v>
      </c>
      <c r="L6" s="265" t="str">
        <f t="shared" ref="L6:L25" si="0">IF(COUNT(B6:F6)&gt;0,SUM(B6:F6)," ")</f>
        <v xml:space="preserve"> </v>
      </c>
      <c r="M6" s="265" t="str">
        <f t="shared" ref="M6:M25" si="1">IF(COUNT(G6:K6)&gt;0,SUM(G6:K6),"")</f>
        <v/>
      </c>
      <c r="N6" s="266" t="str">
        <f t="shared" ref="N6:N25" si="2">IF(AND(L6="-",M6="-"),"-",IF(COUNT(L6,M6)&gt;0,SUM(L6:M6),""))</f>
        <v/>
      </c>
      <c r="O6" s="267"/>
      <c r="P6" s="267"/>
    </row>
    <row r="7" spans="1:16" s="64" customFormat="1" ht="21" customHeight="1">
      <c r="A7" s="199" t="s">
        <v>131</v>
      </c>
      <c r="B7" s="263" t="str">
        <f>'Tæng kÕt R'!L9</f>
        <v xml:space="preserve"> </v>
      </c>
      <c r="C7" s="263" t="str">
        <f>'Tæng kÕt R'!M9</f>
        <v xml:space="preserve"> </v>
      </c>
      <c r="D7" s="263" t="str">
        <f>'Tæng kÕt R'!N9</f>
        <v xml:space="preserve"> </v>
      </c>
      <c r="E7" s="263" t="str">
        <f>'Tæng kÕt R'!O9</f>
        <v xml:space="preserve"> </v>
      </c>
      <c r="F7" s="264" t="str">
        <f>'Tæng kÕt R'!P9</f>
        <v xml:space="preserve"> </v>
      </c>
      <c r="G7" s="263" t="str">
        <f>'Tæng kÕt R'!Q9</f>
        <v xml:space="preserve"> </v>
      </c>
      <c r="H7" s="263" t="str">
        <f>'Tæng kÕt R'!R9</f>
        <v xml:space="preserve"> </v>
      </c>
      <c r="I7" s="263" t="str">
        <f>'Tæng kÕt R'!S9</f>
        <v xml:space="preserve"> </v>
      </c>
      <c r="J7" s="263" t="str">
        <f>'Tæng kÕt R'!T9</f>
        <v xml:space="preserve"> </v>
      </c>
      <c r="K7" s="264" t="str">
        <f>'Tæng kÕt R'!U9</f>
        <v xml:space="preserve"> </v>
      </c>
      <c r="L7" s="265" t="str">
        <f t="shared" si="0"/>
        <v xml:space="preserve"> </v>
      </c>
      <c r="M7" s="265" t="str">
        <f t="shared" si="1"/>
        <v/>
      </c>
      <c r="N7" s="266" t="str">
        <f t="shared" si="2"/>
        <v/>
      </c>
      <c r="O7" s="267"/>
      <c r="P7" s="267"/>
    </row>
    <row r="8" spans="1:16" s="64" customFormat="1" ht="21" customHeight="1">
      <c r="A8" s="199" t="s">
        <v>132</v>
      </c>
      <c r="B8" s="263" t="str">
        <f>'Tæng kÕt R'!L10</f>
        <v xml:space="preserve"> </v>
      </c>
      <c r="C8" s="263" t="str">
        <f>'Tæng kÕt R'!M10</f>
        <v xml:space="preserve"> </v>
      </c>
      <c r="D8" s="263" t="str">
        <f>'Tæng kÕt R'!N10</f>
        <v xml:space="preserve"> </v>
      </c>
      <c r="E8" s="263" t="str">
        <f>'Tæng kÕt R'!O10</f>
        <v xml:space="preserve"> </v>
      </c>
      <c r="F8" s="264" t="str">
        <f>'Tæng kÕt R'!P10</f>
        <v xml:space="preserve"> </v>
      </c>
      <c r="G8" s="263" t="str">
        <f>'Tæng kÕt R'!Q10</f>
        <v xml:space="preserve"> </v>
      </c>
      <c r="H8" s="263" t="str">
        <f>'Tæng kÕt R'!R10</f>
        <v xml:space="preserve"> </v>
      </c>
      <c r="I8" s="263" t="str">
        <f>'Tæng kÕt R'!S10</f>
        <v xml:space="preserve"> </v>
      </c>
      <c r="J8" s="263" t="str">
        <f>'Tæng kÕt R'!T10</f>
        <v xml:space="preserve"> </v>
      </c>
      <c r="K8" s="264" t="str">
        <f>'Tæng kÕt R'!U10</f>
        <v xml:space="preserve"> </v>
      </c>
      <c r="L8" s="265" t="str">
        <f t="shared" si="0"/>
        <v xml:space="preserve"> </v>
      </c>
      <c r="M8" s="265" t="str">
        <f t="shared" si="1"/>
        <v/>
      </c>
      <c r="N8" s="266" t="str">
        <f t="shared" si="2"/>
        <v/>
      </c>
      <c r="O8" s="267"/>
      <c r="P8" s="267"/>
    </row>
    <row r="9" spans="1:16" s="64" customFormat="1" ht="21" customHeight="1">
      <c r="A9" s="199" t="s">
        <v>133</v>
      </c>
      <c r="B9" s="263" t="str">
        <f>'Tæng kÕt R'!L11</f>
        <v xml:space="preserve"> </v>
      </c>
      <c r="C9" s="263" t="str">
        <f>'Tæng kÕt R'!M11</f>
        <v xml:space="preserve"> </v>
      </c>
      <c r="D9" s="263" t="str">
        <f>'Tæng kÕt R'!N11</f>
        <v xml:space="preserve"> </v>
      </c>
      <c r="E9" s="263" t="str">
        <f>'Tæng kÕt R'!O11</f>
        <v xml:space="preserve"> </v>
      </c>
      <c r="F9" s="264" t="str">
        <f>'Tæng kÕt R'!P11</f>
        <v xml:space="preserve"> </v>
      </c>
      <c r="G9" s="263" t="str">
        <f>'Tæng kÕt R'!Q11</f>
        <v xml:space="preserve"> </v>
      </c>
      <c r="H9" s="263" t="str">
        <f>'Tæng kÕt R'!R11</f>
        <v xml:space="preserve"> </v>
      </c>
      <c r="I9" s="263" t="str">
        <f>'Tæng kÕt R'!S11</f>
        <v xml:space="preserve"> </v>
      </c>
      <c r="J9" s="263" t="str">
        <f>'Tæng kÕt R'!T11</f>
        <v xml:space="preserve"> </v>
      </c>
      <c r="K9" s="264" t="str">
        <f>'Tæng kÕt R'!U11</f>
        <v xml:space="preserve"> </v>
      </c>
      <c r="L9" s="265" t="str">
        <f t="shared" si="0"/>
        <v xml:space="preserve"> </v>
      </c>
      <c r="M9" s="265" t="str">
        <f t="shared" si="1"/>
        <v/>
      </c>
      <c r="N9" s="266" t="str">
        <f t="shared" si="2"/>
        <v/>
      </c>
      <c r="O9" s="267"/>
      <c r="P9" s="267"/>
    </row>
    <row r="10" spans="1:16" s="64" customFormat="1" ht="21" customHeight="1">
      <c r="A10" s="199" t="s">
        <v>134</v>
      </c>
      <c r="B10" s="263" t="str">
        <f>'Tæng kÕt R'!L12</f>
        <v xml:space="preserve"> </v>
      </c>
      <c r="C10" s="263" t="str">
        <f>'Tæng kÕt R'!M12</f>
        <v xml:space="preserve"> </v>
      </c>
      <c r="D10" s="263" t="str">
        <f>'Tæng kÕt R'!N12</f>
        <v xml:space="preserve"> </v>
      </c>
      <c r="E10" s="263" t="str">
        <f>'Tæng kÕt R'!O12</f>
        <v xml:space="preserve"> </v>
      </c>
      <c r="F10" s="264" t="str">
        <f>'Tæng kÕt R'!P12</f>
        <v xml:space="preserve"> </v>
      </c>
      <c r="G10" s="263" t="str">
        <f>'Tæng kÕt R'!Q12</f>
        <v xml:space="preserve"> </v>
      </c>
      <c r="H10" s="263" t="str">
        <f>'Tæng kÕt R'!R12</f>
        <v xml:space="preserve"> </v>
      </c>
      <c r="I10" s="263" t="str">
        <f>'Tæng kÕt R'!S12</f>
        <v xml:space="preserve"> </v>
      </c>
      <c r="J10" s="263" t="str">
        <f>'Tæng kÕt R'!T12</f>
        <v xml:space="preserve"> </v>
      </c>
      <c r="K10" s="264" t="str">
        <f>'Tæng kÕt R'!U12</f>
        <v xml:space="preserve"> </v>
      </c>
      <c r="L10" s="265" t="str">
        <f t="shared" si="0"/>
        <v xml:space="preserve"> </v>
      </c>
      <c r="M10" s="265" t="str">
        <f t="shared" si="1"/>
        <v/>
      </c>
      <c r="N10" s="266" t="str">
        <f t="shared" si="2"/>
        <v/>
      </c>
      <c r="O10" s="267"/>
      <c r="P10" s="267"/>
    </row>
    <row r="11" spans="1:16" s="64" customFormat="1" ht="21" customHeight="1">
      <c r="A11" s="199" t="s">
        <v>192</v>
      </c>
      <c r="B11" s="263" t="str">
        <f>'Tæng kÕt R'!L13</f>
        <v xml:space="preserve"> </v>
      </c>
      <c r="C11" s="263" t="str">
        <f>'Tæng kÕt R'!M13</f>
        <v xml:space="preserve"> </v>
      </c>
      <c r="D11" s="263" t="str">
        <f>'Tæng kÕt R'!N13</f>
        <v xml:space="preserve"> </v>
      </c>
      <c r="E11" s="263" t="str">
        <f>'Tæng kÕt R'!O13</f>
        <v xml:space="preserve"> </v>
      </c>
      <c r="F11" s="264" t="str">
        <f>'Tæng kÕt R'!P13</f>
        <v xml:space="preserve"> </v>
      </c>
      <c r="G11" s="263" t="str">
        <f>'Tæng kÕt R'!Q13</f>
        <v xml:space="preserve"> </v>
      </c>
      <c r="H11" s="263" t="str">
        <f>'Tæng kÕt R'!R13</f>
        <v xml:space="preserve"> </v>
      </c>
      <c r="I11" s="263" t="str">
        <f>'Tæng kÕt R'!S13</f>
        <v xml:space="preserve"> </v>
      </c>
      <c r="J11" s="263" t="str">
        <f>'Tæng kÕt R'!T13</f>
        <v xml:space="preserve"> </v>
      </c>
      <c r="K11" s="264" t="str">
        <f>'Tæng kÕt R'!U13</f>
        <v xml:space="preserve"> </v>
      </c>
      <c r="L11" s="265" t="str">
        <f t="shared" si="0"/>
        <v xml:space="preserve"> </v>
      </c>
      <c r="M11" s="265" t="str">
        <f t="shared" si="1"/>
        <v/>
      </c>
      <c r="N11" s="266" t="str">
        <f t="shared" si="2"/>
        <v/>
      </c>
      <c r="O11" s="267"/>
      <c r="P11" s="267"/>
    </row>
    <row r="12" spans="1:16" s="64" customFormat="1" ht="21" customHeight="1">
      <c r="A12" s="199" t="s">
        <v>135</v>
      </c>
      <c r="B12" s="263" t="str">
        <f>'Tæng kÕt R'!L14</f>
        <v xml:space="preserve"> </v>
      </c>
      <c r="C12" s="263" t="str">
        <f>'Tæng kÕt R'!M14</f>
        <v xml:space="preserve"> </v>
      </c>
      <c r="D12" s="263" t="str">
        <f>'Tæng kÕt R'!N14</f>
        <v xml:space="preserve"> </v>
      </c>
      <c r="E12" s="263" t="str">
        <f>'Tæng kÕt R'!O14</f>
        <v xml:space="preserve"> </v>
      </c>
      <c r="F12" s="264" t="str">
        <f>'Tæng kÕt R'!P14</f>
        <v xml:space="preserve"> </v>
      </c>
      <c r="G12" s="263" t="str">
        <f>'Tæng kÕt R'!Q14</f>
        <v xml:space="preserve"> </v>
      </c>
      <c r="H12" s="263" t="str">
        <f>'Tæng kÕt R'!R14</f>
        <v xml:space="preserve"> </v>
      </c>
      <c r="I12" s="263" t="str">
        <f>'Tæng kÕt R'!S14</f>
        <v xml:space="preserve"> </v>
      </c>
      <c r="J12" s="263" t="str">
        <f>'Tæng kÕt R'!T14</f>
        <v xml:space="preserve"> </v>
      </c>
      <c r="K12" s="264" t="str">
        <f>'Tæng kÕt R'!U14</f>
        <v xml:space="preserve"> </v>
      </c>
      <c r="L12" s="265" t="str">
        <f t="shared" si="0"/>
        <v xml:space="preserve"> </v>
      </c>
      <c r="M12" s="265" t="str">
        <f t="shared" si="1"/>
        <v/>
      </c>
      <c r="N12" s="266" t="str">
        <f t="shared" si="2"/>
        <v/>
      </c>
      <c r="O12" s="267"/>
      <c r="P12" s="267"/>
    </row>
    <row r="13" spans="1:16" s="64" customFormat="1" ht="21" customHeight="1">
      <c r="A13" s="199" t="s">
        <v>136</v>
      </c>
      <c r="B13" s="263" t="str">
        <f>'Tæng kÕt R'!L15</f>
        <v xml:space="preserve"> </v>
      </c>
      <c r="C13" s="263" t="str">
        <f>'Tæng kÕt R'!M15</f>
        <v xml:space="preserve"> </v>
      </c>
      <c r="D13" s="263" t="str">
        <f>'Tæng kÕt R'!N15</f>
        <v xml:space="preserve"> </v>
      </c>
      <c r="E13" s="263" t="str">
        <f>'Tæng kÕt R'!O15</f>
        <v xml:space="preserve"> </v>
      </c>
      <c r="F13" s="264" t="str">
        <f>'Tæng kÕt R'!P15</f>
        <v xml:space="preserve"> </v>
      </c>
      <c r="G13" s="263" t="str">
        <f>'Tæng kÕt R'!Q15</f>
        <v xml:space="preserve"> </v>
      </c>
      <c r="H13" s="263" t="str">
        <f>'Tæng kÕt R'!R15</f>
        <v xml:space="preserve"> </v>
      </c>
      <c r="I13" s="263" t="str">
        <f>'Tæng kÕt R'!S15</f>
        <v xml:space="preserve"> </v>
      </c>
      <c r="J13" s="263" t="str">
        <f>'Tæng kÕt R'!T15</f>
        <v xml:space="preserve"> </v>
      </c>
      <c r="K13" s="264" t="str">
        <f>'Tæng kÕt R'!U15</f>
        <v xml:space="preserve"> </v>
      </c>
      <c r="L13" s="265" t="str">
        <f t="shared" si="0"/>
        <v xml:space="preserve"> </v>
      </c>
      <c r="M13" s="265" t="str">
        <f t="shared" si="1"/>
        <v/>
      </c>
      <c r="N13" s="266" t="str">
        <f t="shared" si="2"/>
        <v/>
      </c>
      <c r="O13" s="267"/>
      <c r="P13" s="267"/>
    </row>
    <row r="14" spans="1:16" s="64" customFormat="1" ht="21" customHeight="1">
      <c r="A14" s="200" t="s">
        <v>137</v>
      </c>
      <c r="B14" s="263" t="str">
        <f>'Tæng kÕt R'!L16</f>
        <v xml:space="preserve"> </v>
      </c>
      <c r="C14" s="263" t="str">
        <f>'Tæng kÕt R'!M16</f>
        <v xml:space="preserve"> </v>
      </c>
      <c r="D14" s="263" t="str">
        <f>'Tæng kÕt R'!N16</f>
        <v xml:space="preserve"> </v>
      </c>
      <c r="E14" s="263" t="str">
        <f>'Tæng kÕt R'!O16</f>
        <v xml:space="preserve"> </v>
      </c>
      <c r="F14" s="264" t="str">
        <f>'Tæng kÕt R'!P16</f>
        <v xml:space="preserve"> </v>
      </c>
      <c r="G14" s="263" t="str">
        <f>'Tæng kÕt R'!Q16</f>
        <v xml:space="preserve"> </v>
      </c>
      <c r="H14" s="263" t="str">
        <f>'Tæng kÕt R'!R16</f>
        <v xml:space="preserve"> </v>
      </c>
      <c r="I14" s="263" t="str">
        <f>'Tæng kÕt R'!S16</f>
        <v xml:space="preserve"> </v>
      </c>
      <c r="J14" s="263" t="str">
        <f>'Tæng kÕt R'!T16</f>
        <v xml:space="preserve"> </v>
      </c>
      <c r="K14" s="264" t="str">
        <f>'Tæng kÕt R'!U16</f>
        <v xml:space="preserve"> </v>
      </c>
      <c r="L14" s="265" t="str">
        <f t="shared" si="0"/>
        <v xml:space="preserve"> </v>
      </c>
      <c r="M14" s="265" t="str">
        <f t="shared" si="1"/>
        <v/>
      </c>
      <c r="N14" s="266" t="str">
        <f t="shared" si="2"/>
        <v/>
      </c>
      <c r="O14" s="267"/>
      <c r="P14" s="267"/>
    </row>
    <row r="15" spans="1:16" s="64" customFormat="1" ht="21" customHeight="1">
      <c r="A15" s="199" t="s">
        <v>138</v>
      </c>
      <c r="B15" s="263" t="str">
        <f>'Tæng kÕt R'!L17</f>
        <v xml:space="preserve"> </v>
      </c>
      <c r="C15" s="263" t="str">
        <f>'Tæng kÕt R'!M17</f>
        <v xml:space="preserve"> </v>
      </c>
      <c r="D15" s="263" t="str">
        <f>'Tæng kÕt R'!N17</f>
        <v xml:space="preserve"> </v>
      </c>
      <c r="E15" s="263" t="str">
        <f>'Tæng kÕt R'!O17</f>
        <v xml:space="preserve"> </v>
      </c>
      <c r="F15" s="264" t="str">
        <f>'Tæng kÕt R'!P17</f>
        <v xml:space="preserve"> </v>
      </c>
      <c r="G15" s="263" t="str">
        <f>'Tæng kÕt R'!Q17</f>
        <v xml:space="preserve"> </v>
      </c>
      <c r="H15" s="263" t="str">
        <f>'Tæng kÕt R'!R17</f>
        <v xml:space="preserve"> </v>
      </c>
      <c r="I15" s="263" t="str">
        <f>'Tæng kÕt R'!S17</f>
        <v xml:space="preserve"> </v>
      </c>
      <c r="J15" s="263" t="str">
        <f>'Tæng kÕt R'!T17</f>
        <v xml:space="preserve"> </v>
      </c>
      <c r="K15" s="264" t="str">
        <f>'Tæng kÕt R'!U17</f>
        <v xml:space="preserve"> </v>
      </c>
      <c r="L15" s="265" t="str">
        <f t="shared" si="0"/>
        <v xml:space="preserve"> </v>
      </c>
      <c r="M15" s="265" t="str">
        <f t="shared" si="1"/>
        <v/>
      </c>
      <c r="N15" s="266" t="str">
        <f t="shared" si="2"/>
        <v/>
      </c>
      <c r="O15" s="267"/>
      <c r="P15" s="267"/>
    </row>
    <row r="16" spans="1:16" s="64" customFormat="1" ht="21" customHeight="1">
      <c r="A16" s="200" t="s">
        <v>139</v>
      </c>
      <c r="B16" s="263" t="str">
        <f>'Tæng kÕt R'!L18</f>
        <v xml:space="preserve"> </v>
      </c>
      <c r="C16" s="263" t="str">
        <f>'Tæng kÕt R'!M18</f>
        <v xml:space="preserve"> </v>
      </c>
      <c r="D16" s="263" t="str">
        <f>'Tæng kÕt R'!N18</f>
        <v xml:space="preserve"> </v>
      </c>
      <c r="E16" s="263" t="str">
        <f>'Tæng kÕt R'!O18</f>
        <v xml:space="preserve"> </v>
      </c>
      <c r="F16" s="264" t="str">
        <f>'Tæng kÕt R'!P18</f>
        <v xml:space="preserve"> </v>
      </c>
      <c r="G16" s="263" t="str">
        <f>'Tæng kÕt R'!Q18</f>
        <v xml:space="preserve"> </v>
      </c>
      <c r="H16" s="263" t="str">
        <f>'Tæng kÕt R'!R18</f>
        <v xml:space="preserve"> </v>
      </c>
      <c r="I16" s="263" t="str">
        <f>'Tæng kÕt R'!S18</f>
        <v xml:space="preserve"> </v>
      </c>
      <c r="J16" s="263" t="str">
        <f>'Tæng kÕt R'!T18</f>
        <v xml:space="preserve"> </v>
      </c>
      <c r="K16" s="264" t="str">
        <f>'Tæng kÕt R'!U18</f>
        <v xml:space="preserve"> </v>
      </c>
      <c r="L16" s="265" t="str">
        <f t="shared" si="0"/>
        <v xml:space="preserve"> </v>
      </c>
      <c r="M16" s="265" t="str">
        <f t="shared" si="1"/>
        <v/>
      </c>
      <c r="N16" s="266" t="str">
        <f t="shared" si="2"/>
        <v/>
      </c>
      <c r="O16" s="267"/>
      <c r="P16" s="267"/>
    </row>
    <row r="17" spans="1:16" s="64" customFormat="1" ht="21" customHeight="1">
      <c r="A17" s="199" t="s">
        <v>140</v>
      </c>
      <c r="B17" s="263" t="str">
        <f>'Tæng kÕt R'!L19</f>
        <v xml:space="preserve"> </v>
      </c>
      <c r="C17" s="263" t="str">
        <f>'Tæng kÕt R'!M19</f>
        <v xml:space="preserve"> </v>
      </c>
      <c r="D17" s="263" t="str">
        <f>'Tæng kÕt R'!N19</f>
        <v xml:space="preserve"> </v>
      </c>
      <c r="E17" s="263" t="str">
        <f>'Tæng kÕt R'!O19</f>
        <v xml:space="preserve"> </v>
      </c>
      <c r="F17" s="264" t="str">
        <f>'Tæng kÕt R'!P19</f>
        <v xml:space="preserve"> </v>
      </c>
      <c r="G17" s="263" t="str">
        <f>'Tæng kÕt R'!Q19</f>
        <v xml:space="preserve"> </v>
      </c>
      <c r="H17" s="263" t="str">
        <f>'Tæng kÕt R'!R19</f>
        <v xml:space="preserve"> </v>
      </c>
      <c r="I17" s="263" t="str">
        <f>'Tæng kÕt R'!S19</f>
        <v xml:space="preserve"> </v>
      </c>
      <c r="J17" s="263" t="str">
        <f>'Tæng kÕt R'!T19</f>
        <v xml:space="preserve"> </v>
      </c>
      <c r="K17" s="264" t="str">
        <f>'Tæng kÕt R'!U19</f>
        <v xml:space="preserve"> </v>
      </c>
      <c r="L17" s="265" t="str">
        <f t="shared" si="0"/>
        <v xml:space="preserve"> </v>
      </c>
      <c r="M17" s="265" t="str">
        <f t="shared" si="1"/>
        <v/>
      </c>
      <c r="N17" s="266" t="str">
        <f t="shared" si="2"/>
        <v/>
      </c>
      <c r="O17" s="267"/>
      <c r="P17" s="267"/>
    </row>
    <row r="18" spans="1:16" s="64" customFormat="1" ht="21" customHeight="1">
      <c r="A18" s="200" t="s">
        <v>141</v>
      </c>
      <c r="B18" s="263" t="str">
        <f>'Tæng kÕt R'!L20</f>
        <v xml:space="preserve"> </v>
      </c>
      <c r="C18" s="263" t="str">
        <f>'Tæng kÕt R'!M20</f>
        <v xml:space="preserve"> </v>
      </c>
      <c r="D18" s="263" t="str">
        <f>'Tæng kÕt R'!N20</f>
        <v xml:space="preserve"> </v>
      </c>
      <c r="E18" s="263" t="str">
        <f>'Tæng kÕt R'!O20</f>
        <v xml:space="preserve"> </v>
      </c>
      <c r="F18" s="264" t="str">
        <f>'Tæng kÕt R'!P20</f>
        <v xml:space="preserve"> </v>
      </c>
      <c r="G18" s="263" t="str">
        <f>'Tæng kÕt R'!Q20</f>
        <v xml:space="preserve"> </v>
      </c>
      <c r="H18" s="263" t="str">
        <f>'Tæng kÕt R'!R20</f>
        <v xml:space="preserve"> </v>
      </c>
      <c r="I18" s="263" t="str">
        <f>'Tæng kÕt R'!S20</f>
        <v xml:space="preserve"> </v>
      </c>
      <c r="J18" s="263" t="str">
        <f>'Tæng kÕt R'!T20</f>
        <v xml:space="preserve"> </v>
      </c>
      <c r="K18" s="264" t="str">
        <f>'Tæng kÕt R'!U20</f>
        <v xml:space="preserve"> </v>
      </c>
      <c r="L18" s="265" t="str">
        <f t="shared" si="0"/>
        <v xml:space="preserve"> </v>
      </c>
      <c r="M18" s="265" t="str">
        <f t="shared" si="1"/>
        <v/>
      </c>
      <c r="N18" s="266" t="str">
        <f t="shared" si="2"/>
        <v/>
      </c>
      <c r="O18" s="267"/>
      <c r="P18" s="267"/>
    </row>
    <row r="19" spans="1:16" s="64" customFormat="1" ht="21" customHeight="1">
      <c r="A19" s="199" t="s">
        <v>142</v>
      </c>
      <c r="B19" s="263" t="str">
        <f>'Tæng kÕt R'!L21</f>
        <v xml:space="preserve"> </v>
      </c>
      <c r="C19" s="263" t="str">
        <f>'Tæng kÕt R'!M21</f>
        <v xml:space="preserve"> </v>
      </c>
      <c r="D19" s="263" t="str">
        <f>'Tæng kÕt R'!N21</f>
        <v xml:space="preserve"> </v>
      </c>
      <c r="E19" s="263" t="str">
        <f>'Tæng kÕt R'!O21</f>
        <v xml:space="preserve"> </v>
      </c>
      <c r="F19" s="264" t="str">
        <f>'Tæng kÕt R'!P21</f>
        <v xml:space="preserve"> </v>
      </c>
      <c r="G19" s="263" t="str">
        <f>'Tæng kÕt R'!Q21</f>
        <v xml:space="preserve"> </v>
      </c>
      <c r="H19" s="263" t="str">
        <f>'Tæng kÕt R'!R21</f>
        <v xml:space="preserve"> </v>
      </c>
      <c r="I19" s="263" t="str">
        <f>'Tæng kÕt R'!S21</f>
        <v xml:space="preserve"> </v>
      </c>
      <c r="J19" s="263" t="str">
        <f>'Tæng kÕt R'!T21</f>
        <v xml:space="preserve"> </v>
      </c>
      <c r="K19" s="264" t="str">
        <f>'Tæng kÕt R'!U21</f>
        <v xml:space="preserve"> </v>
      </c>
      <c r="L19" s="265" t="str">
        <f t="shared" si="0"/>
        <v xml:space="preserve"> </v>
      </c>
      <c r="M19" s="265" t="str">
        <f t="shared" si="1"/>
        <v/>
      </c>
      <c r="N19" s="266" t="str">
        <f t="shared" si="2"/>
        <v/>
      </c>
      <c r="O19" s="267"/>
      <c r="P19" s="267"/>
    </row>
    <row r="20" spans="1:16" s="64" customFormat="1" ht="21" customHeight="1">
      <c r="A20" s="199" t="s">
        <v>143</v>
      </c>
      <c r="B20" s="263" t="str">
        <f>'Tæng kÕt R'!L22</f>
        <v xml:space="preserve"> </v>
      </c>
      <c r="C20" s="263" t="str">
        <f>'Tæng kÕt R'!M22</f>
        <v xml:space="preserve"> </v>
      </c>
      <c r="D20" s="263" t="str">
        <f>'Tæng kÕt R'!N22</f>
        <v xml:space="preserve"> </v>
      </c>
      <c r="E20" s="263" t="str">
        <f>'Tæng kÕt R'!O22</f>
        <v xml:space="preserve"> </v>
      </c>
      <c r="F20" s="264" t="str">
        <f>'Tæng kÕt R'!P22</f>
        <v xml:space="preserve"> </v>
      </c>
      <c r="G20" s="263" t="str">
        <f>'Tæng kÕt R'!Q22</f>
        <v xml:space="preserve"> </v>
      </c>
      <c r="H20" s="263" t="str">
        <f>'Tæng kÕt R'!R22</f>
        <v xml:space="preserve"> </v>
      </c>
      <c r="I20" s="263" t="str">
        <f>'Tæng kÕt R'!S22</f>
        <v xml:space="preserve"> </v>
      </c>
      <c r="J20" s="263" t="str">
        <f>'Tæng kÕt R'!T22</f>
        <v xml:space="preserve"> </v>
      </c>
      <c r="K20" s="264" t="str">
        <f>'Tæng kÕt R'!U22</f>
        <v xml:space="preserve"> </v>
      </c>
      <c r="L20" s="265" t="str">
        <f t="shared" si="0"/>
        <v xml:space="preserve"> </v>
      </c>
      <c r="M20" s="265" t="str">
        <f t="shared" si="1"/>
        <v/>
      </c>
      <c r="N20" s="266" t="str">
        <f t="shared" si="2"/>
        <v/>
      </c>
      <c r="O20" s="267"/>
      <c r="P20" s="267"/>
    </row>
    <row r="21" spans="1:16" s="64" customFormat="1" ht="21" customHeight="1">
      <c r="A21" s="199" t="s">
        <v>144</v>
      </c>
      <c r="B21" s="263" t="str">
        <f>'Tæng kÕt R'!L23</f>
        <v xml:space="preserve"> </v>
      </c>
      <c r="C21" s="263" t="str">
        <f>'Tæng kÕt R'!M23</f>
        <v xml:space="preserve"> </v>
      </c>
      <c r="D21" s="263" t="str">
        <f>'Tæng kÕt R'!N23</f>
        <v xml:space="preserve"> </v>
      </c>
      <c r="E21" s="263" t="str">
        <f>'Tæng kÕt R'!O23</f>
        <v xml:space="preserve"> </v>
      </c>
      <c r="F21" s="264" t="str">
        <f>'Tæng kÕt R'!P23</f>
        <v xml:space="preserve"> </v>
      </c>
      <c r="G21" s="263" t="str">
        <f>'Tæng kÕt R'!Q23</f>
        <v xml:space="preserve"> </v>
      </c>
      <c r="H21" s="263" t="str">
        <f>'Tæng kÕt R'!R23</f>
        <v xml:space="preserve"> </v>
      </c>
      <c r="I21" s="263" t="str">
        <f>'Tæng kÕt R'!S23</f>
        <v xml:space="preserve"> </v>
      </c>
      <c r="J21" s="263" t="str">
        <f>'Tæng kÕt R'!T23</f>
        <v xml:space="preserve"> </v>
      </c>
      <c r="K21" s="264" t="str">
        <f>'Tæng kÕt R'!U23</f>
        <v xml:space="preserve"> </v>
      </c>
      <c r="L21" s="265" t="str">
        <f t="shared" si="0"/>
        <v xml:space="preserve"> </v>
      </c>
      <c r="M21" s="265" t="str">
        <f t="shared" si="1"/>
        <v/>
      </c>
      <c r="N21" s="266" t="str">
        <f t="shared" si="2"/>
        <v/>
      </c>
      <c r="O21" s="267"/>
      <c r="P21" s="267"/>
    </row>
    <row r="22" spans="1:16" s="64" customFormat="1" ht="21" customHeight="1">
      <c r="A22" s="199" t="s">
        <v>145</v>
      </c>
      <c r="B22" s="263" t="str">
        <f>'Tæng kÕt R'!L24</f>
        <v xml:space="preserve"> </v>
      </c>
      <c r="C22" s="263" t="str">
        <f>'Tæng kÕt R'!M24</f>
        <v xml:space="preserve"> </v>
      </c>
      <c r="D22" s="263" t="str">
        <f>'Tæng kÕt R'!N24</f>
        <v xml:space="preserve"> </v>
      </c>
      <c r="E22" s="263" t="str">
        <f>'Tæng kÕt R'!O24</f>
        <v xml:space="preserve"> </v>
      </c>
      <c r="F22" s="264" t="str">
        <f>'Tæng kÕt R'!P24</f>
        <v xml:space="preserve"> </v>
      </c>
      <c r="G22" s="263" t="str">
        <f>'Tæng kÕt R'!Q24</f>
        <v xml:space="preserve"> </v>
      </c>
      <c r="H22" s="263" t="str">
        <f>'Tæng kÕt R'!R24</f>
        <v xml:space="preserve"> </v>
      </c>
      <c r="I22" s="263" t="str">
        <f>'Tæng kÕt R'!S24</f>
        <v xml:space="preserve"> </v>
      </c>
      <c r="J22" s="263" t="str">
        <f>'Tæng kÕt R'!T24</f>
        <v xml:space="preserve"> </v>
      </c>
      <c r="K22" s="264" t="str">
        <f>'Tæng kÕt R'!U24</f>
        <v xml:space="preserve"> </v>
      </c>
      <c r="L22" s="265" t="str">
        <f t="shared" si="0"/>
        <v xml:space="preserve"> </v>
      </c>
      <c r="M22" s="265" t="str">
        <f t="shared" si="1"/>
        <v/>
      </c>
      <c r="N22" s="266" t="str">
        <f t="shared" si="2"/>
        <v/>
      </c>
      <c r="O22" s="267"/>
      <c r="P22" s="267"/>
    </row>
    <row r="23" spans="1:16" s="64" customFormat="1" ht="21" customHeight="1">
      <c r="A23" s="199" t="s">
        <v>146</v>
      </c>
      <c r="B23" s="263" t="str">
        <f>'Tæng kÕt R'!L25</f>
        <v xml:space="preserve"> </v>
      </c>
      <c r="C23" s="263" t="str">
        <f>'Tæng kÕt R'!M25</f>
        <v xml:space="preserve"> </v>
      </c>
      <c r="D23" s="263" t="str">
        <f>'Tæng kÕt R'!N25</f>
        <v xml:space="preserve"> </v>
      </c>
      <c r="E23" s="263" t="str">
        <f>'Tæng kÕt R'!O25</f>
        <v xml:space="preserve"> </v>
      </c>
      <c r="F23" s="264" t="str">
        <f>'Tæng kÕt R'!P25</f>
        <v xml:space="preserve"> </v>
      </c>
      <c r="G23" s="263" t="str">
        <f>'Tæng kÕt R'!Q25</f>
        <v xml:space="preserve"> </v>
      </c>
      <c r="H23" s="263" t="str">
        <f>'Tæng kÕt R'!R25</f>
        <v xml:space="preserve"> </v>
      </c>
      <c r="I23" s="263" t="str">
        <f>'Tæng kÕt R'!S25</f>
        <v xml:space="preserve"> </v>
      </c>
      <c r="J23" s="263" t="str">
        <f>'Tæng kÕt R'!T25</f>
        <v xml:space="preserve"> </v>
      </c>
      <c r="K23" s="264" t="str">
        <f>'Tæng kÕt R'!U25</f>
        <v xml:space="preserve"> </v>
      </c>
      <c r="L23" s="265" t="str">
        <f t="shared" si="0"/>
        <v xml:space="preserve"> </v>
      </c>
      <c r="M23" s="265" t="str">
        <f t="shared" si="1"/>
        <v/>
      </c>
      <c r="N23" s="266" t="str">
        <f t="shared" si="2"/>
        <v/>
      </c>
      <c r="O23" s="267"/>
      <c r="P23" s="267"/>
    </row>
    <row r="24" spans="1:16" s="64" customFormat="1" ht="21" customHeight="1">
      <c r="A24" s="199" t="s">
        <v>147</v>
      </c>
      <c r="B24" s="263" t="str">
        <f>'Tæng kÕt R'!L26</f>
        <v xml:space="preserve"> </v>
      </c>
      <c r="C24" s="263" t="str">
        <f>'Tæng kÕt R'!M26</f>
        <v xml:space="preserve"> </v>
      </c>
      <c r="D24" s="263" t="str">
        <f>'Tæng kÕt R'!N26</f>
        <v xml:space="preserve"> </v>
      </c>
      <c r="E24" s="263" t="str">
        <f>'Tæng kÕt R'!O26</f>
        <v xml:space="preserve"> </v>
      </c>
      <c r="F24" s="264" t="str">
        <f>'Tæng kÕt R'!P26</f>
        <v xml:space="preserve"> </v>
      </c>
      <c r="G24" s="263" t="str">
        <f>'Tæng kÕt R'!Q26</f>
        <v xml:space="preserve"> </v>
      </c>
      <c r="H24" s="263" t="str">
        <f>'Tæng kÕt R'!R26</f>
        <v xml:space="preserve"> </v>
      </c>
      <c r="I24" s="263" t="str">
        <f>'Tæng kÕt R'!S26</f>
        <v xml:space="preserve"> </v>
      </c>
      <c r="J24" s="263" t="str">
        <f>'Tæng kÕt R'!T26</f>
        <v xml:space="preserve"> </v>
      </c>
      <c r="K24" s="264" t="str">
        <f>'Tæng kÕt R'!U26</f>
        <v xml:space="preserve"> </v>
      </c>
      <c r="L24" s="265" t="str">
        <f t="shared" si="0"/>
        <v xml:space="preserve"> </v>
      </c>
      <c r="M24" s="265" t="str">
        <f t="shared" si="1"/>
        <v/>
      </c>
      <c r="N24" s="266" t="str">
        <f t="shared" si="2"/>
        <v/>
      </c>
      <c r="O24" s="267"/>
      <c r="P24" s="267"/>
    </row>
    <row r="25" spans="1:16" s="64" customFormat="1" ht="21" customHeight="1">
      <c r="A25" s="302" t="s">
        <v>191</v>
      </c>
      <c r="B25" s="263" t="str">
        <f>'Tæng kÕt R'!L27</f>
        <v xml:space="preserve"> </v>
      </c>
      <c r="C25" s="263" t="str">
        <f>'Tæng kÕt R'!M27</f>
        <v xml:space="preserve"> </v>
      </c>
      <c r="D25" s="263" t="str">
        <f>'Tæng kÕt R'!N27</f>
        <v xml:space="preserve"> </v>
      </c>
      <c r="E25" s="263" t="str">
        <f>'Tæng kÕt R'!O27</f>
        <v xml:space="preserve"> </v>
      </c>
      <c r="F25" s="264" t="str">
        <f>'Tæng kÕt R'!P27</f>
        <v xml:space="preserve"> </v>
      </c>
      <c r="G25" s="263" t="str">
        <f>'Tæng kÕt R'!Q27</f>
        <v xml:space="preserve"> </v>
      </c>
      <c r="H25" s="263" t="str">
        <f>'Tæng kÕt R'!R27</f>
        <v xml:space="preserve"> </v>
      </c>
      <c r="I25" s="263" t="str">
        <f>'Tæng kÕt R'!S27</f>
        <v xml:space="preserve"> </v>
      </c>
      <c r="J25" s="263" t="str">
        <f>'Tæng kÕt R'!T27</f>
        <v xml:space="preserve"> </v>
      </c>
      <c r="K25" s="264" t="str">
        <f>'Tæng kÕt R'!U27</f>
        <v xml:space="preserve"> </v>
      </c>
      <c r="L25" s="265" t="str">
        <f t="shared" si="0"/>
        <v xml:space="preserve"> </v>
      </c>
      <c r="M25" s="265" t="str">
        <f t="shared" si="1"/>
        <v/>
      </c>
      <c r="N25" s="266" t="str">
        <f t="shared" si="2"/>
        <v/>
      </c>
      <c r="O25" s="267"/>
      <c r="P25" s="267"/>
    </row>
    <row r="26" spans="1:16" s="64" customFormat="1" ht="13.5" thickBot="1">
      <c r="A26" s="65"/>
      <c r="B26" s="272"/>
      <c r="C26" s="272"/>
      <c r="D26" s="272"/>
      <c r="E26" s="272"/>
      <c r="F26" s="273"/>
      <c r="G26" s="272"/>
      <c r="H26" s="272"/>
      <c r="I26" s="272"/>
      <c r="J26" s="272"/>
      <c r="K26" s="273"/>
      <c r="L26" s="274"/>
      <c r="M26" s="274"/>
      <c r="N26" s="275"/>
      <c r="O26" s="267"/>
      <c r="P26" s="267"/>
    </row>
    <row r="27" spans="1:16" s="64" customFormat="1" ht="13.5" thickTop="1">
      <c r="A27" s="82"/>
      <c r="B27" s="82"/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3"/>
      <c r="N27" s="83"/>
    </row>
    <row r="28" spans="1:16" s="64" customFormat="1" ht="15">
      <c r="A28" s="66"/>
      <c r="B28" s="67" t="s">
        <v>15</v>
      </c>
      <c r="C28" s="66"/>
      <c r="D28" s="66"/>
      <c r="E28" s="66"/>
      <c r="F28" s="66"/>
      <c r="G28" s="66"/>
      <c r="H28" s="66"/>
      <c r="I28" s="66"/>
      <c r="J28" s="66"/>
      <c r="K28" s="66"/>
      <c r="L28" s="68">
        <f>MAX(L4:L24)</f>
        <v>0</v>
      </c>
      <c r="M28" s="68">
        <f>MAX(M4:M24)</f>
        <v>0</v>
      </c>
      <c r="N28" s="68">
        <f>MAX(N4:N24)</f>
        <v>0</v>
      </c>
      <c r="O28" s="66"/>
    </row>
    <row r="29" spans="1:16" s="64" customForma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</row>
    <row r="30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30"/>
  <sheetViews>
    <sheetView showGridLines="0" zoomScale="75" workbookViewId="0">
      <selection activeCell="B5" sqref="B5:O25"/>
    </sheetView>
  </sheetViews>
  <sheetFormatPr defaultColWidth="0" defaultRowHeight="12.75" zeroHeight="1"/>
  <cols>
    <col min="1" max="1" width="16.1640625" style="6" customWidth="1"/>
    <col min="2" max="12" width="7.33203125" style="6" customWidth="1"/>
    <col min="13" max="15" width="8" style="6" customWidth="1"/>
    <col min="16" max="16" width="6.33203125" style="6" customWidth="1"/>
    <col min="17" max="17" width="6.33203125" style="5" hidden="1" customWidth="1"/>
    <col min="18" max="19" width="0" style="5" hidden="1" customWidth="1"/>
    <col min="20" max="21" width="9.6640625" style="5" hidden="1" customWidth="1"/>
    <col min="22" max="16384" width="0" style="5" hidden="1"/>
  </cols>
  <sheetData>
    <row r="1" spans="1:16" s="122" customFormat="1" ht="29.25" customHeight="1">
      <c r="A1" s="531" t="s">
        <v>177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121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4"/>
    </row>
    <row r="3" spans="1:16" s="161" customFormat="1" ht="47.1" customHeight="1" thickTop="1">
      <c r="A3" s="60" t="s">
        <v>0</v>
      </c>
      <c r="B3" s="61">
        <v>21</v>
      </c>
      <c r="C3" s="61">
        <v>22</v>
      </c>
      <c r="D3" s="61">
        <v>23</v>
      </c>
      <c r="E3" s="61">
        <v>24</v>
      </c>
      <c r="F3" s="61">
        <v>25</v>
      </c>
      <c r="G3" s="61">
        <v>26</v>
      </c>
      <c r="H3" s="61">
        <v>27</v>
      </c>
      <c r="I3" s="61">
        <v>28</v>
      </c>
      <c r="J3" s="61">
        <v>29</v>
      </c>
      <c r="K3" s="61">
        <v>30</v>
      </c>
      <c r="L3" s="61">
        <v>31</v>
      </c>
      <c r="M3" s="62" t="s">
        <v>12</v>
      </c>
      <c r="N3" s="62" t="s">
        <v>185</v>
      </c>
      <c r="O3" s="63" t="s">
        <v>186</v>
      </c>
    </row>
    <row r="4" spans="1:16" s="64" customFormat="1" ht="21" customHeight="1">
      <c r="A4" s="198" t="s">
        <v>128</v>
      </c>
      <c r="B4" s="263" t="str">
        <f>'Tæng kÕt R'!V6</f>
        <v xml:space="preserve"> </v>
      </c>
      <c r="C4" s="263" t="str">
        <f>'Tæng kÕt R'!W6</f>
        <v xml:space="preserve"> </v>
      </c>
      <c r="D4" s="263" t="str">
        <f>'Tæng kÕt R'!X6</f>
        <v xml:space="preserve"> </v>
      </c>
      <c r="E4" s="263" t="str">
        <f>'Tæng kÕt R'!Y6</f>
        <v xml:space="preserve"> </v>
      </c>
      <c r="F4" s="264" t="str">
        <f>'Tæng kÕt R'!Z6</f>
        <v xml:space="preserve"> </v>
      </c>
      <c r="G4" s="263" t="str">
        <f>'Tæng kÕt R'!AA6</f>
        <v xml:space="preserve"> </v>
      </c>
      <c r="H4" s="263" t="str">
        <f>'Tæng kÕt R'!AB6</f>
        <v xml:space="preserve"> </v>
      </c>
      <c r="I4" s="263" t="str">
        <f>'Tæng kÕt R'!AC6</f>
        <v xml:space="preserve"> </v>
      </c>
      <c r="J4" s="263" t="str">
        <f>'Tæng kÕt R'!AD6</f>
        <v xml:space="preserve"> </v>
      </c>
      <c r="K4" s="263" t="str">
        <f>'Tæng kÕt R'!AE6</f>
        <v xml:space="preserve"> </v>
      </c>
      <c r="L4" s="264"/>
      <c r="M4" s="265" t="str">
        <f>IF(COUNT(B4:F4)&gt;0,SUM(B4:F4)," ")</f>
        <v xml:space="preserve"> </v>
      </c>
      <c r="N4" s="265" t="str">
        <f>IF(COUNT(G4:K4)&gt;0,SUM(G4:K4)," ")</f>
        <v xml:space="preserve"> </v>
      </c>
      <c r="O4" s="266" t="str">
        <f>IF(COUNT(B4:K4)&gt;0,SUM(B4:K4),"")</f>
        <v/>
      </c>
      <c r="P4" s="267"/>
    </row>
    <row r="5" spans="1:16" s="64" customFormat="1" ht="21" customHeight="1">
      <c r="A5" s="199" t="s">
        <v>129</v>
      </c>
      <c r="B5" s="263" t="str">
        <f>'Tæng kÕt R'!V7</f>
        <v xml:space="preserve"> </v>
      </c>
      <c r="C5" s="263" t="str">
        <f>'Tæng kÕt R'!W7</f>
        <v xml:space="preserve"> </v>
      </c>
      <c r="D5" s="263" t="str">
        <f>'Tæng kÕt R'!X7</f>
        <v xml:space="preserve"> </v>
      </c>
      <c r="E5" s="263" t="str">
        <f>'Tæng kÕt R'!Y7</f>
        <v xml:space="preserve"> </v>
      </c>
      <c r="F5" s="264" t="str">
        <f>'Tæng kÕt R'!Z7</f>
        <v xml:space="preserve"> </v>
      </c>
      <c r="G5" s="263" t="str">
        <f>'Tæng kÕt R'!AA7</f>
        <v xml:space="preserve"> </v>
      </c>
      <c r="H5" s="263" t="str">
        <f>'Tæng kÕt R'!AB7</f>
        <v xml:space="preserve"> </v>
      </c>
      <c r="I5" s="263" t="str">
        <f>'Tæng kÕt R'!AC7</f>
        <v xml:space="preserve"> </v>
      </c>
      <c r="J5" s="263" t="str">
        <f>'Tæng kÕt R'!AD7</f>
        <v xml:space="preserve"> </v>
      </c>
      <c r="K5" s="263" t="str">
        <f>'Tæng kÕt R'!AE7</f>
        <v xml:space="preserve"> </v>
      </c>
      <c r="L5" s="264"/>
      <c r="M5" s="265" t="str">
        <f>IF(COUNT(B5:F5)&gt;0,SUM(B5:F5)," ")</f>
        <v xml:space="preserve"> </v>
      </c>
      <c r="N5" s="265" t="str">
        <f>IF(COUNT(G5:K5)&gt;0,SUM(G5:K5)," ")</f>
        <v xml:space="preserve"> </v>
      </c>
      <c r="O5" s="266" t="str">
        <f>IF(COUNT(B5:K5)&gt;0,SUM(B5:K5),"")</f>
        <v/>
      </c>
      <c r="P5" s="267"/>
    </row>
    <row r="6" spans="1:16" s="64" customFormat="1" ht="21" customHeight="1">
      <c r="A6" s="200" t="s">
        <v>130</v>
      </c>
      <c r="B6" s="263" t="str">
        <f>'Tæng kÕt R'!V8</f>
        <v xml:space="preserve"> </v>
      </c>
      <c r="C6" s="263" t="str">
        <f>'Tæng kÕt R'!W8</f>
        <v xml:space="preserve"> </v>
      </c>
      <c r="D6" s="263" t="str">
        <f>'Tæng kÕt R'!X8</f>
        <v xml:space="preserve"> </v>
      </c>
      <c r="E6" s="263" t="str">
        <f>'Tæng kÕt R'!Y8</f>
        <v xml:space="preserve"> </v>
      </c>
      <c r="F6" s="264" t="str">
        <f>'Tæng kÕt R'!Z8</f>
        <v xml:space="preserve"> </v>
      </c>
      <c r="G6" s="263" t="str">
        <f>'Tæng kÕt R'!AA8</f>
        <v xml:space="preserve"> </v>
      </c>
      <c r="H6" s="263" t="str">
        <f>'Tæng kÕt R'!AB8</f>
        <v xml:space="preserve"> </v>
      </c>
      <c r="I6" s="263" t="str">
        <f>'Tæng kÕt R'!AC8</f>
        <v xml:space="preserve"> </v>
      </c>
      <c r="J6" s="263" t="str">
        <f>'Tæng kÕt R'!AD8</f>
        <v xml:space="preserve"> </v>
      </c>
      <c r="K6" s="263" t="str">
        <f>'Tæng kÕt R'!AE8</f>
        <v xml:space="preserve"> </v>
      </c>
      <c r="L6" s="264"/>
      <c r="M6" s="265" t="str">
        <f t="shared" ref="M6:M25" si="0">IF(COUNT(B6:F6)&gt;0,SUM(B6:F6)," ")</f>
        <v xml:space="preserve"> </v>
      </c>
      <c r="N6" s="265" t="str">
        <f t="shared" ref="N6:N25" si="1">IF(COUNT(G6:K6)&gt;0,SUM(G6:K6)," ")</f>
        <v xml:space="preserve"> </v>
      </c>
      <c r="O6" s="266" t="str">
        <f t="shared" ref="O6:O25" si="2">IF(COUNT(B6:K6)&gt;0,SUM(B6:K6),"")</f>
        <v/>
      </c>
      <c r="P6" s="267"/>
    </row>
    <row r="7" spans="1:16" s="64" customFormat="1" ht="21" customHeight="1">
      <c r="A7" s="199" t="s">
        <v>131</v>
      </c>
      <c r="B7" s="263" t="str">
        <f>'Tæng kÕt R'!V9</f>
        <v xml:space="preserve"> </v>
      </c>
      <c r="C7" s="263" t="str">
        <f>'Tæng kÕt R'!W9</f>
        <v xml:space="preserve"> </v>
      </c>
      <c r="D7" s="263" t="str">
        <f>'Tæng kÕt R'!X9</f>
        <v xml:space="preserve"> </v>
      </c>
      <c r="E7" s="263" t="str">
        <f>'Tæng kÕt R'!Y9</f>
        <v xml:space="preserve"> </v>
      </c>
      <c r="F7" s="264" t="str">
        <f>'Tæng kÕt R'!Z9</f>
        <v xml:space="preserve"> </v>
      </c>
      <c r="G7" s="263" t="str">
        <f>'Tæng kÕt R'!AA9</f>
        <v xml:space="preserve"> </v>
      </c>
      <c r="H7" s="263" t="str">
        <f>'Tæng kÕt R'!AB9</f>
        <v xml:space="preserve"> </v>
      </c>
      <c r="I7" s="263" t="str">
        <f>'Tæng kÕt R'!AC9</f>
        <v xml:space="preserve"> </v>
      </c>
      <c r="J7" s="263" t="str">
        <f>'Tæng kÕt R'!AD9</f>
        <v xml:space="preserve"> </v>
      </c>
      <c r="K7" s="263" t="str">
        <f>'Tæng kÕt R'!AE9</f>
        <v xml:space="preserve"> </v>
      </c>
      <c r="L7" s="264"/>
      <c r="M7" s="265" t="str">
        <f t="shared" si="0"/>
        <v xml:space="preserve"> </v>
      </c>
      <c r="N7" s="265" t="str">
        <f t="shared" si="1"/>
        <v xml:space="preserve"> </v>
      </c>
      <c r="O7" s="266" t="str">
        <f t="shared" si="2"/>
        <v/>
      </c>
      <c r="P7" s="267"/>
    </row>
    <row r="8" spans="1:16" s="64" customFormat="1" ht="21" customHeight="1">
      <c r="A8" s="199" t="s">
        <v>132</v>
      </c>
      <c r="B8" s="263" t="str">
        <f>'Tæng kÕt R'!V10</f>
        <v xml:space="preserve"> </v>
      </c>
      <c r="C8" s="263" t="str">
        <f>'Tæng kÕt R'!W10</f>
        <v xml:space="preserve"> </v>
      </c>
      <c r="D8" s="263" t="str">
        <f>'Tæng kÕt R'!X10</f>
        <v xml:space="preserve"> </v>
      </c>
      <c r="E8" s="263" t="str">
        <f>'Tæng kÕt R'!Y10</f>
        <v xml:space="preserve"> </v>
      </c>
      <c r="F8" s="264" t="str">
        <f>'Tæng kÕt R'!Z10</f>
        <v xml:space="preserve"> </v>
      </c>
      <c r="G8" s="263" t="str">
        <f>'Tæng kÕt R'!AA10</f>
        <v xml:space="preserve"> </v>
      </c>
      <c r="H8" s="263" t="str">
        <f>'Tæng kÕt R'!AB10</f>
        <v xml:space="preserve"> </v>
      </c>
      <c r="I8" s="263" t="str">
        <f>'Tæng kÕt R'!AC10</f>
        <v xml:space="preserve"> </v>
      </c>
      <c r="J8" s="263" t="str">
        <f>'Tæng kÕt R'!AD10</f>
        <v xml:space="preserve"> </v>
      </c>
      <c r="K8" s="263" t="str">
        <f>'Tæng kÕt R'!AE10</f>
        <v xml:space="preserve"> </v>
      </c>
      <c r="L8" s="264"/>
      <c r="M8" s="265" t="str">
        <f t="shared" si="0"/>
        <v xml:space="preserve"> </v>
      </c>
      <c r="N8" s="265" t="str">
        <f t="shared" si="1"/>
        <v xml:space="preserve"> </v>
      </c>
      <c r="O8" s="266" t="str">
        <f t="shared" si="2"/>
        <v/>
      </c>
      <c r="P8" s="267"/>
    </row>
    <row r="9" spans="1:16" s="64" customFormat="1" ht="21" customHeight="1">
      <c r="A9" s="199" t="s">
        <v>133</v>
      </c>
      <c r="B9" s="263" t="str">
        <f>'Tæng kÕt R'!V11</f>
        <v xml:space="preserve"> </v>
      </c>
      <c r="C9" s="263" t="str">
        <f>'Tæng kÕt R'!W11</f>
        <v xml:space="preserve"> </v>
      </c>
      <c r="D9" s="263" t="str">
        <f>'Tæng kÕt R'!X11</f>
        <v xml:space="preserve"> </v>
      </c>
      <c r="E9" s="263" t="str">
        <f>'Tæng kÕt R'!Y11</f>
        <v xml:space="preserve"> </v>
      </c>
      <c r="F9" s="264" t="str">
        <f>'Tæng kÕt R'!Z11</f>
        <v xml:space="preserve"> </v>
      </c>
      <c r="G9" s="263" t="str">
        <f>'Tæng kÕt R'!AA11</f>
        <v xml:space="preserve"> </v>
      </c>
      <c r="H9" s="263" t="str">
        <f>'Tæng kÕt R'!AB11</f>
        <v xml:space="preserve"> </v>
      </c>
      <c r="I9" s="263" t="str">
        <f>'Tæng kÕt R'!AC11</f>
        <v xml:space="preserve"> </v>
      </c>
      <c r="J9" s="263" t="str">
        <f>'Tæng kÕt R'!AD11</f>
        <v xml:space="preserve"> </v>
      </c>
      <c r="K9" s="263" t="str">
        <f>'Tæng kÕt R'!AE11</f>
        <v xml:space="preserve"> </v>
      </c>
      <c r="L9" s="264"/>
      <c r="M9" s="265" t="str">
        <f t="shared" si="0"/>
        <v xml:space="preserve"> </v>
      </c>
      <c r="N9" s="265" t="str">
        <f t="shared" si="1"/>
        <v xml:space="preserve"> </v>
      </c>
      <c r="O9" s="266" t="str">
        <f t="shared" si="2"/>
        <v/>
      </c>
      <c r="P9" s="267"/>
    </row>
    <row r="10" spans="1:16" s="64" customFormat="1" ht="21" customHeight="1">
      <c r="A10" s="199" t="s">
        <v>134</v>
      </c>
      <c r="B10" s="263" t="str">
        <f>'Tæng kÕt R'!V12</f>
        <v xml:space="preserve"> </v>
      </c>
      <c r="C10" s="263" t="str">
        <f>'Tæng kÕt R'!W12</f>
        <v xml:space="preserve"> </v>
      </c>
      <c r="D10" s="263" t="str">
        <f>'Tæng kÕt R'!X12</f>
        <v xml:space="preserve"> </v>
      </c>
      <c r="E10" s="263" t="str">
        <f>'Tæng kÕt R'!Y12</f>
        <v xml:space="preserve"> </v>
      </c>
      <c r="F10" s="264" t="str">
        <f>'Tæng kÕt R'!Z12</f>
        <v xml:space="preserve"> </v>
      </c>
      <c r="G10" s="263" t="str">
        <f>'Tæng kÕt R'!AA12</f>
        <v xml:space="preserve"> </v>
      </c>
      <c r="H10" s="263" t="str">
        <f>'Tæng kÕt R'!AB12</f>
        <v xml:space="preserve"> </v>
      </c>
      <c r="I10" s="263" t="str">
        <f>'Tæng kÕt R'!AC12</f>
        <v xml:space="preserve"> </v>
      </c>
      <c r="J10" s="263" t="str">
        <f>'Tæng kÕt R'!AD12</f>
        <v xml:space="preserve"> </v>
      </c>
      <c r="K10" s="263" t="str">
        <f>'Tæng kÕt R'!AE12</f>
        <v xml:space="preserve"> </v>
      </c>
      <c r="L10" s="264"/>
      <c r="M10" s="265" t="str">
        <f t="shared" si="0"/>
        <v xml:space="preserve"> </v>
      </c>
      <c r="N10" s="265" t="str">
        <f t="shared" si="1"/>
        <v xml:space="preserve"> </v>
      </c>
      <c r="O10" s="266" t="str">
        <f t="shared" si="2"/>
        <v/>
      </c>
      <c r="P10" s="267"/>
    </row>
    <row r="11" spans="1:16" s="64" customFormat="1" ht="21" customHeight="1">
      <c r="A11" s="199" t="s">
        <v>192</v>
      </c>
      <c r="B11" s="263" t="str">
        <f>'Tæng kÕt R'!V13</f>
        <v xml:space="preserve"> </v>
      </c>
      <c r="C11" s="263" t="str">
        <f>'Tæng kÕt R'!W13</f>
        <v xml:space="preserve"> </v>
      </c>
      <c r="D11" s="263" t="str">
        <f>'Tæng kÕt R'!X13</f>
        <v xml:space="preserve"> </v>
      </c>
      <c r="E11" s="263" t="str">
        <f>'Tæng kÕt R'!Y13</f>
        <v xml:space="preserve"> </v>
      </c>
      <c r="F11" s="264" t="str">
        <f>'Tæng kÕt R'!Z13</f>
        <v xml:space="preserve"> </v>
      </c>
      <c r="G11" s="263" t="str">
        <f>'Tæng kÕt R'!AA13</f>
        <v xml:space="preserve"> </v>
      </c>
      <c r="H11" s="263" t="str">
        <f>'Tæng kÕt R'!AB13</f>
        <v xml:space="preserve"> </v>
      </c>
      <c r="I11" s="263" t="str">
        <f>'Tæng kÕt R'!AC13</f>
        <v xml:space="preserve"> </v>
      </c>
      <c r="J11" s="263" t="str">
        <f>'Tæng kÕt R'!AD13</f>
        <v xml:space="preserve"> </v>
      </c>
      <c r="K11" s="263" t="str">
        <f>'Tæng kÕt R'!AE13</f>
        <v xml:space="preserve"> </v>
      </c>
      <c r="L11" s="264"/>
      <c r="M11" s="265" t="str">
        <f t="shared" si="0"/>
        <v xml:space="preserve"> </v>
      </c>
      <c r="N11" s="265" t="str">
        <f t="shared" si="1"/>
        <v xml:space="preserve"> </v>
      </c>
      <c r="O11" s="266" t="str">
        <f t="shared" si="2"/>
        <v/>
      </c>
      <c r="P11" s="267"/>
    </row>
    <row r="12" spans="1:16" s="64" customFormat="1" ht="21" customHeight="1">
      <c r="A12" s="199" t="s">
        <v>135</v>
      </c>
      <c r="B12" s="263" t="str">
        <f>'Tæng kÕt R'!V14</f>
        <v xml:space="preserve"> </v>
      </c>
      <c r="C12" s="263" t="str">
        <f>'Tæng kÕt R'!W14</f>
        <v xml:space="preserve"> </v>
      </c>
      <c r="D12" s="263" t="str">
        <f>'Tæng kÕt R'!X14</f>
        <v xml:space="preserve"> </v>
      </c>
      <c r="E12" s="263" t="str">
        <f>'Tæng kÕt R'!Y14</f>
        <v xml:space="preserve"> </v>
      </c>
      <c r="F12" s="264" t="str">
        <f>'Tæng kÕt R'!Z14</f>
        <v xml:space="preserve"> </v>
      </c>
      <c r="G12" s="263" t="str">
        <f>'Tæng kÕt R'!AA14</f>
        <v xml:space="preserve"> </v>
      </c>
      <c r="H12" s="263" t="str">
        <f>'Tæng kÕt R'!AB14</f>
        <v xml:space="preserve"> </v>
      </c>
      <c r="I12" s="263" t="str">
        <f>'Tæng kÕt R'!AC14</f>
        <v xml:space="preserve"> </v>
      </c>
      <c r="J12" s="263" t="str">
        <f>'Tæng kÕt R'!AD14</f>
        <v xml:space="preserve"> </v>
      </c>
      <c r="K12" s="263" t="str">
        <f>'Tæng kÕt R'!AE14</f>
        <v xml:space="preserve"> </v>
      </c>
      <c r="L12" s="264"/>
      <c r="M12" s="265" t="str">
        <f t="shared" si="0"/>
        <v xml:space="preserve"> </v>
      </c>
      <c r="N12" s="265" t="str">
        <f t="shared" si="1"/>
        <v xml:space="preserve"> </v>
      </c>
      <c r="O12" s="266" t="str">
        <f t="shared" si="2"/>
        <v/>
      </c>
      <c r="P12" s="267"/>
    </row>
    <row r="13" spans="1:16" s="64" customFormat="1" ht="21" customHeight="1">
      <c r="A13" s="199" t="s">
        <v>136</v>
      </c>
      <c r="B13" s="263" t="str">
        <f>'Tæng kÕt R'!V15</f>
        <v xml:space="preserve"> </v>
      </c>
      <c r="C13" s="263" t="str">
        <f>'Tæng kÕt R'!W15</f>
        <v xml:space="preserve"> </v>
      </c>
      <c r="D13" s="263" t="str">
        <f>'Tæng kÕt R'!X15</f>
        <v xml:space="preserve"> </v>
      </c>
      <c r="E13" s="263" t="str">
        <f>'Tæng kÕt R'!Y15</f>
        <v xml:space="preserve"> </v>
      </c>
      <c r="F13" s="264" t="str">
        <f>'Tæng kÕt R'!Z15</f>
        <v xml:space="preserve"> </v>
      </c>
      <c r="G13" s="263" t="str">
        <f>'Tæng kÕt R'!AA15</f>
        <v xml:space="preserve"> </v>
      </c>
      <c r="H13" s="263" t="str">
        <f>'Tæng kÕt R'!AB15</f>
        <v xml:space="preserve"> </v>
      </c>
      <c r="I13" s="263" t="str">
        <f>'Tæng kÕt R'!AC15</f>
        <v xml:space="preserve"> </v>
      </c>
      <c r="J13" s="263" t="str">
        <f>'Tæng kÕt R'!AD15</f>
        <v xml:space="preserve"> </v>
      </c>
      <c r="K13" s="263" t="str">
        <f>'Tæng kÕt R'!AE15</f>
        <v xml:space="preserve"> </v>
      </c>
      <c r="L13" s="264"/>
      <c r="M13" s="265" t="str">
        <f t="shared" si="0"/>
        <v xml:space="preserve"> </v>
      </c>
      <c r="N13" s="265" t="str">
        <f t="shared" si="1"/>
        <v xml:space="preserve"> </v>
      </c>
      <c r="O13" s="266" t="str">
        <f t="shared" si="2"/>
        <v/>
      </c>
      <c r="P13" s="267"/>
    </row>
    <row r="14" spans="1:16" s="64" customFormat="1" ht="21" customHeight="1">
      <c r="A14" s="200" t="s">
        <v>137</v>
      </c>
      <c r="B14" s="263" t="str">
        <f>'Tæng kÕt R'!V16</f>
        <v xml:space="preserve"> </v>
      </c>
      <c r="C14" s="263" t="str">
        <f>'Tæng kÕt R'!W16</f>
        <v xml:space="preserve"> </v>
      </c>
      <c r="D14" s="263" t="str">
        <f>'Tæng kÕt R'!X16</f>
        <v xml:space="preserve"> </v>
      </c>
      <c r="E14" s="263" t="str">
        <f>'Tæng kÕt R'!Y16</f>
        <v xml:space="preserve"> </v>
      </c>
      <c r="F14" s="264" t="str">
        <f>'Tæng kÕt R'!Z16</f>
        <v xml:space="preserve"> </v>
      </c>
      <c r="G14" s="263" t="str">
        <f>'Tæng kÕt R'!AA16</f>
        <v xml:space="preserve"> </v>
      </c>
      <c r="H14" s="263" t="str">
        <f>'Tæng kÕt R'!AB16</f>
        <v xml:space="preserve"> </v>
      </c>
      <c r="I14" s="263" t="str">
        <f>'Tæng kÕt R'!AC16</f>
        <v xml:space="preserve"> </v>
      </c>
      <c r="J14" s="263" t="str">
        <f>'Tæng kÕt R'!AD16</f>
        <v xml:space="preserve"> </v>
      </c>
      <c r="K14" s="263" t="str">
        <f>'Tæng kÕt R'!AE16</f>
        <v xml:space="preserve"> </v>
      </c>
      <c r="L14" s="264"/>
      <c r="M14" s="265" t="str">
        <f t="shared" si="0"/>
        <v xml:space="preserve"> </v>
      </c>
      <c r="N14" s="265" t="str">
        <f t="shared" si="1"/>
        <v xml:space="preserve"> </v>
      </c>
      <c r="O14" s="266" t="str">
        <f t="shared" si="2"/>
        <v/>
      </c>
      <c r="P14" s="267"/>
    </row>
    <row r="15" spans="1:16" s="64" customFormat="1" ht="21" customHeight="1">
      <c r="A15" s="199" t="s">
        <v>138</v>
      </c>
      <c r="B15" s="263" t="str">
        <f>'Tæng kÕt R'!V17</f>
        <v xml:space="preserve"> </v>
      </c>
      <c r="C15" s="263" t="str">
        <f>'Tæng kÕt R'!W17</f>
        <v xml:space="preserve"> </v>
      </c>
      <c r="D15" s="263" t="str">
        <f>'Tæng kÕt R'!X17</f>
        <v xml:space="preserve"> </v>
      </c>
      <c r="E15" s="263" t="str">
        <f>'Tæng kÕt R'!Y17</f>
        <v xml:space="preserve"> </v>
      </c>
      <c r="F15" s="264" t="str">
        <f>'Tæng kÕt R'!Z17</f>
        <v xml:space="preserve"> </v>
      </c>
      <c r="G15" s="263" t="str">
        <f>'Tæng kÕt R'!AA17</f>
        <v xml:space="preserve"> </v>
      </c>
      <c r="H15" s="263" t="str">
        <f>'Tæng kÕt R'!AB17</f>
        <v xml:space="preserve"> </v>
      </c>
      <c r="I15" s="263" t="str">
        <f>'Tæng kÕt R'!AC17</f>
        <v xml:space="preserve"> </v>
      </c>
      <c r="J15" s="263" t="str">
        <f>'Tæng kÕt R'!AD17</f>
        <v xml:space="preserve"> </v>
      </c>
      <c r="K15" s="263" t="str">
        <f>'Tæng kÕt R'!AE17</f>
        <v xml:space="preserve"> </v>
      </c>
      <c r="L15" s="264"/>
      <c r="M15" s="265" t="str">
        <f t="shared" si="0"/>
        <v xml:space="preserve"> </v>
      </c>
      <c r="N15" s="265" t="str">
        <f t="shared" si="1"/>
        <v xml:space="preserve"> </v>
      </c>
      <c r="O15" s="266" t="str">
        <f t="shared" si="2"/>
        <v/>
      </c>
      <c r="P15" s="267"/>
    </row>
    <row r="16" spans="1:16" s="64" customFormat="1" ht="21" customHeight="1">
      <c r="A16" s="200" t="s">
        <v>139</v>
      </c>
      <c r="B16" s="263" t="str">
        <f>'Tæng kÕt R'!V18</f>
        <v xml:space="preserve"> </v>
      </c>
      <c r="C16" s="263" t="str">
        <f>'Tæng kÕt R'!W18</f>
        <v xml:space="preserve"> </v>
      </c>
      <c r="D16" s="263" t="str">
        <f>'Tæng kÕt R'!X18</f>
        <v xml:space="preserve"> </v>
      </c>
      <c r="E16" s="263" t="str">
        <f>'Tæng kÕt R'!Y18</f>
        <v xml:space="preserve"> </v>
      </c>
      <c r="F16" s="264" t="str">
        <f>'Tæng kÕt R'!Z18</f>
        <v xml:space="preserve"> </v>
      </c>
      <c r="G16" s="263" t="str">
        <f>'Tæng kÕt R'!AA18</f>
        <v xml:space="preserve"> </v>
      </c>
      <c r="H16" s="263" t="str">
        <f>'Tæng kÕt R'!AB18</f>
        <v xml:space="preserve"> </v>
      </c>
      <c r="I16" s="263" t="str">
        <f>'Tæng kÕt R'!AC18</f>
        <v xml:space="preserve"> </v>
      </c>
      <c r="J16" s="263" t="str">
        <f>'Tæng kÕt R'!AD18</f>
        <v xml:space="preserve"> </v>
      </c>
      <c r="K16" s="263" t="str">
        <f>'Tæng kÕt R'!AE18</f>
        <v xml:space="preserve"> </v>
      </c>
      <c r="L16" s="264"/>
      <c r="M16" s="265" t="str">
        <f t="shared" si="0"/>
        <v xml:space="preserve"> </v>
      </c>
      <c r="N16" s="265" t="str">
        <f t="shared" si="1"/>
        <v xml:space="preserve"> </v>
      </c>
      <c r="O16" s="266" t="str">
        <f t="shared" si="2"/>
        <v/>
      </c>
      <c r="P16" s="267"/>
    </row>
    <row r="17" spans="1:16" s="64" customFormat="1" ht="21" customHeight="1">
      <c r="A17" s="199" t="s">
        <v>140</v>
      </c>
      <c r="B17" s="263" t="str">
        <f>'Tæng kÕt R'!V19</f>
        <v xml:space="preserve"> </v>
      </c>
      <c r="C17" s="263" t="str">
        <f>'Tæng kÕt R'!W19</f>
        <v xml:space="preserve"> </v>
      </c>
      <c r="D17" s="263" t="str">
        <f>'Tæng kÕt R'!X19</f>
        <v xml:space="preserve"> </v>
      </c>
      <c r="E17" s="263" t="str">
        <f>'Tæng kÕt R'!Y19</f>
        <v xml:space="preserve"> </v>
      </c>
      <c r="F17" s="264" t="str">
        <f>'Tæng kÕt R'!Z19</f>
        <v xml:space="preserve"> </v>
      </c>
      <c r="G17" s="263" t="str">
        <f>'Tæng kÕt R'!AA19</f>
        <v xml:space="preserve"> </v>
      </c>
      <c r="H17" s="263" t="str">
        <f>'Tæng kÕt R'!AB19</f>
        <v xml:space="preserve"> </v>
      </c>
      <c r="I17" s="263" t="str">
        <f>'Tæng kÕt R'!AC19</f>
        <v xml:space="preserve"> </v>
      </c>
      <c r="J17" s="263" t="str">
        <f>'Tæng kÕt R'!AD19</f>
        <v xml:space="preserve"> </v>
      </c>
      <c r="K17" s="263" t="str">
        <f>'Tæng kÕt R'!AE19</f>
        <v xml:space="preserve"> </v>
      </c>
      <c r="L17" s="264"/>
      <c r="M17" s="265" t="str">
        <f t="shared" si="0"/>
        <v xml:space="preserve"> </v>
      </c>
      <c r="N17" s="265" t="str">
        <f t="shared" si="1"/>
        <v xml:space="preserve"> </v>
      </c>
      <c r="O17" s="266" t="str">
        <f t="shared" si="2"/>
        <v/>
      </c>
      <c r="P17" s="267"/>
    </row>
    <row r="18" spans="1:16" s="64" customFormat="1" ht="21" customHeight="1">
      <c r="A18" s="200" t="s">
        <v>141</v>
      </c>
      <c r="B18" s="263" t="str">
        <f>'Tæng kÕt R'!V20</f>
        <v xml:space="preserve"> </v>
      </c>
      <c r="C18" s="263" t="str">
        <f>'Tæng kÕt R'!W20</f>
        <v xml:space="preserve"> </v>
      </c>
      <c r="D18" s="263" t="str">
        <f>'Tæng kÕt R'!X20</f>
        <v xml:space="preserve"> </v>
      </c>
      <c r="E18" s="263" t="str">
        <f>'Tæng kÕt R'!Y20</f>
        <v xml:space="preserve"> </v>
      </c>
      <c r="F18" s="264" t="str">
        <f>'Tæng kÕt R'!Z20</f>
        <v xml:space="preserve"> </v>
      </c>
      <c r="G18" s="263" t="str">
        <f>'Tæng kÕt R'!AA20</f>
        <v xml:space="preserve"> </v>
      </c>
      <c r="H18" s="263" t="str">
        <f>'Tæng kÕt R'!AB20</f>
        <v xml:space="preserve"> </v>
      </c>
      <c r="I18" s="263" t="str">
        <f>'Tæng kÕt R'!AC20</f>
        <v xml:space="preserve"> </v>
      </c>
      <c r="J18" s="263" t="str">
        <f>'Tæng kÕt R'!AD20</f>
        <v xml:space="preserve"> </v>
      </c>
      <c r="K18" s="263" t="str">
        <f>'Tæng kÕt R'!AE20</f>
        <v xml:space="preserve"> </v>
      </c>
      <c r="L18" s="264"/>
      <c r="M18" s="265" t="str">
        <f t="shared" si="0"/>
        <v xml:space="preserve"> </v>
      </c>
      <c r="N18" s="265" t="str">
        <f t="shared" si="1"/>
        <v xml:space="preserve"> </v>
      </c>
      <c r="O18" s="266" t="str">
        <f t="shared" si="2"/>
        <v/>
      </c>
      <c r="P18" s="267"/>
    </row>
    <row r="19" spans="1:16" s="64" customFormat="1" ht="21" customHeight="1">
      <c r="A19" s="199" t="s">
        <v>142</v>
      </c>
      <c r="B19" s="263" t="str">
        <f>'Tæng kÕt R'!V21</f>
        <v xml:space="preserve"> </v>
      </c>
      <c r="C19" s="263" t="str">
        <f>'Tæng kÕt R'!W21</f>
        <v xml:space="preserve"> </v>
      </c>
      <c r="D19" s="263" t="str">
        <f>'Tæng kÕt R'!X21</f>
        <v xml:space="preserve"> </v>
      </c>
      <c r="E19" s="263" t="str">
        <f>'Tæng kÕt R'!Y21</f>
        <v xml:space="preserve"> </v>
      </c>
      <c r="F19" s="264" t="str">
        <f>'Tæng kÕt R'!Z21</f>
        <v xml:space="preserve"> </v>
      </c>
      <c r="G19" s="263" t="str">
        <f>'Tæng kÕt R'!AA21</f>
        <v xml:space="preserve"> </v>
      </c>
      <c r="H19" s="263" t="str">
        <f>'Tæng kÕt R'!AB21</f>
        <v xml:space="preserve"> </v>
      </c>
      <c r="I19" s="263" t="str">
        <f>'Tæng kÕt R'!AC21</f>
        <v xml:space="preserve"> </v>
      </c>
      <c r="J19" s="263" t="str">
        <f>'Tæng kÕt R'!AD21</f>
        <v xml:space="preserve"> </v>
      </c>
      <c r="K19" s="263" t="str">
        <f>'Tæng kÕt R'!AE21</f>
        <v xml:space="preserve"> </v>
      </c>
      <c r="L19" s="264"/>
      <c r="M19" s="265" t="str">
        <f t="shared" si="0"/>
        <v xml:space="preserve"> </v>
      </c>
      <c r="N19" s="265" t="str">
        <f t="shared" si="1"/>
        <v xml:space="preserve"> </v>
      </c>
      <c r="O19" s="266" t="str">
        <f t="shared" si="2"/>
        <v/>
      </c>
      <c r="P19" s="267"/>
    </row>
    <row r="20" spans="1:16" s="64" customFormat="1" ht="21" customHeight="1">
      <c r="A20" s="199" t="s">
        <v>143</v>
      </c>
      <c r="B20" s="263" t="str">
        <f>'Tæng kÕt R'!V22</f>
        <v xml:space="preserve"> </v>
      </c>
      <c r="C20" s="263" t="str">
        <f>'Tæng kÕt R'!W22</f>
        <v xml:space="preserve"> </v>
      </c>
      <c r="D20" s="263" t="str">
        <f>'Tæng kÕt R'!X22</f>
        <v xml:space="preserve"> </v>
      </c>
      <c r="E20" s="263" t="str">
        <f>'Tæng kÕt R'!Y22</f>
        <v xml:space="preserve"> </v>
      </c>
      <c r="F20" s="264" t="str">
        <f>'Tæng kÕt R'!Z22</f>
        <v xml:space="preserve"> </v>
      </c>
      <c r="G20" s="263" t="str">
        <f>'Tæng kÕt R'!AA22</f>
        <v xml:space="preserve"> </v>
      </c>
      <c r="H20" s="263" t="str">
        <f>'Tæng kÕt R'!AB22</f>
        <v xml:space="preserve"> </v>
      </c>
      <c r="I20" s="263" t="str">
        <f>'Tæng kÕt R'!AC22</f>
        <v xml:space="preserve"> </v>
      </c>
      <c r="J20" s="263" t="str">
        <f>'Tæng kÕt R'!AD22</f>
        <v xml:space="preserve"> </v>
      </c>
      <c r="K20" s="263" t="str">
        <f>'Tæng kÕt R'!AE22</f>
        <v xml:space="preserve"> </v>
      </c>
      <c r="L20" s="264"/>
      <c r="M20" s="265" t="str">
        <f t="shared" si="0"/>
        <v xml:space="preserve"> </v>
      </c>
      <c r="N20" s="265" t="str">
        <f t="shared" si="1"/>
        <v xml:space="preserve"> </v>
      </c>
      <c r="O20" s="266" t="str">
        <f t="shared" si="2"/>
        <v/>
      </c>
      <c r="P20" s="267"/>
    </row>
    <row r="21" spans="1:16" s="64" customFormat="1" ht="21" customHeight="1">
      <c r="A21" s="199" t="s">
        <v>144</v>
      </c>
      <c r="B21" s="263" t="str">
        <f>'Tæng kÕt R'!V23</f>
        <v xml:space="preserve"> </v>
      </c>
      <c r="C21" s="263" t="str">
        <f>'Tæng kÕt R'!W23</f>
        <v xml:space="preserve"> </v>
      </c>
      <c r="D21" s="263" t="str">
        <f>'Tæng kÕt R'!X23</f>
        <v xml:space="preserve"> </v>
      </c>
      <c r="E21" s="263" t="str">
        <f>'Tæng kÕt R'!Y23</f>
        <v xml:space="preserve"> </v>
      </c>
      <c r="F21" s="264" t="str">
        <f>'Tæng kÕt R'!Z23</f>
        <v xml:space="preserve"> </v>
      </c>
      <c r="G21" s="263" t="str">
        <f>'Tæng kÕt R'!AA23</f>
        <v xml:space="preserve"> </v>
      </c>
      <c r="H21" s="263" t="str">
        <f>'Tæng kÕt R'!AB23</f>
        <v xml:space="preserve"> </v>
      </c>
      <c r="I21" s="263" t="str">
        <f>'Tæng kÕt R'!AC23</f>
        <v xml:space="preserve"> </v>
      </c>
      <c r="J21" s="263" t="str">
        <f>'Tæng kÕt R'!AD23</f>
        <v xml:space="preserve"> </v>
      </c>
      <c r="K21" s="263" t="str">
        <f>'Tæng kÕt R'!AE23</f>
        <v xml:space="preserve"> </v>
      </c>
      <c r="L21" s="264"/>
      <c r="M21" s="265" t="str">
        <f t="shared" si="0"/>
        <v xml:space="preserve"> </v>
      </c>
      <c r="N21" s="265" t="str">
        <f t="shared" si="1"/>
        <v xml:space="preserve"> </v>
      </c>
      <c r="O21" s="266" t="str">
        <f t="shared" si="2"/>
        <v/>
      </c>
      <c r="P21" s="267"/>
    </row>
    <row r="22" spans="1:16" s="64" customFormat="1" ht="21" customHeight="1">
      <c r="A22" s="199" t="s">
        <v>145</v>
      </c>
      <c r="B22" s="263" t="str">
        <f>'Tæng kÕt R'!V24</f>
        <v xml:space="preserve"> </v>
      </c>
      <c r="C22" s="263" t="str">
        <f>'Tæng kÕt R'!W24</f>
        <v xml:space="preserve"> </v>
      </c>
      <c r="D22" s="263" t="str">
        <f>'Tæng kÕt R'!X24</f>
        <v xml:space="preserve"> </v>
      </c>
      <c r="E22" s="263" t="str">
        <f>'Tæng kÕt R'!Y24</f>
        <v xml:space="preserve"> </v>
      </c>
      <c r="F22" s="264" t="str">
        <f>'Tæng kÕt R'!Z24</f>
        <v xml:space="preserve"> </v>
      </c>
      <c r="G22" s="263" t="str">
        <f>'Tæng kÕt R'!AA24</f>
        <v xml:space="preserve"> </v>
      </c>
      <c r="H22" s="263" t="str">
        <f>'Tæng kÕt R'!AB24</f>
        <v xml:space="preserve"> </v>
      </c>
      <c r="I22" s="263" t="str">
        <f>'Tæng kÕt R'!AC24</f>
        <v xml:space="preserve"> </v>
      </c>
      <c r="J22" s="263" t="str">
        <f>'Tæng kÕt R'!AD24</f>
        <v xml:space="preserve"> </v>
      </c>
      <c r="K22" s="263" t="str">
        <f>'Tæng kÕt R'!AE24</f>
        <v xml:space="preserve"> </v>
      </c>
      <c r="L22" s="264"/>
      <c r="M22" s="265" t="str">
        <f t="shared" si="0"/>
        <v xml:space="preserve"> </v>
      </c>
      <c r="N22" s="265" t="str">
        <f t="shared" si="1"/>
        <v xml:space="preserve"> </v>
      </c>
      <c r="O22" s="266" t="str">
        <f t="shared" si="2"/>
        <v/>
      </c>
      <c r="P22" s="267"/>
    </row>
    <row r="23" spans="1:16" s="64" customFormat="1" ht="21" customHeight="1">
      <c r="A23" s="199" t="s">
        <v>146</v>
      </c>
      <c r="B23" s="263" t="str">
        <f>'Tæng kÕt R'!V25</f>
        <v xml:space="preserve"> </v>
      </c>
      <c r="C23" s="263" t="str">
        <f>'Tæng kÕt R'!W25</f>
        <v xml:space="preserve"> </v>
      </c>
      <c r="D23" s="263" t="str">
        <f>'Tæng kÕt R'!X25</f>
        <v xml:space="preserve"> </v>
      </c>
      <c r="E23" s="263" t="str">
        <f>'Tæng kÕt R'!Y25</f>
        <v xml:space="preserve"> </v>
      </c>
      <c r="F23" s="264" t="str">
        <f>'Tæng kÕt R'!Z25</f>
        <v xml:space="preserve"> </v>
      </c>
      <c r="G23" s="263" t="str">
        <f>'Tæng kÕt R'!AA25</f>
        <v xml:space="preserve"> </v>
      </c>
      <c r="H23" s="263" t="str">
        <f>'Tæng kÕt R'!AB25</f>
        <v xml:space="preserve"> </v>
      </c>
      <c r="I23" s="263" t="str">
        <f>'Tæng kÕt R'!AC25</f>
        <v xml:space="preserve"> </v>
      </c>
      <c r="J23" s="263" t="str">
        <f>'Tæng kÕt R'!AD25</f>
        <v xml:space="preserve"> </v>
      </c>
      <c r="K23" s="263" t="str">
        <f>'Tæng kÕt R'!AE25</f>
        <v xml:space="preserve"> </v>
      </c>
      <c r="L23" s="264"/>
      <c r="M23" s="265" t="str">
        <f t="shared" si="0"/>
        <v xml:space="preserve"> </v>
      </c>
      <c r="N23" s="265" t="str">
        <f t="shared" si="1"/>
        <v xml:space="preserve"> </v>
      </c>
      <c r="O23" s="266" t="str">
        <f t="shared" si="2"/>
        <v/>
      </c>
      <c r="P23" s="267"/>
    </row>
    <row r="24" spans="1:16" s="64" customFormat="1" ht="21" customHeight="1">
      <c r="A24" s="199" t="s">
        <v>147</v>
      </c>
      <c r="B24" s="263" t="str">
        <f>'Tæng kÕt R'!V26</f>
        <v xml:space="preserve"> </v>
      </c>
      <c r="C24" s="263" t="str">
        <f>'Tæng kÕt R'!W26</f>
        <v xml:space="preserve"> </v>
      </c>
      <c r="D24" s="263" t="str">
        <f>'Tæng kÕt R'!X26</f>
        <v xml:space="preserve"> </v>
      </c>
      <c r="E24" s="263" t="str">
        <f>'Tæng kÕt R'!Y26</f>
        <v xml:space="preserve"> </v>
      </c>
      <c r="F24" s="264" t="str">
        <f>'Tæng kÕt R'!Z26</f>
        <v xml:space="preserve"> </v>
      </c>
      <c r="G24" s="263" t="str">
        <f>'Tæng kÕt R'!AA26</f>
        <v xml:space="preserve"> </v>
      </c>
      <c r="H24" s="263" t="str">
        <f>'Tæng kÕt R'!AB26</f>
        <v xml:space="preserve"> </v>
      </c>
      <c r="I24" s="263" t="str">
        <f>'Tæng kÕt R'!AC26</f>
        <v xml:space="preserve"> </v>
      </c>
      <c r="J24" s="263" t="str">
        <f>'Tæng kÕt R'!AD26</f>
        <v xml:space="preserve"> </v>
      </c>
      <c r="K24" s="263" t="str">
        <f>'Tæng kÕt R'!AE26</f>
        <v xml:space="preserve"> </v>
      </c>
      <c r="L24" s="264"/>
      <c r="M24" s="265" t="str">
        <f t="shared" si="0"/>
        <v xml:space="preserve"> </v>
      </c>
      <c r="N24" s="265" t="str">
        <f t="shared" si="1"/>
        <v xml:space="preserve"> </v>
      </c>
      <c r="O24" s="266" t="str">
        <f t="shared" si="2"/>
        <v/>
      </c>
      <c r="P24" s="267"/>
    </row>
    <row r="25" spans="1:16" s="64" customFormat="1" ht="21" customHeight="1">
      <c r="A25" s="302" t="s">
        <v>191</v>
      </c>
      <c r="B25" s="263" t="str">
        <f>'Tæng kÕt R'!V27</f>
        <v xml:space="preserve"> </v>
      </c>
      <c r="C25" s="263" t="str">
        <f>'Tæng kÕt R'!W27</f>
        <v xml:space="preserve"> </v>
      </c>
      <c r="D25" s="263" t="str">
        <f>'Tæng kÕt R'!X27</f>
        <v xml:space="preserve"> </v>
      </c>
      <c r="E25" s="263" t="str">
        <f>'Tæng kÕt R'!Y27</f>
        <v xml:space="preserve"> </v>
      </c>
      <c r="F25" s="264" t="str">
        <f>'Tæng kÕt R'!Z27</f>
        <v xml:space="preserve"> </v>
      </c>
      <c r="G25" s="263" t="str">
        <f>'Tæng kÕt R'!AA27</f>
        <v xml:space="preserve"> </v>
      </c>
      <c r="H25" s="263" t="str">
        <f>'Tæng kÕt R'!AB27</f>
        <v xml:space="preserve"> </v>
      </c>
      <c r="I25" s="263" t="str">
        <f>'Tæng kÕt R'!AC27</f>
        <v xml:space="preserve"> </v>
      </c>
      <c r="J25" s="263" t="str">
        <f>'Tæng kÕt R'!AD27</f>
        <v xml:space="preserve"> </v>
      </c>
      <c r="K25" s="263" t="str">
        <f>'Tæng kÕt R'!AE27</f>
        <v xml:space="preserve"> </v>
      </c>
      <c r="L25" s="264"/>
      <c r="M25" s="265" t="str">
        <f t="shared" si="0"/>
        <v xml:space="preserve"> </v>
      </c>
      <c r="N25" s="265" t="str">
        <f t="shared" si="1"/>
        <v xml:space="preserve"> </v>
      </c>
      <c r="O25" s="266" t="str">
        <f t="shared" si="2"/>
        <v/>
      </c>
      <c r="P25" s="267"/>
    </row>
    <row r="26" spans="1:16" s="64" customFormat="1" ht="12.75" customHeight="1" thickBot="1">
      <c r="A26" s="65"/>
      <c r="B26" s="272"/>
      <c r="C26" s="272"/>
      <c r="D26" s="272"/>
      <c r="E26" s="272"/>
      <c r="F26" s="273"/>
      <c r="G26" s="272"/>
      <c r="H26" s="272"/>
      <c r="I26" s="272"/>
      <c r="J26" s="272"/>
      <c r="K26" s="272"/>
      <c r="L26" s="273"/>
      <c r="M26" s="274"/>
      <c r="N26" s="274"/>
      <c r="O26" s="275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</row>
    <row r="28" spans="1:16" s="64" customFormat="1" ht="15">
      <c r="A28" s="66"/>
      <c r="B28" s="67" t="s">
        <v>15</v>
      </c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8">
        <f>MAX(M4:M24)</f>
        <v>0</v>
      </c>
      <c r="N28" s="68">
        <f>MAX(N4:N24)</f>
        <v>0</v>
      </c>
      <c r="O28" s="68">
        <f>MAX(O4:O24)</f>
        <v>0</v>
      </c>
      <c r="P28" s="66"/>
    </row>
    <row r="29" spans="1:16" s="64" customFormat="1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</row>
    <row r="30" spans="1:16"/>
  </sheetData>
  <mergeCells count="2">
    <mergeCell ref="A1:O1"/>
    <mergeCell ref="A2:O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S32"/>
  <sheetViews>
    <sheetView showGridLines="0" zoomScale="75" workbookViewId="0">
      <selection activeCell="B5" sqref="B5: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120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162" t="s">
        <v>0</v>
      </c>
      <c r="B3" s="86">
        <v>1</v>
      </c>
      <c r="C3" s="86">
        <v>2</v>
      </c>
      <c r="D3" s="86">
        <v>3</v>
      </c>
      <c r="E3" s="86">
        <v>4</v>
      </c>
      <c r="F3" s="86">
        <v>5</v>
      </c>
      <c r="G3" s="61">
        <v>6</v>
      </c>
      <c r="H3" s="86">
        <v>7</v>
      </c>
      <c r="I3" s="86">
        <v>8</v>
      </c>
      <c r="J3" s="86">
        <v>9</v>
      </c>
      <c r="K3" s="86">
        <v>10</v>
      </c>
      <c r="L3" s="88" t="s">
        <v>100</v>
      </c>
      <c r="M3" s="88" t="s">
        <v>101</v>
      </c>
      <c r="N3" s="89" t="s">
        <v>102</v>
      </c>
    </row>
    <row r="4" spans="1:16" s="64" customFormat="1" ht="21" customHeight="1">
      <c r="A4" s="198" t="s">
        <v>128</v>
      </c>
      <c r="B4" s="277" t="e">
        <f>'Tæng kÕt U'!B6</f>
        <v>#REF!</v>
      </c>
      <c r="C4" s="277" t="str">
        <f>'Tæng kÕt U'!C6</f>
        <v/>
      </c>
      <c r="D4" s="277" t="str">
        <f>'Tæng kÕt U'!D6</f>
        <v/>
      </c>
      <c r="E4" s="277" t="str">
        <f>'Tæng kÕt U'!E6</f>
        <v/>
      </c>
      <c r="F4" s="278" t="str">
        <f>'Tæng kÕt U'!F6</f>
        <v/>
      </c>
      <c r="G4" s="277" t="str">
        <f>'Tæng kÕt U'!G6</f>
        <v/>
      </c>
      <c r="H4" s="277" t="str">
        <f>'Tæng kÕt U'!H6</f>
        <v/>
      </c>
      <c r="I4" s="277" t="str">
        <f>'Tæng kÕt U'!I6</f>
        <v/>
      </c>
      <c r="J4" s="277" t="str">
        <f>'Tæng kÕt U'!J6</f>
        <v/>
      </c>
      <c r="K4" s="277" t="str">
        <f>'Tæng kÕt U'!K6</f>
        <v/>
      </c>
      <c r="L4" s="279" t="str">
        <f>IF(COUNT(B4:F4)&gt;0,MIN('Tæng kÕt U'!B31:F31)," ")</f>
        <v xml:space="preserve"> </v>
      </c>
      <c r="M4" s="279" t="str">
        <f>IF(COUNT(G4:K4)&gt;0,MIN('Tæng kÕt U'!G31:K31)," ")</f>
        <v xml:space="preserve"> </v>
      </c>
      <c r="N4" s="280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77" t="e">
        <f>'Tæng kÕt U'!B7</f>
        <v>#REF!</v>
      </c>
      <c r="C5" s="277" t="str">
        <f>'Tæng kÕt U'!C7</f>
        <v/>
      </c>
      <c r="D5" s="277" t="str">
        <f>'Tæng kÕt U'!D7</f>
        <v/>
      </c>
      <c r="E5" s="277" t="str">
        <f>'Tæng kÕt U'!E7</f>
        <v/>
      </c>
      <c r="F5" s="278" t="str">
        <f>'Tæng kÕt U'!F7</f>
        <v/>
      </c>
      <c r="G5" s="277" t="str">
        <f>'Tæng kÕt U'!G7</f>
        <v/>
      </c>
      <c r="H5" s="277" t="str">
        <f>'Tæng kÕt U'!H7</f>
        <v/>
      </c>
      <c r="I5" s="277" t="str">
        <f>'Tæng kÕt U'!I7</f>
        <v/>
      </c>
      <c r="J5" s="277" t="str">
        <f>'Tæng kÕt U'!J7</f>
        <v/>
      </c>
      <c r="K5" s="277" t="str">
        <f>'Tæng kÕt U'!K7</f>
        <v/>
      </c>
      <c r="L5" s="279" t="str">
        <f>IF(COUNT(B5:F5)&gt;0,MIN('Tæng kÕt U'!B40:F40)," ")</f>
        <v xml:space="preserve"> </v>
      </c>
      <c r="M5" s="279" t="str">
        <f>IF(COUNT(G5:K5)&gt;0,MIN('Tæng kÕt U'!G40:K40)," ")</f>
        <v xml:space="preserve"> </v>
      </c>
      <c r="N5" s="280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77" t="e">
        <f>'Tæng kÕt U'!B8</f>
        <v>#REF!</v>
      </c>
      <c r="C6" s="277" t="str">
        <f>'Tæng kÕt U'!C8</f>
        <v/>
      </c>
      <c r="D6" s="277" t="str">
        <f>'Tæng kÕt U'!D8</f>
        <v/>
      </c>
      <c r="E6" s="277" t="str">
        <f>'Tæng kÕt U'!E8</f>
        <v/>
      </c>
      <c r="F6" s="278" t="str">
        <f>'Tæng kÕt U'!F8</f>
        <v/>
      </c>
      <c r="G6" s="277" t="str">
        <f>'Tæng kÕt U'!G8</f>
        <v/>
      </c>
      <c r="H6" s="277" t="str">
        <f>'Tæng kÕt U'!H8</f>
        <v/>
      </c>
      <c r="I6" s="277" t="str">
        <f>'Tæng kÕt U'!I8</f>
        <v/>
      </c>
      <c r="J6" s="277" t="str">
        <f>'Tæng kÕt U'!J8</f>
        <v/>
      </c>
      <c r="K6" s="277" t="str">
        <f>'Tæng kÕt U'!K8</f>
        <v/>
      </c>
      <c r="L6" s="279" t="str">
        <f>IF(COUNT(B6:F6)&gt;0,MIN('Tæng kÕt U'!B41:F41)," ")</f>
        <v xml:space="preserve"> </v>
      </c>
      <c r="M6" s="279" t="str">
        <f>IF(COUNT(G6:K6)&gt;0,MIN('Tæng kÕt U'!G41:K41)," ")</f>
        <v xml:space="preserve"> </v>
      </c>
      <c r="N6" s="280" t="str">
        <f t="shared" ref="N6:N25" si="0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77" t="e">
        <f>'Tæng kÕt U'!B9</f>
        <v>#REF!</v>
      </c>
      <c r="C7" s="277" t="str">
        <f>'Tæng kÕt U'!C9</f>
        <v/>
      </c>
      <c r="D7" s="277" t="str">
        <f>'Tæng kÕt U'!D9</f>
        <v/>
      </c>
      <c r="E7" s="277" t="str">
        <f>'Tæng kÕt U'!E9</f>
        <v/>
      </c>
      <c r="F7" s="278" t="str">
        <f>'Tæng kÕt U'!F9</f>
        <v/>
      </c>
      <c r="G7" s="277" t="str">
        <f>'Tæng kÕt U'!G9</f>
        <v/>
      </c>
      <c r="H7" s="277" t="str">
        <f>'Tæng kÕt U'!H9</f>
        <v/>
      </c>
      <c r="I7" s="277" t="str">
        <f>'Tæng kÕt U'!I9</f>
        <v/>
      </c>
      <c r="J7" s="277" t="str">
        <f>'Tæng kÕt U'!J9</f>
        <v/>
      </c>
      <c r="K7" s="277" t="str">
        <f>'Tæng kÕt U'!K9</f>
        <v/>
      </c>
      <c r="L7" s="279" t="str">
        <f>IF(COUNT(B7:F7)&gt;0,MIN('Tæng kÕt U'!B42:F42)," ")</f>
        <v xml:space="preserve"> </v>
      </c>
      <c r="M7" s="279" t="str">
        <f>IF(COUNT(G7:K7)&gt;0,MIN('Tæng kÕt U'!G42:K42)," ")</f>
        <v xml:space="preserve"> </v>
      </c>
      <c r="N7" s="280" t="str">
        <f t="shared" si="0"/>
        <v xml:space="preserve"> </v>
      </c>
      <c r="O7" s="267"/>
      <c r="P7" s="267"/>
    </row>
    <row r="8" spans="1:16" s="64" customFormat="1" ht="21" customHeight="1">
      <c r="A8" s="199" t="s">
        <v>132</v>
      </c>
      <c r="B8" s="277" t="e">
        <f>'Tæng kÕt U'!B10</f>
        <v>#REF!</v>
      </c>
      <c r="C8" s="277" t="str">
        <f>'Tæng kÕt U'!C10</f>
        <v/>
      </c>
      <c r="D8" s="277" t="str">
        <f>'Tæng kÕt U'!D10</f>
        <v/>
      </c>
      <c r="E8" s="277" t="str">
        <f>'Tæng kÕt U'!E10</f>
        <v/>
      </c>
      <c r="F8" s="278" t="str">
        <f>'Tæng kÕt U'!F10</f>
        <v/>
      </c>
      <c r="G8" s="277" t="str">
        <f>'Tæng kÕt U'!G10</f>
        <v/>
      </c>
      <c r="H8" s="277" t="str">
        <f>'Tæng kÕt U'!H10</f>
        <v/>
      </c>
      <c r="I8" s="277" t="str">
        <f>'Tæng kÕt U'!I10</f>
        <v/>
      </c>
      <c r="J8" s="277" t="str">
        <f>'Tæng kÕt U'!J10</f>
        <v/>
      </c>
      <c r="K8" s="277" t="str">
        <f>'Tæng kÕt U'!K10</f>
        <v/>
      </c>
      <c r="L8" s="279" t="str">
        <f>IF(COUNT(B8:F8)&gt;0,MIN('Tæng kÕt U'!B43:F43)," ")</f>
        <v xml:space="preserve"> </v>
      </c>
      <c r="M8" s="279" t="str">
        <f>IF(COUNT(G8:K8)&gt;0,MIN('Tæng kÕt U'!G43:K43)," ")</f>
        <v xml:space="preserve"> </v>
      </c>
      <c r="N8" s="280" t="str">
        <f t="shared" si="0"/>
        <v xml:space="preserve"> </v>
      </c>
      <c r="O8" s="267"/>
      <c r="P8" s="267"/>
    </row>
    <row r="9" spans="1:16" s="64" customFormat="1" ht="21" customHeight="1">
      <c r="A9" s="199" t="s">
        <v>133</v>
      </c>
      <c r="B9" s="277" t="e">
        <f>'Tæng kÕt U'!B11</f>
        <v>#REF!</v>
      </c>
      <c r="C9" s="277" t="str">
        <f>'Tæng kÕt U'!C11</f>
        <v/>
      </c>
      <c r="D9" s="277" t="str">
        <f>'Tæng kÕt U'!D11</f>
        <v/>
      </c>
      <c r="E9" s="277" t="str">
        <f>'Tæng kÕt U'!E11</f>
        <v/>
      </c>
      <c r="F9" s="278" t="str">
        <f>'Tæng kÕt U'!F11</f>
        <v/>
      </c>
      <c r="G9" s="277" t="str">
        <f>'Tæng kÕt U'!G11</f>
        <v/>
      </c>
      <c r="H9" s="277" t="str">
        <f>'Tæng kÕt U'!H11</f>
        <v/>
      </c>
      <c r="I9" s="277" t="str">
        <f>'Tæng kÕt U'!I11</f>
        <v/>
      </c>
      <c r="J9" s="277" t="str">
        <f>'Tæng kÕt U'!J11</f>
        <v/>
      </c>
      <c r="K9" s="277" t="str">
        <f>'Tæng kÕt U'!K11</f>
        <v/>
      </c>
      <c r="L9" s="279" t="str">
        <f>IF(COUNT(B9:F9)&gt;0,MIN('Tæng kÕt U'!B44:F44)," ")</f>
        <v xml:space="preserve"> </v>
      </c>
      <c r="M9" s="279" t="str">
        <f>IF(COUNT(G9:K9)&gt;0,MIN('Tæng kÕt U'!G44:K44)," ")</f>
        <v xml:space="preserve"> </v>
      </c>
      <c r="N9" s="280" t="str">
        <f t="shared" si="0"/>
        <v xml:space="preserve"> </v>
      </c>
      <c r="O9" s="267"/>
      <c r="P9" s="267"/>
    </row>
    <row r="10" spans="1:16" s="64" customFormat="1" ht="21" customHeight="1">
      <c r="A10" s="199" t="s">
        <v>134</v>
      </c>
      <c r="B10" s="277" t="e">
        <f>'Tæng kÕt U'!B12</f>
        <v>#REF!</v>
      </c>
      <c r="C10" s="277" t="str">
        <f>'Tæng kÕt U'!C12</f>
        <v/>
      </c>
      <c r="D10" s="277" t="str">
        <f>'Tæng kÕt U'!D12</f>
        <v/>
      </c>
      <c r="E10" s="277" t="str">
        <f>'Tæng kÕt U'!E12</f>
        <v/>
      </c>
      <c r="F10" s="278" t="str">
        <f>'Tæng kÕt U'!F12</f>
        <v/>
      </c>
      <c r="G10" s="277" t="str">
        <f>'Tæng kÕt U'!G12</f>
        <v/>
      </c>
      <c r="H10" s="277" t="str">
        <f>'Tæng kÕt U'!H12</f>
        <v/>
      </c>
      <c r="I10" s="277" t="str">
        <f>'Tæng kÕt U'!I12</f>
        <v/>
      </c>
      <c r="J10" s="277" t="str">
        <f>'Tæng kÕt U'!J12</f>
        <v/>
      </c>
      <c r="K10" s="277" t="str">
        <f>'Tæng kÕt U'!K12</f>
        <v/>
      </c>
      <c r="L10" s="279" t="str">
        <f>IF(COUNT(B10:F10)&gt;0,MIN('Tæng kÕt U'!B45:F45)," ")</f>
        <v xml:space="preserve"> </v>
      </c>
      <c r="M10" s="279" t="str">
        <f>IF(COUNT(G10:K10)&gt;0,MIN('Tæng kÕt U'!G45:K45)," ")</f>
        <v xml:space="preserve"> </v>
      </c>
      <c r="N10" s="280" t="str">
        <f t="shared" si="0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77" t="e">
        <f>'Tæng kÕt U'!B13</f>
        <v>#REF!</v>
      </c>
      <c r="C11" s="277" t="str">
        <f>'Tæng kÕt U'!C13</f>
        <v/>
      </c>
      <c r="D11" s="277" t="str">
        <f>'Tæng kÕt U'!D13</f>
        <v/>
      </c>
      <c r="E11" s="277" t="str">
        <f>'Tæng kÕt U'!E13</f>
        <v/>
      </c>
      <c r="F11" s="278" t="str">
        <f>'Tæng kÕt U'!F13</f>
        <v/>
      </c>
      <c r="G11" s="277" t="str">
        <f>'Tæng kÕt U'!G13</f>
        <v/>
      </c>
      <c r="H11" s="277" t="str">
        <f>'Tæng kÕt U'!H13</f>
        <v/>
      </c>
      <c r="I11" s="277" t="str">
        <f>'Tæng kÕt U'!I13</f>
        <v/>
      </c>
      <c r="J11" s="277" t="str">
        <f>'Tæng kÕt U'!J13</f>
        <v/>
      </c>
      <c r="K11" s="277" t="str">
        <f>'Tæng kÕt U'!K13</f>
        <v/>
      </c>
      <c r="L11" s="279" t="str">
        <f>IF(COUNT(B11:F11)&gt;0,MIN('Tæng kÕt U'!B46:F46)," ")</f>
        <v xml:space="preserve"> </v>
      </c>
      <c r="M11" s="279" t="str">
        <f>IF(COUNT(G11:K11)&gt;0,MIN('Tæng kÕt U'!G46:K46)," ")</f>
        <v xml:space="preserve"> </v>
      </c>
      <c r="N11" s="280" t="str">
        <f t="shared" si="0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77" t="e">
        <f>'Tæng kÕt U'!B14</f>
        <v>#REF!</v>
      </c>
      <c r="C12" s="277" t="str">
        <f>'Tæng kÕt U'!C14</f>
        <v/>
      </c>
      <c r="D12" s="277" t="str">
        <f>'Tæng kÕt U'!D14</f>
        <v/>
      </c>
      <c r="E12" s="277" t="str">
        <f>'Tæng kÕt U'!E14</f>
        <v/>
      </c>
      <c r="F12" s="278" t="str">
        <f>'Tæng kÕt U'!F14</f>
        <v/>
      </c>
      <c r="G12" s="277" t="str">
        <f>'Tæng kÕt U'!G14</f>
        <v/>
      </c>
      <c r="H12" s="277" t="str">
        <f>'Tæng kÕt U'!H14</f>
        <v/>
      </c>
      <c r="I12" s="277" t="str">
        <f>'Tæng kÕt U'!I14</f>
        <v/>
      </c>
      <c r="J12" s="277" t="str">
        <f>'Tæng kÕt U'!J14</f>
        <v/>
      </c>
      <c r="K12" s="277" t="str">
        <f>'Tæng kÕt U'!K14</f>
        <v/>
      </c>
      <c r="L12" s="279" t="str">
        <f>IF(COUNT(B12:F12)&gt;0,MIN('Tæng kÕt U'!B47:F47)," ")</f>
        <v xml:space="preserve"> </v>
      </c>
      <c r="M12" s="279" t="str">
        <f>IF(COUNT(G12:K12)&gt;0,MIN('Tæng kÕt U'!G47:K47)," ")</f>
        <v xml:space="preserve"> </v>
      </c>
      <c r="N12" s="280" t="str">
        <f t="shared" si="0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77" t="e">
        <f>'Tæng kÕt U'!B15</f>
        <v>#REF!</v>
      </c>
      <c r="C13" s="277" t="str">
        <f>'Tæng kÕt U'!C15</f>
        <v/>
      </c>
      <c r="D13" s="277" t="str">
        <f>'Tæng kÕt U'!D15</f>
        <v/>
      </c>
      <c r="E13" s="277" t="str">
        <f>'Tæng kÕt U'!E15</f>
        <v/>
      </c>
      <c r="F13" s="278" t="str">
        <f>'Tæng kÕt U'!F15</f>
        <v/>
      </c>
      <c r="G13" s="277" t="str">
        <f>'Tæng kÕt U'!G15</f>
        <v/>
      </c>
      <c r="H13" s="277" t="str">
        <f>'Tæng kÕt U'!H15</f>
        <v/>
      </c>
      <c r="I13" s="277" t="str">
        <f>'Tæng kÕt U'!I15</f>
        <v/>
      </c>
      <c r="J13" s="277" t="str">
        <f>'Tæng kÕt U'!J15</f>
        <v/>
      </c>
      <c r="K13" s="277" t="str">
        <f>'Tæng kÕt U'!K15</f>
        <v/>
      </c>
      <c r="L13" s="279" t="str">
        <f>IF(COUNT(B13:F13)&gt;0,MIN('Tæng kÕt U'!B48:F48)," ")</f>
        <v xml:space="preserve"> </v>
      </c>
      <c r="M13" s="279" t="str">
        <f>IF(COUNT(G13:K13)&gt;0,MIN('Tæng kÕt U'!G48:K48)," ")</f>
        <v xml:space="preserve"> </v>
      </c>
      <c r="N13" s="280" t="str">
        <f t="shared" si="0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77" t="e">
        <f>'Tæng kÕt U'!B16</f>
        <v>#REF!</v>
      </c>
      <c r="C14" s="277" t="str">
        <f>'Tæng kÕt U'!C16</f>
        <v/>
      </c>
      <c r="D14" s="277" t="str">
        <f>'Tæng kÕt U'!D16</f>
        <v/>
      </c>
      <c r="E14" s="277" t="str">
        <f>'Tæng kÕt U'!E16</f>
        <v/>
      </c>
      <c r="F14" s="278" t="str">
        <f>'Tæng kÕt U'!F16</f>
        <v/>
      </c>
      <c r="G14" s="277" t="str">
        <f>'Tæng kÕt U'!G16</f>
        <v/>
      </c>
      <c r="H14" s="277" t="str">
        <f>'Tæng kÕt U'!H16</f>
        <v/>
      </c>
      <c r="I14" s="277" t="str">
        <f>'Tæng kÕt U'!I16</f>
        <v/>
      </c>
      <c r="J14" s="277" t="str">
        <f>'Tæng kÕt U'!J16</f>
        <v/>
      </c>
      <c r="K14" s="277" t="str">
        <f>'Tæng kÕt U'!K16</f>
        <v/>
      </c>
      <c r="L14" s="279" t="str">
        <f>IF(COUNT(B14:F14)&gt;0,MIN('Tæng kÕt U'!B49:F49)," ")</f>
        <v xml:space="preserve"> </v>
      </c>
      <c r="M14" s="279" t="str">
        <f>IF(COUNT(G14:K14)&gt;0,MIN('Tæng kÕt U'!G49:K49)," ")</f>
        <v xml:space="preserve"> </v>
      </c>
      <c r="N14" s="280" t="str">
        <f t="shared" si="0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77" t="e">
        <f>'Tæng kÕt U'!B17</f>
        <v>#REF!</v>
      </c>
      <c r="C15" s="277" t="str">
        <f>'Tæng kÕt U'!C17</f>
        <v/>
      </c>
      <c r="D15" s="277" t="str">
        <f>'Tæng kÕt U'!D17</f>
        <v/>
      </c>
      <c r="E15" s="277" t="str">
        <f>'Tæng kÕt U'!E17</f>
        <v/>
      </c>
      <c r="F15" s="278" t="str">
        <f>'Tæng kÕt U'!F17</f>
        <v/>
      </c>
      <c r="G15" s="277" t="str">
        <f>'Tæng kÕt U'!G17</f>
        <v/>
      </c>
      <c r="H15" s="277" t="str">
        <f>'Tæng kÕt U'!H17</f>
        <v/>
      </c>
      <c r="I15" s="277" t="str">
        <f>'Tæng kÕt U'!I17</f>
        <v/>
      </c>
      <c r="J15" s="277" t="str">
        <f>'Tæng kÕt U'!J17</f>
        <v/>
      </c>
      <c r="K15" s="277" t="str">
        <f>'Tæng kÕt U'!K17</f>
        <v/>
      </c>
      <c r="L15" s="279" t="str">
        <f>IF(COUNT(B15:F15)&gt;0,MIN('Tæng kÕt U'!B50:F50)," ")</f>
        <v xml:space="preserve"> </v>
      </c>
      <c r="M15" s="279" t="str">
        <f>IF(COUNT(G15:K15)&gt;0,MIN('Tæng kÕt U'!G50:K50)," ")</f>
        <v xml:space="preserve"> </v>
      </c>
      <c r="N15" s="280" t="str">
        <f t="shared" si="0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77" t="e">
        <f>'Tæng kÕt U'!B18</f>
        <v>#REF!</v>
      </c>
      <c r="C16" s="277" t="str">
        <f>'Tæng kÕt U'!C18</f>
        <v/>
      </c>
      <c r="D16" s="277" t="str">
        <f>'Tæng kÕt U'!D18</f>
        <v/>
      </c>
      <c r="E16" s="277" t="str">
        <f>'Tæng kÕt U'!E18</f>
        <v/>
      </c>
      <c r="F16" s="278" t="str">
        <f>'Tæng kÕt U'!F18</f>
        <v/>
      </c>
      <c r="G16" s="277" t="str">
        <f>'Tæng kÕt U'!G18</f>
        <v/>
      </c>
      <c r="H16" s="277" t="str">
        <f>'Tæng kÕt U'!H18</f>
        <v/>
      </c>
      <c r="I16" s="277" t="str">
        <f>'Tæng kÕt U'!I18</f>
        <v/>
      </c>
      <c r="J16" s="277" t="str">
        <f>'Tæng kÕt U'!J18</f>
        <v/>
      </c>
      <c r="K16" s="277" t="str">
        <f>'Tæng kÕt U'!K18</f>
        <v/>
      </c>
      <c r="L16" s="279" t="str">
        <f>IF(COUNT(B16:F16)&gt;0,MIN('Tæng kÕt U'!B51:F51)," ")</f>
        <v xml:space="preserve"> </v>
      </c>
      <c r="M16" s="279" t="str">
        <f>IF(COUNT(G16:K16)&gt;0,MIN('Tæng kÕt U'!G51:K51)," ")</f>
        <v xml:space="preserve"> </v>
      </c>
      <c r="N16" s="280" t="str">
        <f t="shared" si="0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77" t="e">
        <f>'Tæng kÕt U'!B19</f>
        <v>#REF!</v>
      </c>
      <c r="C17" s="277" t="str">
        <f>'Tæng kÕt U'!C19</f>
        <v/>
      </c>
      <c r="D17" s="277" t="str">
        <f>'Tæng kÕt U'!D19</f>
        <v/>
      </c>
      <c r="E17" s="277" t="str">
        <f>'Tæng kÕt U'!E19</f>
        <v/>
      </c>
      <c r="F17" s="278" t="str">
        <f>'Tæng kÕt U'!F19</f>
        <v/>
      </c>
      <c r="G17" s="277" t="str">
        <f>'Tæng kÕt U'!G19</f>
        <v/>
      </c>
      <c r="H17" s="277" t="str">
        <f>'Tæng kÕt U'!H19</f>
        <v/>
      </c>
      <c r="I17" s="277" t="str">
        <f>'Tæng kÕt U'!I19</f>
        <v/>
      </c>
      <c r="J17" s="277" t="str">
        <f>'Tæng kÕt U'!J19</f>
        <v/>
      </c>
      <c r="K17" s="277" t="str">
        <f>'Tæng kÕt U'!K19</f>
        <v/>
      </c>
      <c r="L17" s="279" t="str">
        <f>IF(COUNT(B17:F17)&gt;0,MIN('Tæng kÕt U'!B52:F52)," ")</f>
        <v xml:space="preserve"> </v>
      </c>
      <c r="M17" s="279" t="str">
        <f>IF(COUNT(G17:K17)&gt;0,MIN('Tæng kÕt U'!G52:K52)," ")</f>
        <v xml:space="preserve"> </v>
      </c>
      <c r="N17" s="280" t="str">
        <f t="shared" si="0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77" t="e">
        <f>'Tæng kÕt U'!B20</f>
        <v>#REF!</v>
      </c>
      <c r="C18" s="277" t="str">
        <f>'Tæng kÕt U'!C20</f>
        <v/>
      </c>
      <c r="D18" s="277" t="str">
        <f>'Tæng kÕt U'!D20</f>
        <v/>
      </c>
      <c r="E18" s="277" t="str">
        <f>'Tæng kÕt U'!E20</f>
        <v/>
      </c>
      <c r="F18" s="278" t="str">
        <f>'Tæng kÕt U'!F20</f>
        <v/>
      </c>
      <c r="G18" s="277" t="str">
        <f>'Tæng kÕt U'!G20</f>
        <v/>
      </c>
      <c r="H18" s="277" t="str">
        <f>'Tæng kÕt U'!H20</f>
        <v/>
      </c>
      <c r="I18" s="277" t="str">
        <f>'Tæng kÕt U'!I20</f>
        <v/>
      </c>
      <c r="J18" s="277" t="str">
        <f>'Tæng kÕt U'!J20</f>
        <v/>
      </c>
      <c r="K18" s="277" t="str">
        <f>'Tæng kÕt U'!K20</f>
        <v/>
      </c>
      <c r="L18" s="279" t="str">
        <f>IF(COUNT(B18:F18)&gt;0,MIN('Tæng kÕt U'!B53:F53)," ")</f>
        <v xml:space="preserve"> </v>
      </c>
      <c r="M18" s="279" t="str">
        <f>IF(COUNT(G18:K18)&gt;0,MIN('Tæng kÕt U'!G53:K53)," ")</f>
        <v xml:space="preserve"> </v>
      </c>
      <c r="N18" s="280" t="str">
        <f t="shared" si="0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77" t="e">
        <f>'Tæng kÕt U'!B21</f>
        <v>#REF!</v>
      </c>
      <c r="C19" s="277" t="str">
        <f>'Tæng kÕt U'!C21</f>
        <v/>
      </c>
      <c r="D19" s="277" t="str">
        <f>'Tæng kÕt U'!D21</f>
        <v/>
      </c>
      <c r="E19" s="277" t="str">
        <f>'Tæng kÕt U'!E21</f>
        <v/>
      </c>
      <c r="F19" s="278" t="str">
        <f>'Tæng kÕt U'!F21</f>
        <v/>
      </c>
      <c r="G19" s="277" t="str">
        <f>'Tæng kÕt U'!G21</f>
        <v/>
      </c>
      <c r="H19" s="277" t="str">
        <f>'Tæng kÕt U'!H21</f>
        <v/>
      </c>
      <c r="I19" s="277" t="str">
        <f>'Tæng kÕt U'!I21</f>
        <v/>
      </c>
      <c r="J19" s="277" t="str">
        <f>'Tæng kÕt U'!J21</f>
        <v/>
      </c>
      <c r="K19" s="277" t="str">
        <f>'Tæng kÕt U'!K21</f>
        <v/>
      </c>
      <c r="L19" s="279" t="str">
        <f>IF(COUNT(B19:F19)&gt;0,MIN('Tæng kÕt U'!B54:F54)," ")</f>
        <v xml:space="preserve"> </v>
      </c>
      <c r="M19" s="279" t="str">
        <f>IF(COUNT(G19:K19)&gt;0,MIN('Tæng kÕt U'!G54:K54)," ")</f>
        <v xml:space="preserve"> </v>
      </c>
      <c r="N19" s="280" t="str">
        <f t="shared" si="0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77" t="e">
        <f>'Tæng kÕt U'!B22</f>
        <v>#REF!</v>
      </c>
      <c r="C20" s="277" t="str">
        <f>'Tæng kÕt U'!C22</f>
        <v/>
      </c>
      <c r="D20" s="277" t="str">
        <f>'Tæng kÕt U'!D22</f>
        <v/>
      </c>
      <c r="E20" s="277" t="str">
        <f>'Tæng kÕt U'!E22</f>
        <v/>
      </c>
      <c r="F20" s="278" t="str">
        <f>'Tæng kÕt U'!F22</f>
        <v/>
      </c>
      <c r="G20" s="277" t="str">
        <f>'Tæng kÕt U'!G22</f>
        <v/>
      </c>
      <c r="H20" s="277" t="str">
        <f>'Tæng kÕt U'!H22</f>
        <v/>
      </c>
      <c r="I20" s="277" t="str">
        <f>'Tæng kÕt U'!I22</f>
        <v/>
      </c>
      <c r="J20" s="277" t="str">
        <f>'Tæng kÕt U'!J22</f>
        <v/>
      </c>
      <c r="K20" s="277" t="str">
        <f>'Tæng kÕt U'!K22</f>
        <v/>
      </c>
      <c r="L20" s="279" t="str">
        <f>IF(COUNT(B20:F20)&gt;0,MIN('Tæng kÕt U'!B55:F55)," ")</f>
        <v xml:space="preserve"> </v>
      </c>
      <c r="M20" s="279" t="str">
        <f>IF(COUNT(G20:K20)&gt;0,MIN('Tæng kÕt U'!G55:K55)," ")</f>
        <v xml:space="preserve"> </v>
      </c>
      <c r="N20" s="280" t="str">
        <f t="shared" si="0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77" t="e">
        <f>'Tæng kÕt U'!B23</f>
        <v>#REF!</v>
      </c>
      <c r="C21" s="277" t="str">
        <f>'Tæng kÕt U'!C23</f>
        <v/>
      </c>
      <c r="D21" s="277" t="str">
        <f>'Tæng kÕt U'!D23</f>
        <v/>
      </c>
      <c r="E21" s="277" t="str">
        <f>'Tæng kÕt U'!E23</f>
        <v/>
      </c>
      <c r="F21" s="278" t="str">
        <f>'Tæng kÕt U'!F23</f>
        <v/>
      </c>
      <c r="G21" s="277" t="str">
        <f>'Tæng kÕt U'!G23</f>
        <v/>
      </c>
      <c r="H21" s="277" t="str">
        <f>'Tæng kÕt U'!H23</f>
        <v/>
      </c>
      <c r="I21" s="277" t="str">
        <f>'Tæng kÕt U'!I23</f>
        <v/>
      </c>
      <c r="J21" s="277" t="str">
        <f>'Tæng kÕt U'!J23</f>
        <v/>
      </c>
      <c r="K21" s="277" t="str">
        <f>'Tæng kÕt U'!K23</f>
        <v/>
      </c>
      <c r="L21" s="279" t="str">
        <f>IF(COUNT(B21:F21)&gt;0,MIN('Tæng kÕt U'!B56:F56)," ")</f>
        <v xml:space="preserve"> </v>
      </c>
      <c r="M21" s="279" t="str">
        <f>IF(COUNT(G21:K21)&gt;0,MIN('Tæng kÕt U'!G56:K56)," ")</f>
        <v xml:space="preserve"> </v>
      </c>
      <c r="N21" s="280" t="str">
        <f t="shared" si="0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77" t="e">
        <f>'Tæng kÕt U'!B24</f>
        <v>#REF!</v>
      </c>
      <c r="C22" s="277" t="str">
        <f>'Tæng kÕt U'!C24</f>
        <v/>
      </c>
      <c r="D22" s="277" t="str">
        <f>'Tæng kÕt U'!D24</f>
        <v/>
      </c>
      <c r="E22" s="277" t="str">
        <f>'Tæng kÕt U'!E24</f>
        <v/>
      </c>
      <c r="F22" s="278" t="str">
        <f>'Tæng kÕt U'!F24</f>
        <v/>
      </c>
      <c r="G22" s="277" t="str">
        <f>'Tæng kÕt U'!G24</f>
        <v/>
      </c>
      <c r="H22" s="277" t="str">
        <f>'Tæng kÕt U'!H24</f>
        <v/>
      </c>
      <c r="I22" s="277" t="str">
        <f>'Tæng kÕt U'!I24</f>
        <v/>
      </c>
      <c r="J22" s="277" t="str">
        <f>'Tæng kÕt U'!J24</f>
        <v/>
      </c>
      <c r="K22" s="277" t="str">
        <f>'Tæng kÕt U'!K24</f>
        <v/>
      </c>
      <c r="L22" s="279" t="str">
        <f>IF(COUNT(B22:F22)&gt;0,MIN('Tæng kÕt U'!B57:F57)," ")</f>
        <v xml:space="preserve"> </v>
      </c>
      <c r="M22" s="279" t="str">
        <f>IF(COUNT(G22:K22)&gt;0,MIN('Tæng kÕt U'!G57:K57)," ")</f>
        <v xml:space="preserve"> </v>
      </c>
      <c r="N22" s="280" t="str">
        <f t="shared" si="0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77" t="e">
        <f>'Tæng kÕt U'!B25</f>
        <v>#REF!</v>
      </c>
      <c r="C23" s="277" t="str">
        <f>'Tæng kÕt U'!C25</f>
        <v/>
      </c>
      <c r="D23" s="277" t="str">
        <f>'Tæng kÕt U'!D25</f>
        <v/>
      </c>
      <c r="E23" s="277" t="str">
        <f>'Tæng kÕt U'!E25</f>
        <v/>
      </c>
      <c r="F23" s="278" t="str">
        <f>'Tæng kÕt U'!F25</f>
        <v/>
      </c>
      <c r="G23" s="277" t="str">
        <f>'Tæng kÕt U'!G25</f>
        <v/>
      </c>
      <c r="H23" s="277" t="str">
        <f>'Tæng kÕt U'!H25</f>
        <v/>
      </c>
      <c r="I23" s="277" t="str">
        <f>'Tæng kÕt U'!I25</f>
        <v/>
      </c>
      <c r="J23" s="277" t="str">
        <f>'Tæng kÕt U'!J25</f>
        <v/>
      </c>
      <c r="K23" s="277" t="str">
        <f>'Tæng kÕt U'!K25</f>
        <v/>
      </c>
      <c r="L23" s="279" t="str">
        <f>IF(COUNT(B23:F23)&gt;0,MIN('Tæng kÕt U'!B58:F58)," ")</f>
        <v xml:space="preserve"> </v>
      </c>
      <c r="M23" s="279" t="str">
        <f>IF(COUNT(G23:K23)&gt;0,MIN('Tæng kÕt U'!G58:K58)," ")</f>
        <v xml:space="preserve"> </v>
      </c>
      <c r="N23" s="280" t="str">
        <f t="shared" si="0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77" t="e">
        <f>'Tæng kÕt U'!B26</f>
        <v>#REF!</v>
      </c>
      <c r="C24" s="277" t="str">
        <f>'Tæng kÕt U'!C26</f>
        <v/>
      </c>
      <c r="D24" s="277" t="str">
        <f>'Tæng kÕt U'!D26</f>
        <v/>
      </c>
      <c r="E24" s="277" t="str">
        <f>'Tæng kÕt U'!E26</f>
        <v/>
      </c>
      <c r="F24" s="278" t="str">
        <f>'Tæng kÕt U'!F26</f>
        <v/>
      </c>
      <c r="G24" s="277" t="str">
        <f>'Tæng kÕt U'!G26</f>
        <v/>
      </c>
      <c r="H24" s="277" t="str">
        <f>'Tæng kÕt U'!H26</f>
        <v/>
      </c>
      <c r="I24" s="277" t="str">
        <f>'Tæng kÕt U'!I26</f>
        <v/>
      </c>
      <c r="J24" s="277" t="str">
        <f>'Tæng kÕt U'!J26</f>
        <v/>
      </c>
      <c r="K24" s="277" t="str">
        <f>'Tæng kÕt U'!K26</f>
        <v/>
      </c>
      <c r="L24" s="279" t="str">
        <f>IF(COUNT(B24:F24)&gt;0,MIN('Tæng kÕt U'!B59:F59)," ")</f>
        <v xml:space="preserve"> </v>
      </c>
      <c r="M24" s="279" t="str">
        <f>IF(COUNT(G24:K24)&gt;0,MIN('Tæng kÕt U'!G59:K59)," ")</f>
        <v xml:space="preserve"> </v>
      </c>
      <c r="N24" s="280" t="str">
        <f t="shared" si="0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77" t="e">
        <f>'Tæng kÕt U'!B27</f>
        <v>#REF!</v>
      </c>
      <c r="C25" s="277" t="str">
        <f>'Tæng kÕt U'!C27</f>
        <v/>
      </c>
      <c r="D25" s="277" t="str">
        <f>'Tæng kÕt U'!D27</f>
        <v/>
      </c>
      <c r="E25" s="277" t="str">
        <f>'Tæng kÕt U'!E27</f>
        <v/>
      </c>
      <c r="F25" s="278" t="str">
        <f>'Tæng kÕt U'!F27</f>
        <v/>
      </c>
      <c r="G25" s="277" t="str">
        <f>'Tæng kÕt U'!G27</f>
        <v/>
      </c>
      <c r="H25" s="277" t="str">
        <f>'Tæng kÕt U'!H27</f>
        <v/>
      </c>
      <c r="I25" s="277" t="str">
        <f>'Tæng kÕt U'!I27</f>
        <v/>
      </c>
      <c r="J25" s="277" t="str">
        <f>'Tæng kÕt U'!J27</f>
        <v/>
      </c>
      <c r="K25" s="277" t="str">
        <f>'Tæng kÕt U'!K27</f>
        <v/>
      </c>
      <c r="L25" s="279" t="str">
        <f>IF(COUNT(B25:F25)&gt;0,MIN('Tæng kÕt U'!B60:F60)," ")</f>
        <v xml:space="preserve"> </v>
      </c>
      <c r="M25" s="279" t="str">
        <f>IF(COUNT(G25:K25)&gt;0,MIN('Tæng kÕt U'!G60:K60)," ")</f>
        <v xml:space="preserve"> </v>
      </c>
      <c r="N25" s="280" t="str">
        <f t="shared" si="0"/>
        <v xml:space="preserve"> </v>
      </c>
      <c r="O25" s="267"/>
      <c r="P25" s="267"/>
    </row>
    <row r="26" spans="1:16" s="64" customFormat="1" ht="13.5" thickBot="1">
      <c r="A26" s="65"/>
      <c r="B26" s="281"/>
      <c r="C26" s="281"/>
      <c r="D26" s="281"/>
      <c r="E26" s="281"/>
      <c r="F26" s="282"/>
      <c r="G26" s="283"/>
      <c r="H26" s="283"/>
      <c r="I26" s="283"/>
      <c r="J26" s="283"/>
      <c r="K26" s="283"/>
      <c r="L26" s="283"/>
      <c r="M26" s="283"/>
      <c r="N26" s="284"/>
      <c r="O26" s="276"/>
      <c r="P26" s="267"/>
    </row>
    <row r="27" spans="1:16" s="64" customFormat="1" ht="13.5" thickTop="1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80"/>
      <c r="M27" s="80"/>
      <c r="N27" s="66"/>
      <c r="O27" s="66"/>
    </row>
    <row r="28" spans="1:16" s="64" customFormat="1" ht="15">
      <c r="A28" s="76"/>
      <c r="B28" s="92" t="s">
        <v>103</v>
      </c>
      <c r="C28" s="93"/>
      <c r="D28" s="93"/>
      <c r="E28" s="93"/>
      <c r="F28" s="93"/>
      <c r="G28" s="93"/>
      <c r="H28" s="93"/>
      <c r="I28" s="93"/>
      <c r="J28" s="93"/>
      <c r="K28" s="93"/>
      <c r="L28" s="80" t="str">
        <f>IF(COUNT(L4:L24)&gt;0,MIN(L4:L24),"")</f>
        <v/>
      </c>
      <c r="M28" s="80"/>
      <c r="N28" s="80"/>
      <c r="O28" s="94"/>
      <c r="P28" s="94"/>
    </row>
    <row r="29" spans="1:16" s="64" customFormat="1" ht="15">
      <c r="A29" s="95"/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80"/>
      <c r="M29" s="80" t="str">
        <f>IF(COUNT(M4:M24)&gt;0,MIN(M4:M24),"")</f>
        <v/>
      </c>
      <c r="N29" s="80"/>
      <c r="O29" s="94"/>
      <c r="P29" s="94"/>
    </row>
    <row r="30" spans="1:16" ht="15">
      <c r="A30" s="95"/>
      <c r="B30" s="92" t="s">
        <v>104</v>
      </c>
      <c r="C30" s="93"/>
      <c r="D30" s="93"/>
      <c r="E30" s="93"/>
      <c r="F30" s="93"/>
      <c r="G30" s="93"/>
      <c r="H30" s="93"/>
      <c r="I30" s="93"/>
      <c r="J30" s="93"/>
      <c r="K30" s="93"/>
      <c r="L30" s="80"/>
      <c r="M30" s="80"/>
      <c r="N30" s="80" t="str">
        <f>IF(COUNT(N4:N24)&gt;0,MIN(N4:N24),"")</f>
        <v/>
      </c>
      <c r="O30" s="94"/>
    </row>
    <row r="31" spans="1:16">
      <c r="A31" s="205"/>
      <c r="B31" s="205"/>
      <c r="C31" s="205"/>
      <c r="D31" s="205"/>
      <c r="E31" s="205"/>
      <c r="F31" s="205"/>
      <c r="G31" s="205"/>
      <c r="H31" s="205"/>
      <c r="I31" s="205"/>
      <c r="J31" s="205"/>
      <c r="K31" s="205"/>
      <c r="L31" s="205"/>
      <c r="M31" s="205"/>
      <c r="N31" s="205"/>
      <c r="O31" s="205"/>
    </row>
    <row r="32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S32"/>
  <sheetViews>
    <sheetView showGridLines="0" zoomScale="75" workbookViewId="0">
      <selection activeCell="N25" sqref="N25"/>
    </sheetView>
  </sheetViews>
  <sheetFormatPr defaultColWidth="0" defaultRowHeight="12.75" zeroHeight="1"/>
  <cols>
    <col min="1" max="1" width="16.1640625" style="6" customWidth="1"/>
    <col min="2" max="11" width="7.5" style="6" customWidth="1"/>
    <col min="12" max="12" width="8.1640625" style="6" customWidth="1"/>
    <col min="13" max="14" width="8.33203125" style="6" customWidth="1"/>
    <col min="15" max="15" width="6.33203125" style="6" customWidth="1"/>
    <col min="16" max="16" width="6.33203125" style="5" hidden="1" customWidth="1"/>
    <col min="17" max="18" width="0" style="5" hidden="1" customWidth="1"/>
    <col min="19" max="19" width="9.6640625" style="5" hidden="1" customWidth="1"/>
    <col min="20" max="16384" width="0" style="5" hidden="1"/>
  </cols>
  <sheetData>
    <row r="1" spans="1:16" s="122" customFormat="1" ht="29.25" customHeight="1">
      <c r="A1" s="531" t="s">
        <v>121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166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166"/>
    </row>
    <row r="3" spans="1:16" s="161" customFormat="1" ht="47.45" customHeight="1" thickTop="1">
      <c r="A3" s="60" t="s">
        <v>0</v>
      </c>
      <c r="B3" s="61">
        <v>11</v>
      </c>
      <c r="C3" s="61">
        <v>12</v>
      </c>
      <c r="D3" s="61">
        <v>13</v>
      </c>
      <c r="E3" s="61">
        <v>14</v>
      </c>
      <c r="F3" s="61">
        <v>15</v>
      </c>
      <c r="G3" s="61">
        <v>16</v>
      </c>
      <c r="H3" s="61">
        <v>17</v>
      </c>
      <c r="I3" s="61">
        <v>18</v>
      </c>
      <c r="J3" s="61">
        <v>19</v>
      </c>
      <c r="K3" s="61">
        <v>20</v>
      </c>
      <c r="L3" s="88" t="s">
        <v>100</v>
      </c>
      <c r="M3" s="88" t="s">
        <v>101</v>
      </c>
      <c r="N3" s="89" t="s">
        <v>102</v>
      </c>
    </row>
    <row r="4" spans="1:16" s="64" customFormat="1" ht="21" customHeight="1">
      <c r="A4" s="198" t="s">
        <v>128</v>
      </c>
      <c r="B4" s="263" t="str">
        <f>'Tæng kÕt U'!L6</f>
        <v/>
      </c>
      <c r="C4" s="263" t="str">
        <f>'Tæng kÕt U'!M6</f>
        <v/>
      </c>
      <c r="D4" s="263" t="str">
        <f>'Tæng kÕt U'!N6</f>
        <v/>
      </c>
      <c r="E4" s="263" t="str">
        <f>'Tæng kÕt U'!O6</f>
        <v/>
      </c>
      <c r="F4" s="264" t="str">
        <f>'Tæng kÕt U'!P6</f>
        <v/>
      </c>
      <c r="G4" s="263" t="str">
        <f>'Tæng kÕt U'!Q6</f>
        <v/>
      </c>
      <c r="H4" s="263" t="str">
        <f>'Tæng kÕt U'!R6</f>
        <v/>
      </c>
      <c r="I4" s="263" t="str">
        <f>'Tæng kÕt U'!S6</f>
        <v/>
      </c>
      <c r="J4" s="263" t="str">
        <f>'Tæng kÕt U'!T6</f>
        <v/>
      </c>
      <c r="K4" s="264" t="str">
        <f>'Tæng kÕt U'!U6</f>
        <v/>
      </c>
      <c r="L4" s="265" t="str">
        <f>IF(COUNT(B4:F4)&gt;0,MIN('Tæng kÕt U'!L31:P31)," ")</f>
        <v xml:space="preserve"> </v>
      </c>
      <c r="M4" s="265" t="str">
        <f>IF(COUNT(G4:K4)&gt;0,MIN('Tæng kÕt U'!Q31:U31)," ")</f>
        <v xml:space="preserve"> </v>
      </c>
      <c r="N4" s="266" t="str">
        <f>IF(COUNT(B4:K4)&gt;0,AVERAGE(B4:K4)," ")</f>
        <v xml:space="preserve"> </v>
      </c>
      <c r="O4" s="267"/>
      <c r="P4" s="267"/>
    </row>
    <row r="5" spans="1:16" s="64" customFormat="1" ht="21" customHeight="1">
      <c r="A5" s="199" t="s">
        <v>129</v>
      </c>
      <c r="B5" s="263" t="str">
        <f>'Tæng kÕt U'!L7</f>
        <v/>
      </c>
      <c r="C5" s="263" t="str">
        <f>'Tæng kÕt U'!M7</f>
        <v/>
      </c>
      <c r="D5" s="263" t="str">
        <f>'Tæng kÕt U'!N7</f>
        <v/>
      </c>
      <c r="E5" s="263" t="str">
        <f>'Tæng kÕt U'!O7</f>
        <v/>
      </c>
      <c r="F5" s="264" t="str">
        <f>'Tæng kÕt U'!P7</f>
        <v/>
      </c>
      <c r="G5" s="263" t="str">
        <f>'Tæng kÕt U'!Q7</f>
        <v/>
      </c>
      <c r="H5" s="263" t="str">
        <f>'Tæng kÕt U'!R7</f>
        <v/>
      </c>
      <c r="I5" s="263" t="str">
        <f>'Tæng kÕt U'!S7</f>
        <v/>
      </c>
      <c r="J5" s="263" t="str">
        <f>'Tæng kÕt U'!T7</f>
        <v/>
      </c>
      <c r="K5" s="264" t="str">
        <f>'Tæng kÕt U'!U7</f>
        <v/>
      </c>
      <c r="L5" s="265" t="str">
        <f>IF(COUNT(B5:F5)&gt;0,MIN('Tæng kÕt U'!L32:P32)," ")</f>
        <v xml:space="preserve"> </v>
      </c>
      <c r="M5" s="265" t="str">
        <f>IF(COUNT(G5:K5)&gt;0,MIN('Tæng kÕt U'!Q32:U32)," ")</f>
        <v xml:space="preserve"> </v>
      </c>
      <c r="N5" s="266" t="str">
        <f>IF(COUNT(B5:K5)&gt;0,AVERAGE(B5:K5)," ")</f>
        <v xml:space="preserve"> </v>
      </c>
      <c r="O5" s="267"/>
      <c r="P5" s="267"/>
    </row>
    <row r="6" spans="1:16" s="64" customFormat="1" ht="21" customHeight="1">
      <c r="A6" s="200" t="s">
        <v>130</v>
      </c>
      <c r="B6" s="263" t="str">
        <f>'Tæng kÕt U'!L8</f>
        <v/>
      </c>
      <c r="C6" s="263" t="str">
        <f>'Tæng kÕt U'!M8</f>
        <v/>
      </c>
      <c r="D6" s="263" t="str">
        <f>'Tæng kÕt U'!N8</f>
        <v/>
      </c>
      <c r="E6" s="263" t="str">
        <f>'Tæng kÕt U'!O8</f>
        <v/>
      </c>
      <c r="F6" s="264" t="str">
        <f>'Tæng kÕt U'!P8</f>
        <v/>
      </c>
      <c r="G6" s="263" t="str">
        <f>'Tæng kÕt U'!Q8</f>
        <v/>
      </c>
      <c r="H6" s="263" t="str">
        <f>'Tæng kÕt U'!R8</f>
        <v/>
      </c>
      <c r="I6" s="263" t="str">
        <f>'Tæng kÕt U'!S8</f>
        <v/>
      </c>
      <c r="J6" s="263" t="str">
        <f>'Tæng kÕt U'!T8</f>
        <v/>
      </c>
      <c r="K6" s="264" t="str">
        <f>'Tæng kÕt U'!U8</f>
        <v/>
      </c>
      <c r="L6" s="265" t="str">
        <f>IF(COUNT(B6:F6)&gt;0,MIN('Tæng kÕt U'!L33:P33)," ")</f>
        <v xml:space="preserve"> </v>
      </c>
      <c r="M6" s="265" t="str">
        <f>IF(COUNT(G6:K6)&gt;0,MIN('Tæng kÕt U'!Q33:U33)," ")</f>
        <v xml:space="preserve"> </v>
      </c>
      <c r="N6" s="266" t="str">
        <f t="shared" ref="N6:N25" si="0">IF(COUNT(B6:K6)&gt;0,AVERAGE(B6:K6)," ")</f>
        <v xml:space="preserve"> </v>
      </c>
      <c r="O6" s="267"/>
      <c r="P6" s="267"/>
    </row>
    <row r="7" spans="1:16" s="64" customFormat="1" ht="21" customHeight="1">
      <c r="A7" s="199" t="s">
        <v>131</v>
      </c>
      <c r="B7" s="263" t="str">
        <f>'Tæng kÕt U'!L9</f>
        <v/>
      </c>
      <c r="C7" s="263" t="str">
        <f>'Tæng kÕt U'!M9</f>
        <v/>
      </c>
      <c r="D7" s="263" t="str">
        <f>'Tæng kÕt U'!N9</f>
        <v/>
      </c>
      <c r="E7" s="263" t="str">
        <f>'Tæng kÕt U'!O9</f>
        <v/>
      </c>
      <c r="F7" s="264" t="str">
        <f>'Tæng kÕt U'!P9</f>
        <v/>
      </c>
      <c r="G7" s="263" t="str">
        <f>'Tæng kÕt U'!Q9</f>
        <v/>
      </c>
      <c r="H7" s="263" t="str">
        <f>'Tæng kÕt U'!R9</f>
        <v/>
      </c>
      <c r="I7" s="263" t="str">
        <f>'Tæng kÕt U'!S9</f>
        <v/>
      </c>
      <c r="J7" s="263" t="str">
        <f>'Tæng kÕt U'!T9</f>
        <v/>
      </c>
      <c r="K7" s="264" t="str">
        <f>'Tæng kÕt U'!U9</f>
        <v/>
      </c>
      <c r="L7" s="265" t="str">
        <f>IF(COUNT(B7:F7)&gt;0,MIN('Tæng kÕt U'!L34:P34)," ")</f>
        <v xml:space="preserve"> </v>
      </c>
      <c r="M7" s="265" t="str">
        <f>IF(COUNT(G7:K7)&gt;0,MIN('Tæng kÕt U'!Q34:U34)," ")</f>
        <v xml:space="preserve"> </v>
      </c>
      <c r="N7" s="266" t="str">
        <f t="shared" si="0"/>
        <v xml:space="preserve"> </v>
      </c>
      <c r="O7" s="267"/>
      <c r="P7" s="267"/>
    </row>
    <row r="8" spans="1:16" s="64" customFormat="1" ht="21" customHeight="1">
      <c r="A8" s="199" t="s">
        <v>132</v>
      </c>
      <c r="B8" s="263" t="str">
        <f>'Tæng kÕt U'!L10</f>
        <v/>
      </c>
      <c r="C8" s="263" t="str">
        <f>'Tæng kÕt U'!M10</f>
        <v/>
      </c>
      <c r="D8" s="263" t="str">
        <f>'Tæng kÕt U'!N10</f>
        <v/>
      </c>
      <c r="E8" s="263" t="str">
        <f>'Tæng kÕt U'!O10</f>
        <v/>
      </c>
      <c r="F8" s="264" t="str">
        <f>'Tæng kÕt U'!P10</f>
        <v/>
      </c>
      <c r="G8" s="263" t="str">
        <f>'Tæng kÕt U'!Q10</f>
        <v/>
      </c>
      <c r="H8" s="263" t="str">
        <f>'Tæng kÕt U'!R10</f>
        <v/>
      </c>
      <c r="I8" s="263" t="str">
        <f>'Tæng kÕt U'!S10</f>
        <v/>
      </c>
      <c r="J8" s="263" t="str">
        <f>'Tæng kÕt U'!T10</f>
        <v/>
      </c>
      <c r="K8" s="264" t="str">
        <f>'Tæng kÕt U'!U10</f>
        <v/>
      </c>
      <c r="L8" s="265" t="str">
        <f>IF(COUNT(B8:F8)&gt;0,MIN('Tæng kÕt U'!L35:P35)," ")</f>
        <v xml:space="preserve"> </v>
      </c>
      <c r="M8" s="265" t="str">
        <f>IF(COUNT(G8:K8)&gt;0,MIN('Tæng kÕt U'!Q35:U35)," ")</f>
        <v xml:space="preserve"> </v>
      </c>
      <c r="N8" s="266" t="str">
        <f t="shared" si="0"/>
        <v xml:space="preserve"> </v>
      </c>
      <c r="O8" s="267"/>
      <c r="P8" s="267"/>
    </row>
    <row r="9" spans="1:16" s="64" customFormat="1" ht="21" customHeight="1">
      <c r="A9" s="199" t="s">
        <v>133</v>
      </c>
      <c r="B9" s="263" t="str">
        <f>'Tæng kÕt U'!L11</f>
        <v/>
      </c>
      <c r="C9" s="263" t="str">
        <f>'Tæng kÕt U'!M11</f>
        <v/>
      </c>
      <c r="D9" s="263" t="str">
        <f>'Tæng kÕt U'!N11</f>
        <v/>
      </c>
      <c r="E9" s="263" t="str">
        <f>'Tæng kÕt U'!O11</f>
        <v/>
      </c>
      <c r="F9" s="264" t="str">
        <f>'Tæng kÕt U'!P11</f>
        <v/>
      </c>
      <c r="G9" s="263" t="str">
        <f>'Tæng kÕt U'!Q11</f>
        <v/>
      </c>
      <c r="H9" s="263" t="str">
        <f>'Tæng kÕt U'!R11</f>
        <v/>
      </c>
      <c r="I9" s="263" t="str">
        <f>'Tæng kÕt U'!S11</f>
        <v/>
      </c>
      <c r="J9" s="263" t="str">
        <f>'Tæng kÕt U'!T11</f>
        <v/>
      </c>
      <c r="K9" s="264" t="str">
        <f>'Tæng kÕt U'!U11</f>
        <v/>
      </c>
      <c r="L9" s="265" t="str">
        <f>IF(COUNT(B9:F9)&gt;0,MIN('Tæng kÕt U'!L36:P36)," ")</f>
        <v xml:space="preserve"> </v>
      </c>
      <c r="M9" s="265" t="str">
        <f>IF(COUNT(G9:K9)&gt;0,MIN('Tæng kÕt U'!Q36:U36)," ")</f>
        <v xml:space="preserve"> </v>
      </c>
      <c r="N9" s="266" t="str">
        <f t="shared" si="0"/>
        <v xml:space="preserve"> </v>
      </c>
      <c r="O9" s="267"/>
      <c r="P9" s="267"/>
    </row>
    <row r="10" spans="1:16" s="64" customFormat="1" ht="21" customHeight="1">
      <c r="A10" s="199" t="s">
        <v>134</v>
      </c>
      <c r="B10" s="263" t="str">
        <f>'Tæng kÕt U'!L12</f>
        <v/>
      </c>
      <c r="C10" s="263" t="str">
        <f>'Tæng kÕt U'!M12</f>
        <v/>
      </c>
      <c r="D10" s="263" t="str">
        <f>'Tæng kÕt U'!N12</f>
        <v/>
      </c>
      <c r="E10" s="263" t="str">
        <f>'Tæng kÕt U'!O12</f>
        <v/>
      </c>
      <c r="F10" s="264" t="str">
        <f>'Tæng kÕt U'!P12</f>
        <v/>
      </c>
      <c r="G10" s="263" t="str">
        <f>'Tæng kÕt U'!Q12</f>
        <v/>
      </c>
      <c r="H10" s="263" t="str">
        <f>'Tæng kÕt U'!R12</f>
        <v/>
      </c>
      <c r="I10" s="263" t="str">
        <f>'Tæng kÕt U'!S12</f>
        <v/>
      </c>
      <c r="J10" s="263" t="str">
        <f>'Tæng kÕt U'!T12</f>
        <v/>
      </c>
      <c r="K10" s="264" t="str">
        <f>'Tæng kÕt U'!U12</f>
        <v/>
      </c>
      <c r="L10" s="265" t="str">
        <f>IF(COUNT(B10:F10)&gt;0,MIN('Tæng kÕt U'!L37:P37)," ")</f>
        <v xml:space="preserve"> </v>
      </c>
      <c r="M10" s="265" t="str">
        <f>IF(COUNT(G10:K10)&gt;0,MIN('Tæng kÕt U'!Q37:U37)," ")</f>
        <v xml:space="preserve"> </v>
      </c>
      <c r="N10" s="266" t="str">
        <f t="shared" si="0"/>
        <v xml:space="preserve"> </v>
      </c>
      <c r="O10" s="267"/>
      <c r="P10" s="267"/>
    </row>
    <row r="11" spans="1:16" s="64" customFormat="1" ht="21" customHeight="1">
      <c r="A11" s="199" t="s">
        <v>192</v>
      </c>
      <c r="B11" s="263" t="str">
        <f>'Tæng kÕt U'!L13</f>
        <v/>
      </c>
      <c r="C11" s="263" t="str">
        <f>'Tæng kÕt U'!M13</f>
        <v/>
      </c>
      <c r="D11" s="263" t="str">
        <f>'Tæng kÕt U'!N13</f>
        <v/>
      </c>
      <c r="E11" s="263" t="str">
        <f>'Tæng kÕt U'!O13</f>
        <v/>
      </c>
      <c r="F11" s="264" t="str">
        <f>'Tæng kÕt U'!P13</f>
        <v/>
      </c>
      <c r="G11" s="263" t="str">
        <f>'Tæng kÕt U'!Q13</f>
        <v/>
      </c>
      <c r="H11" s="263" t="str">
        <f>'Tæng kÕt U'!R13</f>
        <v/>
      </c>
      <c r="I11" s="263" t="str">
        <f>'Tæng kÕt U'!S13</f>
        <v/>
      </c>
      <c r="J11" s="263" t="str">
        <f>'Tæng kÕt U'!T13</f>
        <v/>
      </c>
      <c r="K11" s="264" t="str">
        <f>'Tæng kÕt U'!U13</f>
        <v/>
      </c>
      <c r="L11" s="265" t="str">
        <f>IF(COUNT(B11:F11)&gt;0,MIN('Tæng kÕt U'!L38:P38)," ")</f>
        <v xml:space="preserve"> </v>
      </c>
      <c r="M11" s="265" t="str">
        <f>IF(COUNT(G11:K11)&gt;0,MIN('Tæng kÕt U'!Q38:U38)," ")</f>
        <v xml:space="preserve"> </v>
      </c>
      <c r="N11" s="266" t="str">
        <f t="shared" si="0"/>
        <v xml:space="preserve"> </v>
      </c>
      <c r="O11" s="267"/>
      <c r="P11" s="267"/>
    </row>
    <row r="12" spans="1:16" s="64" customFormat="1" ht="21" customHeight="1">
      <c r="A12" s="199" t="s">
        <v>135</v>
      </c>
      <c r="B12" s="263" t="str">
        <f>'Tæng kÕt U'!L14</f>
        <v/>
      </c>
      <c r="C12" s="263" t="str">
        <f>'Tæng kÕt U'!M14</f>
        <v/>
      </c>
      <c r="D12" s="263" t="str">
        <f>'Tæng kÕt U'!N14</f>
        <v/>
      </c>
      <c r="E12" s="263" t="str">
        <f>'Tæng kÕt U'!O14</f>
        <v/>
      </c>
      <c r="F12" s="264" t="str">
        <f>'Tæng kÕt U'!P14</f>
        <v/>
      </c>
      <c r="G12" s="263" t="str">
        <f>'Tæng kÕt U'!Q14</f>
        <v/>
      </c>
      <c r="H12" s="263" t="str">
        <f>'Tæng kÕt U'!R14</f>
        <v/>
      </c>
      <c r="I12" s="263" t="str">
        <f>'Tæng kÕt U'!S14</f>
        <v/>
      </c>
      <c r="J12" s="263" t="str">
        <f>'Tæng kÕt U'!T14</f>
        <v/>
      </c>
      <c r="K12" s="264" t="str">
        <f>'Tæng kÕt U'!U14</f>
        <v/>
      </c>
      <c r="L12" s="265" t="str">
        <f>IF(COUNT(B12:F12)&gt;0,MIN('Tæng kÕt U'!L39:P39)," ")</f>
        <v xml:space="preserve"> </v>
      </c>
      <c r="M12" s="265" t="str">
        <f>IF(COUNT(G12:K12)&gt;0,MIN('Tæng kÕt U'!Q39:U39)," ")</f>
        <v xml:space="preserve"> </v>
      </c>
      <c r="N12" s="266" t="str">
        <f t="shared" si="0"/>
        <v xml:space="preserve"> </v>
      </c>
      <c r="O12" s="267"/>
      <c r="P12" s="267"/>
    </row>
    <row r="13" spans="1:16" s="64" customFormat="1" ht="21" customHeight="1">
      <c r="A13" s="199" t="s">
        <v>136</v>
      </c>
      <c r="B13" s="263" t="str">
        <f>'Tæng kÕt U'!L15</f>
        <v/>
      </c>
      <c r="C13" s="263" t="str">
        <f>'Tæng kÕt U'!M15</f>
        <v/>
      </c>
      <c r="D13" s="263" t="str">
        <f>'Tæng kÕt U'!N15</f>
        <v/>
      </c>
      <c r="E13" s="263" t="str">
        <f>'Tæng kÕt U'!O15</f>
        <v/>
      </c>
      <c r="F13" s="264" t="str">
        <f>'Tæng kÕt U'!P15</f>
        <v/>
      </c>
      <c r="G13" s="263" t="str">
        <f>'Tæng kÕt U'!Q15</f>
        <v/>
      </c>
      <c r="H13" s="263" t="str">
        <f>'Tæng kÕt U'!R15</f>
        <v/>
      </c>
      <c r="I13" s="263" t="str">
        <f>'Tæng kÕt U'!S15</f>
        <v/>
      </c>
      <c r="J13" s="263" t="str">
        <f>'Tæng kÕt U'!T15</f>
        <v/>
      </c>
      <c r="K13" s="264" t="str">
        <f>'Tæng kÕt U'!U15</f>
        <v/>
      </c>
      <c r="L13" s="265" t="str">
        <f>IF(COUNT(B13:F13)&gt;0,MIN('Tæng kÕt U'!L40:P40)," ")</f>
        <v xml:space="preserve"> </v>
      </c>
      <c r="M13" s="265" t="str">
        <f>IF(COUNT(G13:K13)&gt;0,MIN('Tæng kÕt U'!Q40:U40)," ")</f>
        <v xml:space="preserve"> </v>
      </c>
      <c r="N13" s="266" t="str">
        <f t="shared" si="0"/>
        <v xml:space="preserve"> </v>
      </c>
      <c r="O13" s="267"/>
      <c r="P13" s="267"/>
    </row>
    <row r="14" spans="1:16" s="64" customFormat="1" ht="21" customHeight="1">
      <c r="A14" s="200" t="s">
        <v>137</v>
      </c>
      <c r="B14" s="263" t="str">
        <f>'Tæng kÕt U'!L16</f>
        <v/>
      </c>
      <c r="C14" s="263" t="str">
        <f>'Tæng kÕt U'!M16</f>
        <v/>
      </c>
      <c r="D14" s="263" t="str">
        <f>'Tæng kÕt U'!N16</f>
        <v/>
      </c>
      <c r="E14" s="263" t="str">
        <f>'Tæng kÕt U'!O16</f>
        <v/>
      </c>
      <c r="F14" s="264" t="str">
        <f>'Tæng kÕt U'!P16</f>
        <v/>
      </c>
      <c r="G14" s="263" t="str">
        <f>'Tæng kÕt U'!Q16</f>
        <v/>
      </c>
      <c r="H14" s="263" t="str">
        <f>'Tæng kÕt U'!R16</f>
        <v/>
      </c>
      <c r="I14" s="263" t="str">
        <f>'Tæng kÕt U'!S16</f>
        <v/>
      </c>
      <c r="J14" s="263" t="str">
        <f>'Tæng kÕt U'!T16</f>
        <v/>
      </c>
      <c r="K14" s="264" t="str">
        <f>'Tæng kÕt U'!U16</f>
        <v/>
      </c>
      <c r="L14" s="265" t="str">
        <f>IF(COUNT(B14:F14)&gt;0,MIN('Tæng kÕt U'!L41:P41)," ")</f>
        <v xml:space="preserve"> </v>
      </c>
      <c r="M14" s="265" t="str">
        <f>IF(COUNT(G14:K14)&gt;0,MIN('Tæng kÕt U'!Q41:U41)," ")</f>
        <v xml:space="preserve"> </v>
      </c>
      <c r="N14" s="266" t="str">
        <f t="shared" si="0"/>
        <v xml:space="preserve"> </v>
      </c>
      <c r="O14" s="267"/>
      <c r="P14" s="267"/>
    </row>
    <row r="15" spans="1:16" s="64" customFormat="1" ht="21" customHeight="1">
      <c r="A15" s="199" t="s">
        <v>138</v>
      </c>
      <c r="B15" s="263" t="str">
        <f>'Tæng kÕt U'!L17</f>
        <v/>
      </c>
      <c r="C15" s="263" t="str">
        <f>'Tæng kÕt U'!M17</f>
        <v/>
      </c>
      <c r="D15" s="263" t="str">
        <f>'Tæng kÕt U'!N17</f>
        <v/>
      </c>
      <c r="E15" s="263" t="str">
        <f>'Tæng kÕt U'!O17</f>
        <v/>
      </c>
      <c r="F15" s="264" t="str">
        <f>'Tæng kÕt U'!P17</f>
        <v/>
      </c>
      <c r="G15" s="263" t="str">
        <f>'Tæng kÕt U'!Q17</f>
        <v/>
      </c>
      <c r="H15" s="263" t="str">
        <f>'Tæng kÕt U'!R17</f>
        <v/>
      </c>
      <c r="I15" s="263" t="str">
        <f>'Tæng kÕt U'!S17</f>
        <v/>
      </c>
      <c r="J15" s="263" t="str">
        <f>'Tæng kÕt U'!T17</f>
        <v/>
      </c>
      <c r="K15" s="264" t="str">
        <f>'Tæng kÕt U'!U17</f>
        <v/>
      </c>
      <c r="L15" s="265" t="str">
        <f>IF(COUNT(B15:F15)&gt;0,MIN('Tæng kÕt U'!L42:P42)," ")</f>
        <v xml:space="preserve"> </v>
      </c>
      <c r="M15" s="265" t="str">
        <f>IF(COUNT(G15:K15)&gt;0,MIN('Tæng kÕt U'!Q42:U42)," ")</f>
        <v xml:space="preserve"> </v>
      </c>
      <c r="N15" s="266" t="str">
        <f t="shared" si="0"/>
        <v xml:space="preserve"> </v>
      </c>
      <c r="O15" s="267"/>
      <c r="P15" s="267"/>
    </row>
    <row r="16" spans="1:16" s="64" customFormat="1" ht="21" customHeight="1">
      <c r="A16" s="200" t="s">
        <v>139</v>
      </c>
      <c r="B16" s="263" t="str">
        <f>'Tæng kÕt U'!L18</f>
        <v/>
      </c>
      <c r="C16" s="263" t="str">
        <f>'Tæng kÕt U'!M18</f>
        <v/>
      </c>
      <c r="D16" s="263" t="str">
        <f>'Tæng kÕt U'!N18</f>
        <v/>
      </c>
      <c r="E16" s="263" t="str">
        <f>'Tæng kÕt U'!O18</f>
        <v/>
      </c>
      <c r="F16" s="264" t="str">
        <f>'Tæng kÕt U'!P18</f>
        <v/>
      </c>
      <c r="G16" s="263" t="str">
        <f>'Tæng kÕt U'!Q18</f>
        <v/>
      </c>
      <c r="H16" s="263" t="str">
        <f>'Tæng kÕt U'!R18</f>
        <v/>
      </c>
      <c r="I16" s="263" t="str">
        <f>'Tæng kÕt U'!S18</f>
        <v/>
      </c>
      <c r="J16" s="263" t="str">
        <f>'Tæng kÕt U'!T18</f>
        <v/>
      </c>
      <c r="K16" s="264" t="str">
        <f>'Tæng kÕt U'!U18</f>
        <v/>
      </c>
      <c r="L16" s="265" t="str">
        <f>IF(COUNT(B16:F16)&gt;0,MIN('Tæng kÕt U'!L43:P43)," ")</f>
        <v xml:space="preserve"> </v>
      </c>
      <c r="M16" s="265" t="str">
        <f>IF(COUNT(G16:K16)&gt;0,MIN('Tæng kÕt U'!Q43:U43)," ")</f>
        <v xml:space="preserve"> </v>
      </c>
      <c r="N16" s="266" t="str">
        <f t="shared" si="0"/>
        <v xml:space="preserve"> </v>
      </c>
      <c r="O16" s="267"/>
      <c r="P16" s="267"/>
    </row>
    <row r="17" spans="1:16" s="64" customFormat="1" ht="21" customHeight="1">
      <c r="A17" s="199" t="s">
        <v>140</v>
      </c>
      <c r="B17" s="263" t="str">
        <f>'Tæng kÕt U'!L19</f>
        <v/>
      </c>
      <c r="C17" s="263" t="str">
        <f>'Tæng kÕt U'!M19</f>
        <v/>
      </c>
      <c r="D17" s="263" t="str">
        <f>'Tæng kÕt U'!N19</f>
        <v/>
      </c>
      <c r="E17" s="263" t="str">
        <f>'Tæng kÕt U'!O19</f>
        <v/>
      </c>
      <c r="F17" s="264" t="str">
        <f>'Tæng kÕt U'!P19</f>
        <v/>
      </c>
      <c r="G17" s="263" t="str">
        <f>'Tæng kÕt U'!Q19</f>
        <v/>
      </c>
      <c r="H17" s="263" t="str">
        <f>'Tæng kÕt U'!R19</f>
        <v/>
      </c>
      <c r="I17" s="263" t="str">
        <f>'Tæng kÕt U'!S19</f>
        <v/>
      </c>
      <c r="J17" s="263" t="str">
        <f>'Tæng kÕt U'!T19</f>
        <v/>
      </c>
      <c r="K17" s="264" t="str">
        <f>'Tæng kÕt U'!U19</f>
        <v/>
      </c>
      <c r="L17" s="265" t="str">
        <f>IF(COUNT(B17:F17)&gt;0,MIN('Tæng kÕt U'!L44:P44)," ")</f>
        <v xml:space="preserve"> </v>
      </c>
      <c r="M17" s="265" t="str">
        <f>IF(COUNT(G17:K17)&gt;0,MIN('Tæng kÕt U'!Q44:U44)," ")</f>
        <v xml:space="preserve"> </v>
      </c>
      <c r="N17" s="266" t="str">
        <f t="shared" si="0"/>
        <v xml:space="preserve"> </v>
      </c>
      <c r="O17" s="267"/>
      <c r="P17" s="267"/>
    </row>
    <row r="18" spans="1:16" s="64" customFormat="1" ht="21" customHeight="1">
      <c r="A18" s="200" t="s">
        <v>141</v>
      </c>
      <c r="B18" s="263" t="str">
        <f>'Tæng kÕt U'!L20</f>
        <v/>
      </c>
      <c r="C18" s="263" t="str">
        <f>'Tæng kÕt U'!M20</f>
        <v/>
      </c>
      <c r="D18" s="263" t="str">
        <f>'Tæng kÕt U'!N20</f>
        <v/>
      </c>
      <c r="E18" s="263" t="str">
        <f>'Tæng kÕt U'!O20</f>
        <v/>
      </c>
      <c r="F18" s="264" t="str">
        <f>'Tæng kÕt U'!P20</f>
        <v/>
      </c>
      <c r="G18" s="263" t="str">
        <f>'Tæng kÕt U'!Q20</f>
        <v/>
      </c>
      <c r="H18" s="263" t="str">
        <f>'Tæng kÕt U'!R20</f>
        <v/>
      </c>
      <c r="I18" s="263" t="str">
        <f>'Tæng kÕt U'!S20</f>
        <v/>
      </c>
      <c r="J18" s="263" t="str">
        <f>'Tæng kÕt U'!T20</f>
        <v/>
      </c>
      <c r="K18" s="264" t="str">
        <f>'Tæng kÕt U'!U20</f>
        <v/>
      </c>
      <c r="L18" s="265" t="str">
        <f>IF(COUNT(B18:F18)&gt;0,MIN('Tæng kÕt U'!L45:P45)," ")</f>
        <v xml:space="preserve"> </v>
      </c>
      <c r="M18" s="265" t="str">
        <f>IF(COUNT(G18:K18)&gt;0,MIN('Tæng kÕt U'!Q45:U45)," ")</f>
        <v xml:space="preserve"> </v>
      </c>
      <c r="N18" s="266" t="str">
        <f t="shared" si="0"/>
        <v xml:space="preserve"> </v>
      </c>
      <c r="O18" s="267"/>
      <c r="P18" s="267"/>
    </row>
    <row r="19" spans="1:16" s="64" customFormat="1" ht="21" customHeight="1">
      <c r="A19" s="199" t="s">
        <v>142</v>
      </c>
      <c r="B19" s="263" t="str">
        <f>'Tæng kÕt U'!L21</f>
        <v/>
      </c>
      <c r="C19" s="263" t="str">
        <f>'Tæng kÕt U'!M21</f>
        <v/>
      </c>
      <c r="D19" s="263" t="str">
        <f>'Tæng kÕt U'!N21</f>
        <v/>
      </c>
      <c r="E19" s="263" t="str">
        <f>'Tæng kÕt U'!O21</f>
        <v/>
      </c>
      <c r="F19" s="264" t="str">
        <f>'Tæng kÕt U'!P21</f>
        <v/>
      </c>
      <c r="G19" s="263" t="str">
        <f>'Tæng kÕt U'!Q21</f>
        <v/>
      </c>
      <c r="H19" s="263" t="str">
        <f>'Tæng kÕt U'!R21</f>
        <v/>
      </c>
      <c r="I19" s="263" t="str">
        <f>'Tæng kÕt U'!S21</f>
        <v/>
      </c>
      <c r="J19" s="263" t="str">
        <f>'Tæng kÕt U'!T21</f>
        <v/>
      </c>
      <c r="K19" s="264" t="str">
        <f>'Tæng kÕt U'!U21</f>
        <v/>
      </c>
      <c r="L19" s="265" t="str">
        <f>IF(COUNT(B19:F19)&gt;0,MIN('Tæng kÕt U'!L46:P46)," ")</f>
        <v xml:space="preserve"> </v>
      </c>
      <c r="M19" s="265" t="str">
        <f>IF(COUNT(G19:K19)&gt;0,MIN('Tæng kÕt U'!Q46:U46)," ")</f>
        <v xml:space="preserve"> </v>
      </c>
      <c r="N19" s="266" t="str">
        <f t="shared" si="0"/>
        <v xml:space="preserve"> </v>
      </c>
      <c r="O19" s="267"/>
      <c r="P19" s="267"/>
    </row>
    <row r="20" spans="1:16" s="64" customFormat="1" ht="21" customHeight="1">
      <c r="A20" s="199" t="s">
        <v>143</v>
      </c>
      <c r="B20" s="263" t="str">
        <f>'Tæng kÕt U'!L22</f>
        <v/>
      </c>
      <c r="C20" s="263" t="str">
        <f>'Tæng kÕt U'!M22</f>
        <v/>
      </c>
      <c r="D20" s="263" t="str">
        <f>'Tæng kÕt U'!N22</f>
        <v/>
      </c>
      <c r="E20" s="263" t="str">
        <f>'Tæng kÕt U'!O22</f>
        <v/>
      </c>
      <c r="F20" s="264" t="str">
        <f>'Tæng kÕt U'!P22</f>
        <v/>
      </c>
      <c r="G20" s="263" t="str">
        <f>'Tæng kÕt U'!Q22</f>
        <v/>
      </c>
      <c r="H20" s="263" t="str">
        <f>'Tæng kÕt U'!R22</f>
        <v/>
      </c>
      <c r="I20" s="263" t="str">
        <f>'Tæng kÕt U'!S22</f>
        <v/>
      </c>
      <c r="J20" s="263" t="str">
        <f>'Tæng kÕt U'!T22</f>
        <v/>
      </c>
      <c r="K20" s="264" t="str">
        <f>'Tæng kÕt U'!U22</f>
        <v/>
      </c>
      <c r="L20" s="265" t="str">
        <f>IF(COUNT(B20:F20)&gt;0,MIN('Tæng kÕt U'!L47:P47)," ")</f>
        <v xml:space="preserve"> </v>
      </c>
      <c r="M20" s="265" t="str">
        <f>IF(COUNT(G20:K20)&gt;0,MIN('Tæng kÕt U'!Q47:U47)," ")</f>
        <v xml:space="preserve"> </v>
      </c>
      <c r="N20" s="266" t="str">
        <f t="shared" si="0"/>
        <v xml:space="preserve"> </v>
      </c>
      <c r="O20" s="267"/>
      <c r="P20" s="267"/>
    </row>
    <row r="21" spans="1:16" s="64" customFormat="1" ht="21" customHeight="1">
      <c r="A21" s="199" t="s">
        <v>144</v>
      </c>
      <c r="B21" s="263" t="str">
        <f>'Tæng kÕt U'!L23</f>
        <v/>
      </c>
      <c r="C21" s="263" t="str">
        <f>'Tæng kÕt U'!M23</f>
        <v/>
      </c>
      <c r="D21" s="263" t="str">
        <f>'Tæng kÕt U'!N23</f>
        <v/>
      </c>
      <c r="E21" s="263" t="str">
        <f>'Tæng kÕt U'!O23</f>
        <v/>
      </c>
      <c r="F21" s="264" t="str">
        <f>'Tæng kÕt U'!P23</f>
        <v/>
      </c>
      <c r="G21" s="263" t="str">
        <f>'Tæng kÕt U'!Q23</f>
        <v/>
      </c>
      <c r="H21" s="263" t="str">
        <f>'Tæng kÕt U'!R23</f>
        <v/>
      </c>
      <c r="I21" s="263" t="str">
        <f>'Tæng kÕt U'!S23</f>
        <v/>
      </c>
      <c r="J21" s="263" t="str">
        <f>'Tæng kÕt U'!T23</f>
        <v/>
      </c>
      <c r="K21" s="264" t="str">
        <f>'Tæng kÕt U'!U23</f>
        <v/>
      </c>
      <c r="L21" s="265" t="str">
        <f>IF(COUNT(B21:F21)&gt;0,MIN('Tæng kÕt U'!L48:P48)," ")</f>
        <v xml:space="preserve"> </v>
      </c>
      <c r="M21" s="265" t="str">
        <f>IF(COUNT(G21:K21)&gt;0,MIN('Tæng kÕt U'!Q48:U48)," ")</f>
        <v xml:space="preserve"> </v>
      </c>
      <c r="N21" s="266" t="str">
        <f t="shared" si="0"/>
        <v xml:space="preserve"> </v>
      </c>
      <c r="O21" s="267"/>
      <c r="P21" s="267"/>
    </row>
    <row r="22" spans="1:16" s="64" customFormat="1" ht="21" customHeight="1">
      <c r="A22" s="199" t="s">
        <v>145</v>
      </c>
      <c r="B22" s="263" t="str">
        <f>'Tæng kÕt U'!L24</f>
        <v/>
      </c>
      <c r="C22" s="263" t="str">
        <f>'Tæng kÕt U'!M24</f>
        <v/>
      </c>
      <c r="D22" s="263" t="str">
        <f>'Tæng kÕt U'!N24</f>
        <v/>
      </c>
      <c r="E22" s="263" t="str">
        <f>'Tæng kÕt U'!O24</f>
        <v/>
      </c>
      <c r="F22" s="264" t="str">
        <f>'Tæng kÕt U'!P24</f>
        <v/>
      </c>
      <c r="G22" s="263" t="str">
        <f>'Tæng kÕt U'!Q24</f>
        <v/>
      </c>
      <c r="H22" s="263" t="str">
        <f>'Tæng kÕt U'!R24</f>
        <v/>
      </c>
      <c r="I22" s="263" t="str">
        <f>'Tæng kÕt U'!S24</f>
        <v/>
      </c>
      <c r="J22" s="263" t="str">
        <f>'Tæng kÕt U'!T24</f>
        <v/>
      </c>
      <c r="K22" s="264" t="str">
        <f>'Tæng kÕt U'!U24</f>
        <v/>
      </c>
      <c r="L22" s="265" t="str">
        <f>IF(COUNT(B22:F22)&gt;0,MIN('Tæng kÕt U'!L49:P49)," ")</f>
        <v xml:space="preserve"> </v>
      </c>
      <c r="M22" s="265" t="str">
        <f>IF(COUNT(G22:K22)&gt;0,MIN('Tæng kÕt U'!Q49:U49)," ")</f>
        <v xml:space="preserve"> </v>
      </c>
      <c r="N22" s="266" t="str">
        <f t="shared" si="0"/>
        <v xml:space="preserve"> </v>
      </c>
      <c r="O22" s="267"/>
      <c r="P22" s="267"/>
    </row>
    <row r="23" spans="1:16" s="64" customFormat="1" ht="21" customHeight="1">
      <c r="A23" s="199" t="s">
        <v>146</v>
      </c>
      <c r="B23" s="263" t="str">
        <f>'Tæng kÕt U'!L25</f>
        <v/>
      </c>
      <c r="C23" s="263" t="str">
        <f>'Tæng kÕt U'!M25</f>
        <v/>
      </c>
      <c r="D23" s="263" t="str">
        <f>'Tæng kÕt U'!N25</f>
        <v/>
      </c>
      <c r="E23" s="263" t="str">
        <f>'Tæng kÕt U'!O25</f>
        <v/>
      </c>
      <c r="F23" s="264" t="str">
        <f>'Tæng kÕt U'!P25</f>
        <v/>
      </c>
      <c r="G23" s="263" t="str">
        <f>'Tæng kÕt U'!Q25</f>
        <v/>
      </c>
      <c r="H23" s="263" t="str">
        <f>'Tæng kÕt U'!R25</f>
        <v/>
      </c>
      <c r="I23" s="263" t="str">
        <f>'Tæng kÕt U'!S25</f>
        <v/>
      </c>
      <c r="J23" s="263" t="str">
        <f>'Tæng kÕt U'!T25</f>
        <v/>
      </c>
      <c r="K23" s="264" t="str">
        <f>'Tæng kÕt U'!U25</f>
        <v/>
      </c>
      <c r="L23" s="265" t="str">
        <f>IF(COUNT(B23:F23)&gt;0,MIN('Tæng kÕt U'!L50:P50)," ")</f>
        <v xml:space="preserve"> </v>
      </c>
      <c r="M23" s="265" t="str">
        <f>IF(COUNT(G23:K23)&gt;0,MIN('Tæng kÕt U'!Q50:U50)," ")</f>
        <v xml:space="preserve"> </v>
      </c>
      <c r="N23" s="266" t="str">
        <f t="shared" si="0"/>
        <v xml:space="preserve"> </v>
      </c>
      <c r="O23" s="267"/>
      <c r="P23" s="267"/>
    </row>
    <row r="24" spans="1:16" s="64" customFormat="1" ht="21" customHeight="1">
      <c r="A24" s="199" t="s">
        <v>147</v>
      </c>
      <c r="B24" s="263" t="str">
        <f>'Tæng kÕt U'!L26</f>
        <v/>
      </c>
      <c r="C24" s="263" t="str">
        <f>'Tæng kÕt U'!M26</f>
        <v/>
      </c>
      <c r="D24" s="263" t="str">
        <f>'Tæng kÕt U'!N26</f>
        <v/>
      </c>
      <c r="E24" s="263" t="str">
        <f>'Tæng kÕt U'!O26</f>
        <v/>
      </c>
      <c r="F24" s="264" t="str">
        <f>'Tæng kÕt U'!P26</f>
        <v/>
      </c>
      <c r="G24" s="263" t="str">
        <f>'Tæng kÕt U'!Q26</f>
        <v/>
      </c>
      <c r="H24" s="263" t="str">
        <f>'Tæng kÕt U'!R26</f>
        <v/>
      </c>
      <c r="I24" s="263" t="str">
        <f>'Tæng kÕt U'!S26</f>
        <v/>
      </c>
      <c r="J24" s="263" t="str">
        <f>'Tæng kÕt U'!T26</f>
        <v/>
      </c>
      <c r="K24" s="264" t="str">
        <f>'Tæng kÕt U'!U26</f>
        <v/>
      </c>
      <c r="L24" s="265" t="str">
        <f>IF(COUNT(B24:F24)&gt;0,MIN('Tæng kÕt U'!L51:P51)," ")</f>
        <v xml:space="preserve"> </v>
      </c>
      <c r="M24" s="265" t="str">
        <f>IF(COUNT(G24:K24)&gt;0,MIN('Tæng kÕt U'!Q51:U51)," ")</f>
        <v xml:space="preserve"> </v>
      </c>
      <c r="N24" s="266" t="str">
        <f t="shared" si="0"/>
        <v xml:space="preserve"> </v>
      </c>
      <c r="O24" s="267"/>
      <c r="P24" s="267"/>
    </row>
    <row r="25" spans="1:16" s="64" customFormat="1" ht="21" customHeight="1">
      <c r="A25" s="302" t="s">
        <v>191</v>
      </c>
      <c r="B25" s="263" t="str">
        <f>'Tæng kÕt U'!L27</f>
        <v/>
      </c>
      <c r="C25" s="263" t="str">
        <f>'Tæng kÕt U'!M27</f>
        <v/>
      </c>
      <c r="D25" s="263" t="str">
        <f>'Tæng kÕt U'!N27</f>
        <v/>
      </c>
      <c r="E25" s="263" t="str">
        <f>'Tæng kÕt U'!O27</f>
        <v/>
      </c>
      <c r="F25" s="264" t="str">
        <f>'Tæng kÕt U'!P27</f>
        <v/>
      </c>
      <c r="G25" s="263" t="str">
        <f>'Tæng kÕt U'!Q27</f>
        <v/>
      </c>
      <c r="H25" s="263" t="str">
        <f>'Tæng kÕt U'!R27</f>
        <v/>
      </c>
      <c r="I25" s="263" t="str">
        <f>'Tæng kÕt U'!S27</f>
        <v/>
      </c>
      <c r="J25" s="263" t="str">
        <f>'Tæng kÕt U'!T27</f>
        <v/>
      </c>
      <c r="K25" s="264" t="str">
        <f>'Tæng kÕt U'!U27</f>
        <v/>
      </c>
      <c r="L25" s="265" t="str">
        <f>IF(COUNT(B25:F25)&gt;0,MIN('Tæng kÕt U'!L52:P52)," ")</f>
        <v xml:space="preserve"> </v>
      </c>
      <c r="M25" s="265" t="str">
        <f>IF(COUNT(G25:K25)&gt;0,MIN('Tæng kÕt U'!Q52:U52)," ")</f>
        <v xml:space="preserve"> </v>
      </c>
      <c r="N25" s="266" t="str">
        <f t="shared" si="0"/>
        <v xml:space="preserve"> </v>
      </c>
      <c r="O25" s="267"/>
      <c r="P25" s="267"/>
    </row>
    <row r="26" spans="1:16" s="64" customFormat="1" ht="13.5" thickBot="1">
      <c r="A26" s="65"/>
      <c r="B26" s="272"/>
      <c r="C26" s="272"/>
      <c r="D26" s="272"/>
      <c r="E26" s="272"/>
      <c r="F26" s="273"/>
      <c r="G26" s="272"/>
      <c r="H26" s="272"/>
      <c r="I26" s="272"/>
      <c r="J26" s="272"/>
      <c r="K26" s="273"/>
      <c r="L26" s="274"/>
      <c r="M26" s="274"/>
      <c r="N26" s="275"/>
      <c r="O26" s="276"/>
      <c r="P26" s="267"/>
    </row>
    <row r="27" spans="1:16" s="64" customFormat="1" ht="13.5" thickTop="1">
      <c r="A27" s="66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66"/>
    </row>
    <row r="28" spans="1:16" s="64" customFormat="1" ht="15">
      <c r="A28" s="76"/>
      <c r="B28" s="92" t="s">
        <v>103</v>
      </c>
      <c r="C28" s="93"/>
      <c r="D28" s="93"/>
      <c r="E28" s="93"/>
      <c r="F28" s="93"/>
      <c r="G28" s="93"/>
      <c r="H28" s="93"/>
      <c r="I28" s="93"/>
      <c r="J28" s="93"/>
      <c r="K28" s="93"/>
      <c r="L28" s="80" t="str">
        <f>IF(COUNT(L4:L24)&gt;0,MIN(L4:L24),"")</f>
        <v/>
      </c>
      <c r="M28" s="80"/>
      <c r="N28" s="80"/>
      <c r="O28" s="66"/>
    </row>
    <row r="29" spans="1:16" s="64" customFormat="1" ht="15">
      <c r="A29" s="95"/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80"/>
      <c r="M29" s="80" t="str">
        <f>IF(COUNT(M4:M24)&gt;0,MIN(M4:M24),"")</f>
        <v/>
      </c>
      <c r="N29" s="80"/>
      <c r="O29" s="66"/>
    </row>
    <row r="30" spans="1:16" s="64" customFormat="1" ht="15">
      <c r="A30" s="95"/>
      <c r="B30" s="92" t="s">
        <v>104</v>
      </c>
      <c r="C30" s="93"/>
      <c r="D30" s="93"/>
      <c r="E30" s="93"/>
      <c r="F30" s="93"/>
      <c r="G30" s="93"/>
      <c r="H30" s="93"/>
      <c r="I30" s="93"/>
      <c r="J30" s="93"/>
      <c r="K30" s="93"/>
      <c r="L30" s="80"/>
      <c r="M30" s="80"/>
      <c r="N30" s="80" t="str">
        <f>IF(COUNT(N4:N24)&gt;0,MIN(N4:N24),"")</f>
        <v/>
      </c>
      <c r="O30" s="66"/>
    </row>
    <row r="31" spans="1:16"/>
    <row r="32" spans="1:16"/>
  </sheetData>
  <mergeCells count="2">
    <mergeCell ref="A1:N1"/>
    <mergeCell ref="A2:N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U34"/>
  <sheetViews>
    <sheetView showGridLines="0" zoomScale="75" workbookViewId="0">
      <selection activeCell="B5" sqref="B5:O25"/>
    </sheetView>
  </sheetViews>
  <sheetFormatPr defaultColWidth="0" defaultRowHeight="12.75" zeroHeight="1"/>
  <cols>
    <col min="1" max="1" width="16.1640625" style="6" customWidth="1"/>
    <col min="2" max="12" width="7.33203125" style="6" customWidth="1"/>
    <col min="13" max="15" width="8" style="6" customWidth="1"/>
    <col min="16" max="16" width="6.33203125" style="6" customWidth="1"/>
    <col min="17" max="17" width="6.33203125" style="5" hidden="1" customWidth="1"/>
    <col min="18" max="19" width="0" style="5" hidden="1" customWidth="1"/>
    <col min="20" max="21" width="9.6640625" style="5" hidden="1" customWidth="1"/>
    <col min="22" max="16384" width="0" style="5" hidden="1"/>
  </cols>
  <sheetData>
    <row r="1" spans="1:16" s="122" customFormat="1" ht="29.25" customHeight="1">
      <c r="A1" s="531" t="s">
        <v>178</v>
      </c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121"/>
    </row>
    <row r="2" spans="1:16" ht="27.75" customHeight="1" thickBot="1">
      <c r="A2" s="532" t="str">
        <f>IF(ngay01!X1="","THANG",ngay01!X1)</f>
        <v>THANG</v>
      </c>
      <c r="B2" s="532"/>
      <c r="C2" s="532"/>
      <c r="D2" s="532"/>
      <c r="E2" s="532"/>
      <c r="F2" s="532"/>
      <c r="G2" s="532"/>
      <c r="H2" s="532"/>
      <c r="I2" s="532"/>
      <c r="J2" s="532"/>
      <c r="K2" s="532"/>
      <c r="L2" s="532"/>
      <c r="M2" s="532"/>
      <c r="N2" s="532"/>
      <c r="O2" s="532"/>
      <c r="P2" s="4"/>
    </row>
    <row r="3" spans="1:16" s="161" customFormat="1" ht="47.1" customHeight="1" thickTop="1">
      <c r="A3" s="60" t="s">
        <v>0</v>
      </c>
      <c r="B3" s="69">
        <v>21</v>
      </c>
      <c r="C3" s="69">
        <v>22</v>
      </c>
      <c r="D3" s="69">
        <v>23</v>
      </c>
      <c r="E3" s="69">
        <v>24</v>
      </c>
      <c r="F3" s="69">
        <v>25</v>
      </c>
      <c r="G3" s="69">
        <v>26</v>
      </c>
      <c r="H3" s="69">
        <v>27</v>
      </c>
      <c r="I3" s="69">
        <v>28</v>
      </c>
      <c r="J3" s="69">
        <v>29</v>
      </c>
      <c r="K3" s="69">
        <v>30</v>
      </c>
      <c r="L3" s="69">
        <v>31</v>
      </c>
      <c r="M3" s="88" t="s">
        <v>173</v>
      </c>
      <c r="N3" s="297" t="s">
        <v>187</v>
      </c>
      <c r="O3" s="89" t="s">
        <v>188</v>
      </c>
    </row>
    <row r="4" spans="1:16" s="64" customFormat="1" ht="21" customHeight="1">
      <c r="A4" s="198" t="s">
        <v>128</v>
      </c>
      <c r="B4" s="263" t="str">
        <f>'Tæng kÕt U'!V6</f>
        <v/>
      </c>
      <c r="C4" s="263" t="str">
        <f>'Tæng kÕt U'!W6</f>
        <v/>
      </c>
      <c r="D4" s="263" t="str">
        <f>'Tæng kÕt U'!X6</f>
        <v/>
      </c>
      <c r="E4" s="263" t="str">
        <f>'Tæng kÕt U'!Y6</f>
        <v/>
      </c>
      <c r="F4" s="264" t="str">
        <f>'Tæng kÕt U'!Z6</f>
        <v/>
      </c>
      <c r="G4" s="263" t="str">
        <f>'Tæng kÕt U'!AA6</f>
        <v/>
      </c>
      <c r="H4" s="263" t="str">
        <f>'Tæng kÕt U'!AB6</f>
        <v/>
      </c>
      <c r="I4" s="263" t="str">
        <f>'Tæng kÕt U'!AC6</f>
        <v/>
      </c>
      <c r="J4" s="263" t="str">
        <f>'Tæng kÕt U'!AD6</f>
        <v/>
      </c>
      <c r="K4" s="263" t="str">
        <f>'Tæng kÕt U'!AE6</f>
        <v/>
      </c>
      <c r="L4" s="264"/>
      <c r="M4" s="265" t="str">
        <f>IF(COUNT(B4:F4)&gt;0,MIN('Tæng kÕt U'!V31:Z31)," ")</f>
        <v xml:space="preserve"> </v>
      </c>
      <c r="N4" s="265" t="str">
        <f>IF(COUNT(G4:K4)&gt;0,MIN('Tæng kÕt U'!AA31:AF31)," ")</f>
        <v xml:space="preserve"> </v>
      </c>
      <c r="O4" s="266" t="str">
        <f>IF(COUNT(B4:K4)&gt;0,AVERAGE(B4:K4)," ")</f>
        <v xml:space="preserve"> </v>
      </c>
      <c r="P4" s="267"/>
    </row>
    <row r="5" spans="1:16" s="64" customFormat="1" ht="21" customHeight="1">
      <c r="A5" s="199" t="s">
        <v>129</v>
      </c>
      <c r="B5" s="263" t="str">
        <f>'Tæng kÕt U'!V7</f>
        <v/>
      </c>
      <c r="C5" s="263" t="str">
        <f>'Tæng kÕt U'!W7</f>
        <v/>
      </c>
      <c r="D5" s="263" t="str">
        <f>'Tæng kÕt U'!X7</f>
        <v/>
      </c>
      <c r="E5" s="263" t="str">
        <f>'Tæng kÕt U'!Y7</f>
        <v/>
      </c>
      <c r="F5" s="264" t="str">
        <f>'Tæng kÕt U'!Z7</f>
        <v/>
      </c>
      <c r="G5" s="263" t="str">
        <f>'Tæng kÕt U'!AA7</f>
        <v/>
      </c>
      <c r="H5" s="263" t="str">
        <f>'Tæng kÕt U'!AB7</f>
        <v/>
      </c>
      <c r="I5" s="263" t="str">
        <f>'Tæng kÕt U'!AC7</f>
        <v/>
      </c>
      <c r="J5" s="263" t="str">
        <f>'Tæng kÕt U'!AD7</f>
        <v/>
      </c>
      <c r="K5" s="263" t="str">
        <f>'Tæng kÕt U'!AE7</f>
        <v/>
      </c>
      <c r="L5" s="264"/>
      <c r="M5" s="265" t="str">
        <f>IF(COUNT(B5:F5)&gt;0,MIN('Tæng kÕt U'!V32:Z32)," ")</f>
        <v xml:space="preserve"> </v>
      </c>
      <c r="N5" s="265" t="str">
        <f>IF(COUNT(G5:K5)&gt;0,MIN('Tæng kÕt U'!AA32:AF32)," ")</f>
        <v xml:space="preserve"> </v>
      </c>
      <c r="O5" s="266" t="str">
        <f>IF(COUNT(B5:K5)&gt;0,AVERAGE(B5:K5)," ")</f>
        <v xml:space="preserve"> </v>
      </c>
      <c r="P5" s="267"/>
    </row>
    <row r="6" spans="1:16" s="64" customFormat="1" ht="21" customHeight="1">
      <c r="A6" s="200" t="s">
        <v>130</v>
      </c>
      <c r="B6" s="263" t="str">
        <f>'Tæng kÕt U'!V8</f>
        <v/>
      </c>
      <c r="C6" s="263" t="str">
        <f>'Tæng kÕt U'!W8</f>
        <v/>
      </c>
      <c r="D6" s="263" t="str">
        <f>'Tæng kÕt U'!X8</f>
        <v/>
      </c>
      <c r="E6" s="263" t="str">
        <f>'Tæng kÕt U'!Y8</f>
        <v/>
      </c>
      <c r="F6" s="264" t="str">
        <f>'Tæng kÕt U'!Z8</f>
        <v/>
      </c>
      <c r="G6" s="263" t="str">
        <f>'Tæng kÕt U'!AA8</f>
        <v/>
      </c>
      <c r="H6" s="263" t="str">
        <f>'Tæng kÕt U'!AB8</f>
        <v/>
      </c>
      <c r="I6" s="263" t="str">
        <f>'Tæng kÕt U'!AC8</f>
        <v/>
      </c>
      <c r="J6" s="263" t="str">
        <f>'Tæng kÕt U'!AD8</f>
        <v/>
      </c>
      <c r="K6" s="263" t="str">
        <f>'Tæng kÕt U'!AE8</f>
        <v/>
      </c>
      <c r="L6" s="264"/>
      <c r="M6" s="265" t="str">
        <f>IF(COUNT(B6:F6)&gt;0,MIN('Tæng kÕt U'!V33:Z33)," ")</f>
        <v xml:space="preserve"> </v>
      </c>
      <c r="N6" s="265" t="str">
        <f>IF(COUNT(G6:K6)&gt;0,MIN('Tæng kÕt U'!AA33:AF33)," ")</f>
        <v xml:space="preserve"> </v>
      </c>
      <c r="O6" s="266" t="str">
        <f t="shared" ref="O6:O25" si="0">IF(COUNT(B6:K6)&gt;0,AVERAGE(B6:K6)," ")</f>
        <v xml:space="preserve"> </v>
      </c>
      <c r="P6" s="267"/>
    </row>
    <row r="7" spans="1:16" s="64" customFormat="1" ht="21" customHeight="1">
      <c r="A7" s="199" t="s">
        <v>131</v>
      </c>
      <c r="B7" s="263" t="str">
        <f>'Tæng kÕt U'!V9</f>
        <v/>
      </c>
      <c r="C7" s="263" t="str">
        <f>'Tæng kÕt U'!W9</f>
        <v/>
      </c>
      <c r="D7" s="263" t="str">
        <f>'Tæng kÕt U'!X9</f>
        <v/>
      </c>
      <c r="E7" s="263" t="str">
        <f>'Tæng kÕt U'!Y9</f>
        <v/>
      </c>
      <c r="F7" s="264" t="str">
        <f>'Tæng kÕt U'!Z9</f>
        <v/>
      </c>
      <c r="G7" s="263" t="str">
        <f>'Tæng kÕt U'!AA9</f>
        <v/>
      </c>
      <c r="H7" s="263" t="str">
        <f>'Tæng kÕt U'!AB9</f>
        <v/>
      </c>
      <c r="I7" s="263" t="str">
        <f>'Tæng kÕt U'!AC9</f>
        <v/>
      </c>
      <c r="J7" s="263" t="str">
        <f>'Tæng kÕt U'!AD9</f>
        <v/>
      </c>
      <c r="K7" s="263" t="str">
        <f>'Tæng kÕt U'!AE9</f>
        <v/>
      </c>
      <c r="L7" s="264"/>
      <c r="M7" s="265" t="str">
        <f>IF(COUNT(B7:F7)&gt;0,MIN('Tæng kÕt U'!V34:Z34)," ")</f>
        <v xml:space="preserve"> </v>
      </c>
      <c r="N7" s="265" t="str">
        <f>IF(COUNT(G7:K7)&gt;0,MIN('Tæng kÕt U'!AA34:AF34)," ")</f>
        <v xml:space="preserve"> </v>
      </c>
      <c r="O7" s="266" t="str">
        <f t="shared" si="0"/>
        <v xml:space="preserve"> </v>
      </c>
      <c r="P7" s="267"/>
    </row>
    <row r="8" spans="1:16" s="64" customFormat="1" ht="21" customHeight="1">
      <c r="A8" s="199" t="s">
        <v>132</v>
      </c>
      <c r="B8" s="263" t="str">
        <f>'Tæng kÕt U'!V10</f>
        <v/>
      </c>
      <c r="C8" s="263" t="str">
        <f>'Tæng kÕt U'!W10</f>
        <v/>
      </c>
      <c r="D8" s="263" t="str">
        <f>'Tæng kÕt U'!X10</f>
        <v/>
      </c>
      <c r="E8" s="263" t="str">
        <f>'Tæng kÕt U'!Y10</f>
        <v/>
      </c>
      <c r="F8" s="264" t="str">
        <f>'Tæng kÕt U'!Z10</f>
        <v/>
      </c>
      <c r="G8" s="263" t="str">
        <f>'Tæng kÕt U'!AA10</f>
        <v/>
      </c>
      <c r="H8" s="263" t="str">
        <f>'Tæng kÕt U'!AB10</f>
        <v/>
      </c>
      <c r="I8" s="263" t="str">
        <f>'Tæng kÕt U'!AC10</f>
        <v/>
      </c>
      <c r="J8" s="263" t="str">
        <f>'Tæng kÕt U'!AD10</f>
        <v/>
      </c>
      <c r="K8" s="263" t="str">
        <f>'Tæng kÕt U'!AE10</f>
        <v/>
      </c>
      <c r="L8" s="264"/>
      <c r="M8" s="265" t="str">
        <f>IF(COUNT(B8:F8)&gt;0,MIN('Tæng kÕt U'!V35:Z35)," ")</f>
        <v xml:space="preserve"> </v>
      </c>
      <c r="N8" s="265" t="str">
        <f>IF(COUNT(G8:K8)&gt;0,MIN('Tæng kÕt U'!AA35:AF35)," ")</f>
        <v xml:space="preserve"> </v>
      </c>
      <c r="O8" s="266" t="str">
        <f t="shared" si="0"/>
        <v xml:space="preserve"> </v>
      </c>
      <c r="P8" s="267"/>
    </row>
    <row r="9" spans="1:16" s="64" customFormat="1" ht="21" customHeight="1">
      <c r="A9" s="199" t="s">
        <v>133</v>
      </c>
      <c r="B9" s="263" t="str">
        <f>'Tæng kÕt U'!V11</f>
        <v/>
      </c>
      <c r="C9" s="263" t="str">
        <f>'Tæng kÕt U'!W11</f>
        <v/>
      </c>
      <c r="D9" s="263" t="str">
        <f>'Tæng kÕt U'!X11</f>
        <v/>
      </c>
      <c r="E9" s="263" t="str">
        <f>'Tæng kÕt U'!Y11</f>
        <v/>
      </c>
      <c r="F9" s="264" t="str">
        <f>'Tæng kÕt U'!Z11</f>
        <v/>
      </c>
      <c r="G9" s="263" t="str">
        <f>'Tæng kÕt U'!AA11</f>
        <v/>
      </c>
      <c r="H9" s="263" t="str">
        <f>'Tæng kÕt U'!AB11</f>
        <v/>
      </c>
      <c r="I9" s="263" t="str">
        <f>'Tæng kÕt U'!AC11</f>
        <v/>
      </c>
      <c r="J9" s="263" t="str">
        <f>'Tæng kÕt U'!AD11</f>
        <v/>
      </c>
      <c r="K9" s="263" t="str">
        <f>'Tæng kÕt U'!AE11</f>
        <v/>
      </c>
      <c r="L9" s="264"/>
      <c r="M9" s="265" t="str">
        <f>IF(COUNT(B9:F9)&gt;0,MIN('Tæng kÕt U'!V36:Z36)," ")</f>
        <v xml:space="preserve"> </v>
      </c>
      <c r="N9" s="265" t="str">
        <f>IF(COUNT(G9:K9)&gt;0,MIN('Tæng kÕt U'!AA36:AF36)," ")</f>
        <v xml:space="preserve"> </v>
      </c>
      <c r="O9" s="266" t="str">
        <f t="shared" si="0"/>
        <v xml:space="preserve"> </v>
      </c>
      <c r="P9" s="267"/>
    </row>
    <row r="10" spans="1:16" s="64" customFormat="1" ht="21" customHeight="1">
      <c r="A10" s="199" t="s">
        <v>134</v>
      </c>
      <c r="B10" s="263" t="str">
        <f>'Tæng kÕt U'!V12</f>
        <v/>
      </c>
      <c r="C10" s="263" t="str">
        <f>'Tæng kÕt U'!W12</f>
        <v/>
      </c>
      <c r="D10" s="263" t="str">
        <f>'Tæng kÕt U'!X12</f>
        <v/>
      </c>
      <c r="E10" s="263" t="str">
        <f>'Tæng kÕt U'!Y12</f>
        <v/>
      </c>
      <c r="F10" s="264" t="str">
        <f>'Tæng kÕt U'!Z12</f>
        <v/>
      </c>
      <c r="G10" s="263" t="str">
        <f>'Tæng kÕt U'!AA12</f>
        <v/>
      </c>
      <c r="H10" s="263" t="str">
        <f>'Tæng kÕt U'!AB12</f>
        <v/>
      </c>
      <c r="I10" s="263" t="str">
        <f>'Tæng kÕt U'!AC12</f>
        <v/>
      </c>
      <c r="J10" s="263" t="str">
        <f>'Tæng kÕt U'!AD12</f>
        <v/>
      </c>
      <c r="K10" s="263" t="str">
        <f>'Tæng kÕt U'!AE12</f>
        <v/>
      </c>
      <c r="L10" s="264"/>
      <c r="M10" s="265" t="str">
        <f>IF(COUNT(B10:F10)&gt;0,MIN('Tæng kÕt U'!V37:Z37)," ")</f>
        <v xml:space="preserve"> </v>
      </c>
      <c r="N10" s="265" t="str">
        <f>IF(COUNT(G10:K10)&gt;0,MIN('Tæng kÕt U'!AA37:AF37)," ")</f>
        <v xml:space="preserve"> </v>
      </c>
      <c r="O10" s="266" t="str">
        <f t="shared" si="0"/>
        <v xml:space="preserve"> </v>
      </c>
      <c r="P10" s="267"/>
    </row>
    <row r="11" spans="1:16" s="64" customFormat="1" ht="21" customHeight="1">
      <c r="A11" s="199" t="s">
        <v>192</v>
      </c>
      <c r="B11" s="263" t="str">
        <f>'Tæng kÕt U'!V13</f>
        <v/>
      </c>
      <c r="C11" s="263" t="str">
        <f>'Tæng kÕt U'!W13</f>
        <v/>
      </c>
      <c r="D11" s="263" t="str">
        <f>'Tæng kÕt U'!X13</f>
        <v/>
      </c>
      <c r="E11" s="263" t="str">
        <f>'Tæng kÕt U'!Y13</f>
        <v/>
      </c>
      <c r="F11" s="264" t="str">
        <f>'Tæng kÕt U'!Z13</f>
        <v/>
      </c>
      <c r="G11" s="263" t="str">
        <f>'Tæng kÕt U'!AA13</f>
        <v/>
      </c>
      <c r="H11" s="263" t="str">
        <f>'Tæng kÕt U'!AB13</f>
        <v/>
      </c>
      <c r="I11" s="263" t="str">
        <f>'Tæng kÕt U'!AC13</f>
        <v/>
      </c>
      <c r="J11" s="263" t="str">
        <f>'Tæng kÕt U'!AD13</f>
        <v/>
      </c>
      <c r="K11" s="263" t="str">
        <f>'Tæng kÕt U'!AE13</f>
        <v/>
      </c>
      <c r="L11" s="264"/>
      <c r="M11" s="265" t="str">
        <f>IF(COUNT(B11:F11)&gt;0,MIN('Tæng kÕt U'!V38:Z38)," ")</f>
        <v xml:space="preserve"> </v>
      </c>
      <c r="N11" s="265" t="str">
        <f>IF(COUNT(G11:K11)&gt;0,MIN('Tæng kÕt U'!AA38:AF38)," ")</f>
        <v xml:space="preserve"> </v>
      </c>
      <c r="O11" s="266" t="str">
        <f t="shared" si="0"/>
        <v xml:space="preserve"> </v>
      </c>
      <c r="P11" s="267"/>
    </row>
    <row r="12" spans="1:16" s="64" customFormat="1" ht="21" customHeight="1">
      <c r="A12" s="199" t="s">
        <v>135</v>
      </c>
      <c r="B12" s="263" t="str">
        <f>'Tæng kÕt U'!V14</f>
        <v/>
      </c>
      <c r="C12" s="263" t="str">
        <f>'Tæng kÕt U'!W14</f>
        <v/>
      </c>
      <c r="D12" s="263" t="str">
        <f>'Tæng kÕt U'!X14</f>
        <v/>
      </c>
      <c r="E12" s="263" t="str">
        <f>'Tæng kÕt U'!Y14</f>
        <v/>
      </c>
      <c r="F12" s="264" t="str">
        <f>'Tæng kÕt U'!Z14</f>
        <v/>
      </c>
      <c r="G12" s="263" t="str">
        <f>'Tæng kÕt U'!AA14</f>
        <v/>
      </c>
      <c r="H12" s="263" t="str">
        <f>'Tæng kÕt U'!AB14</f>
        <v/>
      </c>
      <c r="I12" s="263" t="str">
        <f>'Tæng kÕt U'!AC14</f>
        <v/>
      </c>
      <c r="J12" s="263" t="str">
        <f>'Tæng kÕt U'!AD14</f>
        <v/>
      </c>
      <c r="K12" s="263" t="str">
        <f>'Tæng kÕt U'!AE14</f>
        <v/>
      </c>
      <c r="L12" s="264"/>
      <c r="M12" s="265" t="str">
        <f>IF(COUNT(B12:F12)&gt;0,MIN('Tæng kÕt U'!V39:Z39)," ")</f>
        <v xml:space="preserve"> </v>
      </c>
      <c r="N12" s="265" t="str">
        <f>IF(COUNT(G12:K12)&gt;0,MIN('Tæng kÕt U'!AA39:AF39)," ")</f>
        <v xml:space="preserve"> </v>
      </c>
      <c r="O12" s="266" t="str">
        <f t="shared" si="0"/>
        <v xml:space="preserve"> </v>
      </c>
      <c r="P12" s="267"/>
    </row>
    <row r="13" spans="1:16" s="64" customFormat="1" ht="21" customHeight="1">
      <c r="A13" s="199" t="s">
        <v>136</v>
      </c>
      <c r="B13" s="263" t="str">
        <f>'Tæng kÕt U'!V15</f>
        <v/>
      </c>
      <c r="C13" s="263" t="str">
        <f>'Tæng kÕt U'!W15</f>
        <v/>
      </c>
      <c r="D13" s="263" t="str">
        <f>'Tæng kÕt U'!X15</f>
        <v/>
      </c>
      <c r="E13" s="263" t="str">
        <f>'Tæng kÕt U'!Y15</f>
        <v/>
      </c>
      <c r="F13" s="264" t="str">
        <f>'Tæng kÕt U'!Z15</f>
        <v/>
      </c>
      <c r="G13" s="263" t="str">
        <f>'Tæng kÕt U'!AA15</f>
        <v/>
      </c>
      <c r="H13" s="263" t="str">
        <f>'Tæng kÕt U'!AB15</f>
        <v/>
      </c>
      <c r="I13" s="263" t="str">
        <f>'Tæng kÕt U'!AC15</f>
        <v/>
      </c>
      <c r="J13" s="263" t="str">
        <f>'Tæng kÕt U'!AD15</f>
        <v/>
      </c>
      <c r="K13" s="263" t="str">
        <f>'Tæng kÕt U'!AE15</f>
        <v/>
      </c>
      <c r="L13" s="264"/>
      <c r="M13" s="265" t="str">
        <f>IF(COUNT(B13:F13)&gt;0,MIN('Tæng kÕt U'!V40:Z40)," ")</f>
        <v xml:space="preserve"> </v>
      </c>
      <c r="N13" s="265" t="str">
        <f>IF(COUNT(G13:K13)&gt;0,MIN('Tæng kÕt U'!AA40:AF40)," ")</f>
        <v xml:space="preserve"> </v>
      </c>
      <c r="O13" s="266" t="str">
        <f t="shared" si="0"/>
        <v xml:space="preserve"> </v>
      </c>
      <c r="P13" s="267"/>
    </row>
    <row r="14" spans="1:16" s="64" customFormat="1" ht="21" customHeight="1">
      <c r="A14" s="200" t="s">
        <v>137</v>
      </c>
      <c r="B14" s="263" t="str">
        <f>'Tæng kÕt U'!V16</f>
        <v/>
      </c>
      <c r="C14" s="263" t="str">
        <f>'Tæng kÕt U'!W16</f>
        <v/>
      </c>
      <c r="D14" s="263" t="str">
        <f>'Tæng kÕt U'!X16</f>
        <v/>
      </c>
      <c r="E14" s="263" t="str">
        <f>'Tæng kÕt U'!Y16</f>
        <v/>
      </c>
      <c r="F14" s="264" t="str">
        <f>'Tæng kÕt U'!Z16</f>
        <v/>
      </c>
      <c r="G14" s="263" t="str">
        <f>'Tæng kÕt U'!AA16</f>
        <v/>
      </c>
      <c r="H14" s="263" t="str">
        <f>'Tæng kÕt U'!AB16</f>
        <v/>
      </c>
      <c r="I14" s="263" t="str">
        <f>'Tæng kÕt U'!AC16</f>
        <v/>
      </c>
      <c r="J14" s="263" t="str">
        <f>'Tæng kÕt U'!AD16</f>
        <v/>
      </c>
      <c r="K14" s="263" t="str">
        <f>'Tæng kÕt U'!AE16</f>
        <v/>
      </c>
      <c r="L14" s="264"/>
      <c r="M14" s="265" t="str">
        <f>IF(COUNT(B14:F14)&gt;0,MIN('Tæng kÕt U'!V41:Z41)," ")</f>
        <v xml:space="preserve"> </v>
      </c>
      <c r="N14" s="265" t="str">
        <f>IF(COUNT(G14:K14)&gt;0,MIN('Tæng kÕt U'!AA41:AF41)," ")</f>
        <v xml:space="preserve"> </v>
      </c>
      <c r="O14" s="266" t="str">
        <f t="shared" si="0"/>
        <v xml:space="preserve"> </v>
      </c>
      <c r="P14" s="267"/>
    </row>
    <row r="15" spans="1:16" s="64" customFormat="1" ht="21" customHeight="1">
      <c r="A15" s="199" t="s">
        <v>138</v>
      </c>
      <c r="B15" s="263" t="str">
        <f>'Tæng kÕt U'!V17</f>
        <v/>
      </c>
      <c r="C15" s="263" t="str">
        <f>'Tæng kÕt U'!W17</f>
        <v/>
      </c>
      <c r="D15" s="263" t="str">
        <f>'Tæng kÕt U'!X17</f>
        <v/>
      </c>
      <c r="E15" s="263" t="str">
        <f>'Tæng kÕt U'!Y17</f>
        <v/>
      </c>
      <c r="F15" s="264" t="str">
        <f>'Tæng kÕt U'!Z17</f>
        <v/>
      </c>
      <c r="G15" s="263" t="str">
        <f>'Tæng kÕt U'!AA17</f>
        <v/>
      </c>
      <c r="H15" s="263" t="str">
        <f>'Tæng kÕt U'!AB17</f>
        <v/>
      </c>
      <c r="I15" s="263" t="str">
        <f>'Tæng kÕt U'!AC17</f>
        <v/>
      </c>
      <c r="J15" s="263" t="str">
        <f>'Tæng kÕt U'!AD17</f>
        <v/>
      </c>
      <c r="K15" s="263" t="str">
        <f>'Tæng kÕt U'!AE17</f>
        <v/>
      </c>
      <c r="L15" s="264"/>
      <c r="M15" s="265" t="str">
        <f>IF(COUNT(B15:F15)&gt;0,MIN('Tæng kÕt U'!V42:Z42)," ")</f>
        <v xml:space="preserve"> </v>
      </c>
      <c r="N15" s="265" t="str">
        <f>IF(COUNT(G15:K15)&gt;0,MIN('Tæng kÕt U'!AA42:AF42)," ")</f>
        <v xml:space="preserve"> </v>
      </c>
      <c r="O15" s="266" t="str">
        <f t="shared" si="0"/>
        <v xml:space="preserve"> </v>
      </c>
      <c r="P15" s="267"/>
    </row>
    <row r="16" spans="1:16" s="64" customFormat="1" ht="21" customHeight="1">
      <c r="A16" s="200" t="s">
        <v>139</v>
      </c>
      <c r="B16" s="263" t="str">
        <f>'Tæng kÕt U'!V18</f>
        <v/>
      </c>
      <c r="C16" s="263" t="str">
        <f>'Tæng kÕt U'!W18</f>
        <v/>
      </c>
      <c r="D16" s="263" t="str">
        <f>'Tæng kÕt U'!X18</f>
        <v/>
      </c>
      <c r="E16" s="263" t="str">
        <f>'Tæng kÕt U'!Y18</f>
        <v/>
      </c>
      <c r="F16" s="264" t="str">
        <f>'Tæng kÕt U'!Z18</f>
        <v/>
      </c>
      <c r="G16" s="263" t="str">
        <f>'Tæng kÕt U'!AA18</f>
        <v/>
      </c>
      <c r="H16" s="263" t="str">
        <f>'Tæng kÕt U'!AB18</f>
        <v/>
      </c>
      <c r="I16" s="263" t="str">
        <f>'Tæng kÕt U'!AC18</f>
        <v/>
      </c>
      <c r="J16" s="263" t="str">
        <f>'Tæng kÕt U'!AD18</f>
        <v/>
      </c>
      <c r="K16" s="263" t="str">
        <f>'Tæng kÕt U'!AE18</f>
        <v/>
      </c>
      <c r="L16" s="264"/>
      <c r="M16" s="265" t="str">
        <f>IF(COUNT(B16:F16)&gt;0,MIN('Tæng kÕt U'!V43:Z43)," ")</f>
        <v xml:space="preserve"> </v>
      </c>
      <c r="N16" s="265" t="str">
        <f>IF(COUNT(G16:K16)&gt;0,MIN('Tæng kÕt U'!AA43:AF43)," ")</f>
        <v xml:space="preserve"> </v>
      </c>
      <c r="O16" s="266" t="str">
        <f t="shared" si="0"/>
        <v xml:space="preserve"> </v>
      </c>
      <c r="P16" s="267"/>
    </row>
    <row r="17" spans="1:16" s="64" customFormat="1" ht="21" customHeight="1">
      <c r="A17" s="199" t="s">
        <v>140</v>
      </c>
      <c r="B17" s="263" t="str">
        <f>'Tæng kÕt U'!V19</f>
        <v/>
      </c>
      <c r="C17" s="263" t="str">
        <f>'Tæng kÕt U'!W19</f>
        <v/>
      </c>
      <c r="D17" s="263" t="str">
        <f>'Tæng kÕt U'!X19</f>
        <v/>
      </c>
      <c r="E17" s="263" t="str">
        <f>'Tæng kÕt U'!Y19</f>
        <v/>
      </c>
      <c r="F17" s="264" t="str">
        <f>'Tæng kÕt U'!Z19</f>
        <v/>
      </c>
      <c r="G17" s="263" t="str">
        <f>'Tæng kÕt U'!AA19</f>
        <v/>
      </c>
      <c r="H17" s="263" t="str">
        <f>'Tæng kÕt U'!AB19</f>
        <v/>
      </c>
      <c r="I17" s="263" t="str">
        <f>'Tæng kÕt U'!AC19</f>
        <v/>
      </c>
      <c r="J17" s="263" t="str">
        <f>'Tæng kÕt U'!AD19</f>
        <v/>
      </c>
      <c r="K17" s="263" t="str">
        <f>'Tæng kÕt U'!AE19</f>
        <v/>
      </c>
      <c r="L17" s="264"/>
      <c r="M17" s="265" t="str">
        <f>IF(COUNT(B17:F17)&gt;0,MIN('Tæng kÕt U'!V44:Z44)," ")</f>
        <v xml:space="preserve"> </v>
      </c>
      <c r="N17" s="265" t="str">
        <f>IF(COUNT(G17:K17)&gt;0,MIN('Tæng kÕt U'!AA44:AF44)," ")</f>
        <v xml:space="preserve"> </v>
      </c>
      <c r="O17" s="266" t="str">
        <f t="shared" si="0"/>
        <v xml:space="preserve"> </v>
      </c>
      <c r="P17" s="267"/>
    </row>
    <row r="18" spans="1:16" s="64" customFormat="1" ht="21" customHeight="1">
      <c r="A18" s="200" t="s">
        <v>141</v>
      </c>
      <c r="B18" s="263" t="str">
        <f>'Tæng kÕt U'!V20</f>
        <v/>
      </c>
      <c r="C18" s="263" t="str">
        <f>'Tæng kÕt U'!W20</f>
        <v/>
      </c>
      <c r="D18" s="263" t="str">
        <f>'Tæng kÕt U'!X20</f>
        <v/>
      </c>
      <c r="E18" s="263" t="str">
        <f>'Tæng kÕt U'!Y20</f>
        <v/>
      </c>
      <c r="F18" s="264" t="str">
        <f>'Tæng kÕt U'!Z20</f>
        <v/>
      </c>
      <c r="G18" s="263" t="str">
        <f>'Tæng kÕt U'!AA20</f>
        <v/>
      </c>
      <c r="H18" s="263" t="str">
        <f>'Tæng kÕt U'!AB20</f>
        <v/>
      </c>
      <c r="I18" s="263" t="str">
        <f>'Tæng kÕt U'!AC20</f>
        <v/>
      </c>
      <c r="J18" s="263" t="str">
        <f>'Tæng kÕt U'!AD20</f>
        <v/>
      </c>
      <c r="K18" s="263" t="str">
        <f>'Tæng kÕt U'!AE20</f>
        <v/>
      </c>
      <c r="L18" s="264"/>
      <c r="M18" s="265" t="str">
        <f>IF(COUNT(B18:F18)&gt;0,MIN('Tæng kÕt U'!V45:Z45)," ")</f>
        <v xml:space="preserve"> </v>
      </c>
      <c r="N18" s="265" t="str">
        <f>IF(COUNT(G18:K18)&gt;0,MIN('Tæng kÕt U'!AA45:AF45)," ")</f>
        <v xml:space="preserve"> </v>
      </c>
      <c r="O18" s="266" t="str">
        <f t="shared" si="0"/>
        <v xml:space="preserve"> </v>
      </c>
      <c r="P18" s="267"/>
    </row>
    <row r="19" spans="1:16" s="64" customFormat="1" ht="21" customHeight="1">
      <c r="A19" s="199" t="s">
        <v>142</v>
      </c>
      <c r="B19" s="263" t="str">
        <f>'Tæng kÕt U'!V21</f>
        <v/>
      </c>
      <c r="C19" s="263" t="str">
        <f>'Tæng kÕt U'!W21</f>
        <v/>
      </c>
      <c r="D19" s="263" t="str">
        <f>'Tæng kÕt U'!X21</f>
        <v/>
      </c>
      <c r="E19" s="263" t="str">
        <f>'Tæng kÕt U'!Y21</f>
        <v/>
      </c>
      <c r="F19" s="264" t="str">
        <f>'Tæng kÕt U'!Z21</f>
        <v/>
      </c>
      <c r="G19" s="263" t="str">
        <f>'Tæng kÕt U'!AA21</f>
        <v/>
      </c>
      <c r="H19" s="263" t="str">
        <f>'Tæng kÕt U'!AB21</f>
        <v/>
      </c>
      <c r="I19" s="263" t="str">
        <f>'Tæng kÕt U'!AC21</f>
        <v/>
      </c>
      <c r="J19" s="263" t="str">
        <f>'Tæng kÕt U'!AD21</f>
        <v/>
      </c>
      <c r="K19" s="263" t="str">
        <f>'Tæng kÕt U'!AE21</f>
        <v/>
      </c>
      <c r="L19" s="264"/>
      <c r="M19" s="265" t="str">
        <f>IF(COUNT(B19:F19)&gt;0,MIN('Tæng kÕt U'!V46:Z46)," ")</f>
        <v xml:space="preserve"> </v>
      </c>
      <c r="N19" s="265" t="str">
        <f>IF(COUNT(G19:K19)&gt;0,MIN('Tæng kÕt U'!AA46:AF46)," ")</f>
        <v xml:space="preserve"> </v>
      </c>
      <c r="O19" s="266" t="str">
        <f t="shared" si="0"/>
        <v xml:space="preserve"> </v>
      </c>
      <c r="P19" s="267"/>
    </row>
    <row r="20" spans="1:16" s="64" customFormat="1" ht="21" customHeight="1">
      <c r="A20" s="199" t="s">
        <v>143</v>
      </c>
      <c r="B20" s="263" t="str">
        <f>'Tæng kÕt U'!V22</f>
        <v/>
      </c>
      <c r="C20" s="263" t="str">
        <f>'Tæng kÕt U'!W22</f>
        <v/>
      </c>
      <c r="D20" s="263" t="str">
        <f>'Tæng kÕt U'!X22</f>
        <v/>
      </c>
      <c r="E20" s="263" t="str">
        <f>'Tæng kÕt U'!Y22</f>
        <v/>
      </c>
      <c r="F20" s="264" t="str">
        <f>'Tæng kÕt U'!Z22</f>
        <v/>
      </c>
      <c r="G20" s="263" t="str">
        <f>'Tæng kÕt U'!AA22</f>
        <v/>
      </c>
      <c r="H20" s="263" t="str">
        <f>'Tæng kÕt U'!AB22</f>
        <v/>
      </c>
      <c r="I20" s="263" t="str">
        <f>'Tæng kÕt U'!AC22</f>
        <v/>
      </c>
      <c r="J20" s="263" t="str">
        <f>'Tæng kÕt U'!AD22</f>
        <v/>
      </c>
      <c r="K20" s="263" t="str">
        <f>'Tæng kÕt U'!AE22</f>
        <v/>
      </c>
      <c r="L20" s="264"/>
      <c r="M20" s="265" t="str">
        <f>IF(COUNT(B20:F20)&gt;0,MIN('Tæng kÕt U'!V47:Z47)," ")</f>
        <v xml:space="preserve"> </v>
      </c>
      <c r="N20" s="265" t="str">
        <f>IF(COUNT(G20:K20)&gt;0,MIN('Tæng kÕt U'!AA47:AF47)," ")</f>
        <v xml:space="preserve"> </v>
      </c>
      <c r="O20" s="266" t="str">
        <f t="shared" si="0"/>
        <v xml:space="preserve"> </v>
      </c>
      <c r="P20" s="267"/>
    </row>
    <row r="21" spans="1:16" s="64" customFormat="1" ht="21" customHeight="1">
      <c r="A21" s="199" t="s">
        <v>144</v>
      </c>
      <c r="B21" s="263" t="str">
        <f>'Tæng kÕt U'!V23</f>
        <v/>
      </c>
      <c r="C21" s="263" t="str">
        <f>'Tæng kÕt U'!W23</f>
        <v/>
      </c>
      <c r="D21" s="263" t="str">
        <f>'Tæng kÕt U'!X23</f>
        <v/>
      </c>
      <c r="E21" s="263" t="str">
        <f>'Tæng kÕt U'!Y23</f>
        <v/>
      </c>
      <c r="F21" s="264" t="str">
        <f>'Tæng kÕt U'!Z23</f>
        <v/>
      </c>
      <c r="G21" s="263" t="str">
        <f>'Tæng kÕt U'!AA23</f>
        <v/>
      </c>
      <c r="H21" s="263" t="str">
        <f>'Tæng kÕt U'!AB23</f>
        <v/>
      </c>
      <c r="I21" s="263" t="str">
        <f>'Tæng kÕt U'!AC23</f>
        <v/>
      </c>
      <c r="J21" s="263" t="str">
        <f>'Tæng kÕt U'!AD23</f>
        <v/>
      </c>
      <c r="K21" s="263" t="str">
        <f>'Tæng kÕt U'!AE23</f>
        <v/>
      </c>
      <c r="L21" s="264"/>
      <c r="M21" s="265" t="str">
        <f>IF(COUNT(B21:F21)&gt;0,MIN('Tæng kÕt U'!V48:Z48)," ")</f>
        <v xml:space="preserve"> </v>
      </c>
      <c r="N21" s="265" t="str">
        <f>IF(COUNT(G21:K21)&gt;0,MIN('Tæng kÕt U'!AA48:AF48)," ")</f>
        <v xml:space="preserve"> </v>
      </c>
      <c r="O21" s="266" t="str">
        <f t="shared" si="0"/>
        <v xml:space="preserve"> </v>
      </c>
      <c r="P21" s="267"/>
    </row>
    <row r="22" spans="1:16" s="64" customFormat="1" ht="21" customHeight="1">
      <c r="A22" s="199" t="s">
        <v>145</v>
      </c>
      <c r="B22" s="263" t="str">
        <f>'Tæng kÕt U'!V24</f>
        <v/>
      </c>
      <c r="C22" s="263" t="str">
        <f>'Tæng kÕt U'!W24</f>
        <v/>
      </c>
      <c r="D22" s="263" t="str">
        <f>'Tæng kÕt U'!X24</f>
        <v/>
      </c>
      <c r="E22" s="263" t="str">
        <f>'Tæng kÕt U'!Y24</f>
        <v/>
      </c>
      <c r="F22" s="264" t="str">
        <f>'Tæng kÕt U'!Z24</f>
        <v/>
      </c>
      <c r="G22" s="263" t="str">
        <f>'Tæng kÕt U'!AA24</f>
        <v/>
      </c>
      <c r="H22" s="263" t="str">
        <f>'Tæng kÕt U'!AB24</f>
        <v/>
      </c>
      <c r="I22" s="263" t="str">
        <f>'Tæng kÕt U'!AC24</f>
        <v/>
      </c>
      <c r="J22" s="263" t="str">
        <f>'Tæng kÕt U'!AD24</f>
        <v/>
      </c>
      <c r="K22" s="263" t="str">
        <f>'Tæng kÕt U'!AE24</f>
        <v/>
      </c>
      <c r="L22" s="264"/>
      <c r="M22" s="265" t="str">
        <f>IF(COUNT(B22:F22)&gt;0,MIN('Tæng kÕt U'!V49:Z49)," ")</f>
        <v xml:space="preserve"> </v>
      </c>
      <c r="N22" s="265" t="str">
        <f>IF(COUNT(G22:K22)&gt;0,MIN('Tæng kÕt U'!AA49:AF49)," ")</f>
        <v xml:space="preserve"> </v>
      </c>
      <c r="O22" s="266" t="str">
        <f t="shared" si="0"/>
        <v xml:space="preserve"> </v>
      </c>
      <c r="P22" s="267"/>
    </row>
    <row r="23" spans="1:16" s="64" customFormat="1" ht="21" customHeight="1">
      <c r="A23" s="199" t="s">
        <v>146</v>
      </c>
      <c r="B23" s="263" t="str">
        <f>'Tæng kÕt U'!V25</f>
        <v/>
      </c>
      <c r="C23" s="263" t="str">
        <f>'Tæng kÕt U'!W25</f>
        <v/>
      </c>
      <c r="D23" s="263" t="str">
        <f>'Tæng kÕt U'!X25</f>
        <v/>
      </c>
      <c r="E23" s="263" t="str">
        <f>'Tæng kÕt U'!Y25</f>
        <v/>
      </c>
      <c r="F23" s="264" t="str">
        <f>'Tæng kÕt U'!Z25</f>
        <v/>
      </c>
      <c r="G23" s="263" t="str">
        <f>'Tæng kÕt U'!AA25</f>
        <v/>
      </c>
      <c r="H23" s="263" t="str">
        <f>'Tæng kÕt U'!AB25</f>
        <v/>
      </c>
      <c r="I23" s="263" t="str">
        <f>'Tæng kÕt U'!AC25</f>
        <v/>
      </c>
      <c r="J23" s="263" t="str">
        <f>'Tæng kÕt U'!AD25</f>
        <v/>
      </c>
      <c r="K23" s="263" t="str">
        <f>'Tæng kÕt U'!AE25</f>
        <v/>
      </c>
      <c r="L23" s="264"/>
      <c r="M23" s="265" t="str">
        <f>IF(COUNT(B23:F23)&gt;0,MIN('Tæng kÕt U'!V50:Z50)," ")</f>
        <v xml:space="preserve"> </v>
      </c>
      <c r="N23" s="265" t="str">
        <f>IF(COUNT(G23:K23)&gt;0,MIN('Tæng kÕt U'!AA50:AF50)," ")</f>
        <v xml:space="preserve"> </v>
      </c>
      <c r="O23" s="266" t="str">
        <f t="shared" si="0"/>
        <v xml:space="preserve"> </v>
      </c>
      <c r="P23" s="267"/>
    </row>
    <row r="24" spans="1:16" s="64" customFormat="1" ht="21" customHeight="1">
      <c r="A24" s="199" t="s">
        <v>147</v>
      </c>
      <c r="B24" s="263" t="str">
        <f>'Tæng kÕt U'!V26</f>
        <v/>
      </c>
      <c r="C24" s="263" t="str">
        <f>'Tæng kÕt U'!W26</f>
        <v/>
      </c>
      <c r="D24" s="263" t="str">
        <f>'Tæng kÕt U'!X26</f>
        <v/>
      </c>
      <c r="E24" s="263" t="str">
        <f>'Tæng kÕt U'!Y26</f>
        <v/>
      </c>
      <c r="F24" s="264" t="str">
        <f>'Tæng kÕt U'!Z26</f>
        <v/>
      </c>
      <c r="G24" s="263" t="str">
        <f>'Tæng kÕt U'!AA26</f>
        <v/>
      </c>
      <c r="H24" s="263" t="str">
        <f>'Tæng kÕt U'!AB26</f>
        <v/>
      </c>
      <c r="I24" s="263" t="str">
        <f>'Tæng kÕt U'!AC26</f>
        <v/>
      </c>
      <c r="J24" s="263" t="str">
        <f>'Tæng kÕt U'!AD26</f>
        <v/>
      </c>
      <c r="K24" s="263" t="str">
        <f>'Tæng kÕt U'!AE26</f>
        <v/>
      </c>
      <c r="L24" s="264"/>
      <c r="M24" s="265" t="str">
        <f>IF(COUNT(B24:F24)&gt;0,MIN('Tæng kÕt U'!V51:Z51)," ")</f>
        <v xml:space="preserve"> </v>
      </c>
      <c r="N24" s="265" t="str">
        <f>IF(COUNT(G24:K24)&gt;0,MIN('Tæng kÕt U'!AA51:AF51)," ")</f>
        <v xml:space="preserve"> </v>
      </c>
      <c r="O24" s="266" t="str">
        <f t="shared" si="0"/>
        <v xml:space="preserve"> </v>
      </c>
      <c r="P24" s="267"/>
    </row>
    <row r="25" spans="1:16" s="64" customFormat="1" ht="21" customHeight="1">
      <c r="A25" s="302" t="s">
        <v>191</v>
      </c>
      <c r="B25" s="263" t="str">
        <f>'Tæng kÕt U'!V27</f>
        <v/>
      </c>
      <c r="C25" s="263" t="str">
        <f>'Tæng kÕt U'!W27</f>
        <v/>
      </c>
      <c r="D25" s="263" t="str">
        <f>'Tæng kÕt U'!X27</f>
        <v/>
      </c>
      <c r="E25" s="263" t="str">
        <f>'Tæng kÕt U'!Y27</f>
        <v/>
      </c>
      <c r="F25" s="264" t="str">
        <f>'Tæng kÕt U'!Z27</f>
        <v/>
      </c>
      <c r="G25" s="263" t="str">
        <f>'Tæng kÕt U'!AA27</f>
        <v/>
      </c>
      <c r="H25" s="263" t="str">
        <f>'Tæng kÕt U'!AB27</f>
        <v/>
      </c>
      <c r="I25" s="263" t="str">
        <f>'Tæng kÕt U'!AC27</f>
        <v/>
      </c>
      <c r="J25" s="263" t="str">
        <f>'Tæng kÕt U'!AD27</f>
        <v/>
      </c>
      <c r="K25" s="263" t="str">
        <f>'Tæng kÕt U'!AE27</f>
        <v/>
      </c>
      <c r="L25" s="264"/>
      <c r="M25" s="265" t="str">
        <f>IF(COUNT(B25:F25)&gt;0,MIN('Tæng kÕt U'!V52:Z52)," ")</f>
        <v xml:space="preserve"> </v>
      </c>
      <c r="N25" s="265" t="str">
        <f>IF(COUNT(G25:K25)&gt;0,MIN('Tæng kÕt U'!AA52:AF52)," ")</f>
        <v xml:space="preserve"> </v>
      </c>
      <c r="O25" s="266" t="str">
        <f t="shared" si="0"/>
        <v xml:space="preserve"> </v>
      </c>
      <c r="P25" s="267"/>
    </row>
    <row r="26" spans="1:16" s="64" customFormat="1" ht="12.75" customHeight="1" thickBot="1">
      <c r="A26" s="65"/>
      <c r="B26" s="268"/>
      <c r="C26" s="268"/>
      <c r="D26" s="268"/>
      <c r="E26" s="268"/>
      <c r="F26" s="269"/>
      <c r="G26" s="268"/>
      <c r="H26" s="268"/>
      <c r="I26" s="268"/>
      <c r="J26" s="268"/>
      <c r="K26" s="268"/>
      <c r="L26" s="269"/>
      <c r="M26" s="270"/>
      <c r="N26" s="270"/>
      <c r="O26" s="271"/>
      <c r="P26" s="267"/>
    </row>
    <row r="27" spans="1:16" s="64" customFormat="1" ht="13.5" thickTop="1">
      <c r="A27" s="71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66"/>
    </row>
    <row r="28" spans="1:16" s="64" customFormat="1" ht="15">
      <c r="A28" s="76"/>
      <c r="B28" s="92" t="s">
        <v>103</v>
      </c>
      <c r="C28" s="93"/>
      <c r="D28" s="93"/>
      <c r="E28" s="93"/>
      <c r="F28" s="93"/>
      <c r="G28" s="93"/>
      <c r="H28" s="93"/>
      <c r="I28" s="93"/>
      <c r="J28" s="93"/>
      <c r="K28" s="93"/>
      <c r="L28" s="93"/>
      <c r="M28" s="80" t="str">
        <f>IF(COUNT(M4:M24)&gt;0,MIN(M4:M24),"")</f>
        <v/>
      </c>
      <c r="N28" s="80"/>
      <c r="O28" s="80"/>
      <c r="P28" s="66"/>
    </row>
    <row r="29" spans="1:16" s="64" customFormat="1" ht="15">
      <c r="A29" s="95"/>
      <c r="B29" s="92"/>
      <c r="C29" s="93"/>
      <c r="D29" s="93"/>
      <c r="E29" s="93"/>
      <c r="F29" s="93"/>
      <c r="G29" s="93"/>
      <c r="H29" s="93"/>
      <c r="I29" s="93"/>
      <c r="J29" s="93"/>
      <c r="K29" s="93"/>
      <c r="L29" s="93"/>
      <c r="M29" s="80"/>
      <c r="N29" s="80" t="str">
        <f>IF(COUNT(N4:N24)&gt;0,MIN(N4:N24),"")</f>
        <v/>
      </c>
      <c r="O29" s="80"/>
      <c r="P29" s="66"/>
    </row>
    <row r="30" spans="1:16" ht="15">
      <c r="A30" s="95"/>
      <c r="B30" s="92" t="s">
        <v>104</v>
      </c>
      <c r="C30" s="93"/>
      <c r="D30" s="93"/>
      <c r="E30" s="93"/>
      <c r="F30" s="93"/>
      <c r="G30" s="93"/>
      <c r="H30" s="93"/>
      <c r="I30" s="93"/>
      <c r="J30" s="93"/>
      <c r="K30" s="93"/>
      <c r="L30" s="93"/>
      <c r="M30" s="80"/>
      <c r="N30" s="80"/>
      <c r="O30" s="80" t="str">
        <f>IF(COUNT(O4:O24)&gt;0,MIN(O4:O24),"")</f>
        <v/>
      </c>
    </row>
    <row r="31" spans="1:16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31"/>
    </row>
    <row r="32" spans="1:16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31"/>
    </row>
    <row r="33" spans="1:15" hidden="1">
      <c r="A33" s="31"/>
      <c r="B33" s="31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31"/>
    </row>
    <row r="34" spans="1:15" hidden="1">
      <c r="A34" s="31"/>
      <c r="B34" s="31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31"/>
    </row>
  </sheetData>
  <mergeCells count="2">
    <mergeCell ref="A1:O1"/>
    <mergeCell ref="A2:O2"/>
  </mergeCells>
  <phoneticPr fontId="0" type="noConversion"/>
  <printOptions horizontalCentered="1"/>
  <pageMargins left="0.49803149600000002" right="0.49803149600000002" top="1" bottom="0.75" header="0.2" footer="0.2"/>
  <pageSetup paperSize="9" orientation="portrait" blackAndWhite="1" horizontalDpi="300" verticalDpi="300" r:id="rId1"/>
  <headerFooter alignWithMargins="0">
    <oddHeader>&amp;LThèng kª nhanh&amp;R&amp;T&amp;D</oddHeader>
    <oddFooter>&amp;CPhßng DBKT H¹n võa &amp; H¹n dµi&amp;RPage &amp;P</oddFooter>
  </headerFooter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O28"/>
  <sheetViews>
    <sheetView showGridLines="0" zoomScale="85" workbookViewId="0">
      <selection activeCell="B5" sqref="B5:O25"/>
    </sheetView>
  </sheetViews>
  <sheetFormatPr defaultColWidth="0" defaultRowHeight="11.25" zeroHeight="1"/>
  <cols>
    <col min="1" max="1" width="13.83203125" customWidth="1"/>
    <col min="2" max="2" width="7" customWidth="1"/>
    <col min="3" max="3" width="7.33203125" customWidth="1"/>
    <col min="4" max="4" width="7.1640625" customWidth="1"/>
    <col min="5" max="6" width="7.83203125" customWidth="1"/>
    <col min="7" max="7" width="7.6640625" customWidth="1"/>
    <col min="8" max="8" width="8.5" customWidth="1"/>
    <col min="9" max="9" width="9.33203125" customWidth="1"/>
    <col min="10" max="10" width="8.6640625" customWidth="1"/>
    <col min="11" max="11" width="9" customWidth="1"/>
    <col min="12" max="13" width="7.5" customWidth="1"/>
    <col min="14" max="14" width="7" customWidth="1"/>
    <col min="15" max="15" width="7.1640625" customWidth="1"/>
    <col min="16" max="16" width="9.33203125" customWidth="1"/>
  </cols>
  <sheetData>
    <row r="1" spans="1:15" s="53" customFormat="1" ht="29.25" customHeight="1">
      <c r="A1" s="533" t="s">
        <v>122</v>
      </c>
      <c r="B1" s="533"/>
      <c r="C1" s="533"/>
      <c r="D1" s="533"/>
      <c r="E1" s="533"/>
      <c r="F1" s="533"/>
      <c r="G1" s="533"/>
      <c r="H1" s="533"/>
      <c r="I1" s="533"/>
      <c r="J1" s="533"/>
      <c r="K1" s="533"/>
      <c r="L1" s="533"/>
      <c r="M1" s="533"/>
      <c r="N1" s="533"/>
      <c r="O1" s="533"/>
    </row>
    <row r="2" spans="1:15" ht="27.75" customHeight="1" thickBot="1">
      <c r="A2" s="534" t="str">
        <f>IF(ngay01!X1="","THANG",ngay01!X1)</f>
        <v>THANG</v>
      </c>
      <c r="B2" s="534"/>
      <c r="C2" s="534"/>
      <c r="D2" s="534"/>
      <c r="E2" s="534"/>
      <c r="F2" s="534"/>
      <c r="G2" s="534"/>
      <c r="H2" s="534"/>
      <c r="I2" s="534"/>
      <c r="J2" s="534"/>
      <c r="K2" s="534"/>
      <c r="L2" s="534"/>
      <c r="M2" s="534"/>
      <c r="N2" s="534"/>
      <c r="O2" s="534"/>
    </row>
    <row r="3" spans="1:15" s="85" customFormat="1" ht="28.5" customHeight="1" thickTop="1" thickBot="1">
      <c r="A3" s="114" t="s">
        <v>0</v>
      </c>
      <c r="B3" s="115" t="s">
        <v>79</v>
      </c>
      <c r="C3" s="115" t="s">
        <v>48</v>
      </c>
      <c r="D3" s="115" t="s">
        <v>84</v>
      </c>
      <c r="E3" s="115" t="s">
        <v>80</v>
      </c>
      <c r="F3" s="115" t="s">
        <v>47</v>
      </c>
      <c r="G3" s="115" t="s">
        <v>85</v>
      </c>
      <c r="H3" s="115" t="s">
        <v>81</v>
      </c>
      <c r="I3" s="115" t="s">
        <v>40</v>
      </c>
      <c r="J3" s="156" t="s">
        <v>82</v>
      </c>
      <c r="K3" s="115" t="s">
        <v>86</v>
      </c>
      <c r="L3" s="116" t="s">
        <v>87</v>
      </c>
      <c r="M3" s="156" t="s">
        <v>90</v>
      </c>
      <c r="N3" s="115" t="s">
        <v>89</v>
      </c>
      <c r="O3" s="116" t="s">
        <v>99</v>
      </c>
    </row>
    <row r="4" spans="1:15" s="85" customFormat="1" ht="20.100000000000001" customHeight="1" thickTop="1">
      <c r="A4" s="198" t="s">
        <v>128</v>
      </c>
      <c r="B4" s="252" t="str">
        <f>'Tæng kÕt T '!AH6</f>
        <v xml:space="preserve"> </v>
      </c>
      <c r="C4" s="253" t="str">
        <f>'Tæng kÕt Tx'!AG6</f>
        <v/>
      </c>
      <c r="D4" s="254" t="str">
        <f>'Tæng kÕt Tx'!AI6</f>
        <v/>
      </c>
      <c r="E4" s="253" t="str">
        <f>'Tæng kÕt Tx'!AH6</f>
        <v/>
      </c>
      <c r="F4" s="253" t="str">
        <f>'Tæng kÕt Tm '!AG6</f>
        <v/>
      </c>
      <c r="G4" s="254" t="str">
        <f>'Tæng kÕt Tm '!AI6</f>
        <v/>
      </c>
      <c r="H4" s="253" t="str">
        <f>'Tæng kÕt Tm '!AH6</f>
        <v/>
      </c>
      <c r="I4" s="253">
        <f>'Tæng kÕt R'!AG6</f>
        <v>0</v>
      </c>
      <c r="J4" s="255">
        <f>'Tæng kÕt R'!AH6</f>
        <v>0</v>
      </c>
      <c r="K4" s="253">
        <f>'Tæng kÕt R'!AI6</f>
        <v>0</v>
      </c>
      <c r="L4" s="255" t="str">
        <f>'Tæng kÕt R'!AJ6</f>
        <v/>
      </c>
      <c r="M4" s="256" t="str">
        <f>'Tæng kÕt U'!AH6</f>
        <v xml:space="preserve">x </v>
      </c>
      <c r="N4" s="253" t="e">
        <f>'Tæng kÕt U'!AG31</f>
        <v>#REF!</v>
      </c>
      <c r="O4" s="257" t="e">
        <f>'Tæng kÕt U'!AI31</f>
        <v>#REF!</v>
      </c>
    </row>
    <row r="5" spans="1:15" s="85" customFormat="1" ht="20.100000000000001" customHeight="1">
      <c r="A5" s="199" t="s">
        <v>129</v>
      </c>
      <c r="B5" s="252" t="str">
        <f>'Tæng kÕt T '!AH7</f>
        <v xml:space="preserve"> </v>
      </c>
      <c r="C5" s="253" t="str">
        <f>'Tæng kÕt Tx'!AG7</f>
        <v/>
      </c>
      <c r="D5" s="254" t="str">
        <f>'Tæng kÕt Tx'!AI7</f>
        <v/>
      </c>
      <c r="E5" s="253" t="str">
        <f>'Tæng kÕt Tx'!AH7</f>
        <v/>
      </c>
      <c r="F5" s="253" t="str">
        <f>'Tæng kÕt Tm '!AG7</f>
        <v/>
      </c>
      <c r="G5" s="254" t="str">
        <f>'Tæng kÕt Tm '!AI7</f>
        <v/>
      </c>
      <c r="H5" s="253" t="str">
        <f>'Tæng kÕt Tm '!AH7</f>
        <v/>
      </c>
      <c r="I5" s="253">
        <f>'Tæng kÕt R'!AG7</f>
        <v>0</v>
      </c>
      <c r="J5" s="255">
        <f>'Tæng kÕt R'!AH7</f>
        <v>0</v>
      </c>
      <c r="K5" s="253">
        <f>'Tæng kÕt R'!AI7</f>
        <v>0</v>
      </c>
      <c r="L5" s="255" t="str">
        <f>'Tæng kÕt R'!AJ7</f>
        <v/>
      </c>
      <c r="M5" s="256" t="str">
        <f>'Tæng kÕt U'!AH7</f>
        <v xml:space="preserve">x </v>
      </c>
      <c r="N5" s="253" t="e">
        <f>'Tæng kÕt U'!AG32</f>
        <v>#REF!</v>
      </c>
      <c r="O5" s="257" t="e">
        <f>'Tæng kÕt U'!AI32</f>
        <v>#REF!</v>
      </c>
    </row>
    <row r="6" spans="1:15" s="85" customFormat="1" ht="20.100000000000001" customHeight="1">
      <c r="A6" s="200" t="s">
        <v>130</v>
      </c>
      <c r="B6" s="252" t="str">
        <f>'Tæng kÕt T '!AH8</f>
        <v xml:space="preserve"> </v>
      </c>
      <c r="C6" s="253" t="str">
        <f>'Tæng kÕt Tx'!AG8</f>
        <v/>
      </c>
      <c r="D6" s="254" t="str">
        <f>'Tæng kÕt Tx'!AI8</f>
        <v/>
      </c>
      <c r="E6" s="253" t="str">
        <f>'Tæng kÕt Tx'!AH8</f>
        <v/>
      </c>
      <c r="F6" s="253" t="str">
        <f>'Tæng kÕt Tm '!AG8</f>
        <v/>
      </c>
      <c r="G6" s="254" t="str">
        <f>'Tæng kÕt Tm '!AI8</f>
        <v/>
      </c>
      <c r="H6" s="253" t="str">
        <f>'Tæng kÕt Tm '!AH8</f>
        <v/>
      </c>
      <c r="I6" s="253">
        <f>'Tæng kÕt R'!AG8</f>
        <v>0</v>
      </c>
      <c r="J6" s="255">
        <f>'Tæng kÕt R'!AH8</f>
        <v>0</v>
      </c>
      <c r="K6" s="253">
        <f>'Tæng kÕt R'!AI8</f>
        <v>0</v>
      </c>
      <c r="L6" s="255" t="str">
        <f>'Tæng kÕt R'!AJ8</f>
        <v/>
      </c>
      <c r="M6" s="256" t="str">
        <f>'Tæng kÕt U'!AH8</f>
        <v xml:space="preserve">x </v>
      </c>
      <c r="N6" s="253" t="e">
        <f>'Tæng kÕt U'!AG33</f>
        <v>#REF!</v>
      </c>
      <c r="O6" s="257" t="e">
        <f>'Tæng kÕt U'!AI33</f>
        <v>#REF!</v>
      </c>
    </row>
    <row r="7" spans="1:15" s="85" customFormat="1" ht="20.100000000000001" customHeight="1">
      <c r="A7" s="199" t="s">
        <v>131</v>
      </c>
      <c r="B7" s="252" t="str">
        <f>'Tæng kÕt T '!AH9</f>
        <v xml:space="preserve"> </v>
      </c>
      <c r="C7" s="253" t="str">
        <f>'Tæng kÕt Tx'!AG9</f>
        <v/>
      </c>
      <c r="D7" s="254" t="str">
        <f>'Tæng kÕt Tx'!AI9</f>
        <v/>
      </c>
      <c r="E7" s="253" t="str">
        <f>'Tæng kÕt Tx'!AH9</f>
        <v/>
      </c>
      <c r="F7" s="253" t="str">
        <f>'Tæng kÕt Tm '!AG9</f>
        <v/>
      </c>
      <c r="G7" s="254" t="str">
        <f>'Tæng kÕt Tm '!AI9</f>
        <v/>
      </c>
      <c r="H7" s="253" t="str">
        <f>'Tæng kÕt Tm '!AH9</f>
        <v/>
      </c>
      <c r="I7" s="253">
        <f>'Tæng kÕt R'!AG9</f>
        <v>0</v>
      </c>
      <c r="J7" s="255">
        <f>'Tæng kÕt R'!AH9</f>
        <v>0</v>
      </c>
      <c r="K7" s="253">
        <f>'Tæng kÕt R'!AI9</f>
        <v>0</v>
      </c>
      <c r="L7" s="255" t="str">
        <f>'Tæng kÕt R'!AJ9</f>
        <v/>
      </c>
      <c r="M7" s="256" t="str">
        <f>'Tæng kÕt U'!AH9</f>
        <v xml:space="preserve">x </v>
      </c>
      <c r="N7" s="253" t="e">
        <f>'Tæng kÕt U'!AG34</f>
        <v>#REF!</v>
      </c>
      <c r="O7" s="257" t="e">
        <f>'Tæng kÕt U'!AI34</f>
        <v>#REF!</v>
      </c>
    </row>
    <row r="8" spans="1:15" s="85" customFormat="1" ht="20.100000000000001" customHeight="1">
      <c r="A8" s="199" t="s">
        <v>132</v>
      </c>
      <c r="B8" s="252" t="str">
        <f>'Tæng kÕt T '!AH10</f>
        <v xml:space="preserve"> </v>
      </c>
      <c r="C8" s="253" t="str">
        <f>'Tæng kÕt Tx'!AG10</f>
        <v/>
      </c>
      <c r="D8" s="254" t="str">
        <f>'Tæng kÕt Tx'!AI10</f>
        <v/>
      </c>
      <c r="E8" s="253" t="str">
        <f>'Tæng kÕt Tx'!AH10</f>
        <v/>
      </c>
      <c r="F8" s="253" t="str">
        <f>'Tæng kÕt Tm '!AG10</f>
        <v/>
      </c>
      <c r="G8" s="254" t="str">
        <f>'Tæng kÕt Tm '!AI10</f>
        <v/>
      </c>
      <c r="H8" s="253" t="str">
        <f>'Tæng kÕt Tm '!AH10</f>
        <v/>
      </c>
      <c r="I8" s="253">
        <f>'Tæng kÕt R'!AG10</f>
        <v>0</v>
      </c>
      <c r="J8" s="255">
        <f>'Tæng kÕt R'!AH10</f>
        <v>0</v>
      </c>
      <c r="K8" s="253">
        <f>'Tæng kÕt R'!AI10</f>
        <v>0</v>
      </c>
      <c r="L8" s="255" t="str">
        <f>'Tæng kÕt R'!AJ10</f>
        <v/>
      </c>
      <c r="M8" s="256" t="str">
        <f>'Tæng kÕt U'!AH10</f>
        <v xml:space="preserve">x </v>
      </c>
      <c r="N8" s="253" t="e">
        <f>'Tæng kÕt U'!AG35</f>
        <v>#REF!</v>
      </c>
      <c r="O8" s="257" t="e">
        <f>'Tæng kÕt U'!AI35</f>
        <v>#REF!</v>
      </c>
    </row>
    <row r="9" spans="1:15" s="85" customFormat="1" ht="20.100000000000001" customHeight="1">
      <c r="A9" s="199" t="s">
        <v>133</v>
      </c>
      <c r="B9" s="252" t="str">
        <f>'Tæng kÕt T '!AH11</f>
        <v xml:space="preserve"> </v>
      </c>
      <c r="C9" s="253" t="str">
        <f>'Tæng kÕt Tx'!AG11</f>
        <v/>
      </c>
      <c r="D9" s="254" t="str">
        <f>'Tæng kÕt Tx'!AI11</f>
        <v/>
      </c>
      <c r="E9" s="253" t="str">
        <f>'Tæng kÕt Tx'!AH11</f>
        <v/>
      </c>
      <c r="F9" s="253" t="str">
        <f>'Tæng kÕt Tm '!AG11</f>
        <v/>
      </c>
      <c r="G9" s="254" t="str">
        <f>'Tæng kÕt Tm '!AI11</f>
        <v/>
      </c>
      <c r="H9" s="253" t="str">
        <f>'Tæng kÕt Tm '!AH11</f>
        <v/>
      </c>
      <c r="I9" s="253">
        <f>'Tæng kÕt R'!AG11</f>
        <v>0</v>
      </c>
      <c r="J9" s="255">
        <f>'Tæng kÕt R'!AH11</f>
        <v>0</v>
      </c>
      <c r="K9" s="253">
        <f>'Tæng kÕt R'!AI11</f>
        <v>0</v>
      </c>
      <c r="L9" s="255" t="str">
        <f>'Tæng kÕt R'!AJ11</f>
        <v/>
      </c>
      <c r="M9" s="256" t="str">
        <f>'Tæng kÕt U'!AH11</f>
        <v xml:space="preserve">x </v>
      </c>
      <c r="N9" s="253" t="e">
        <f>'Tæng kÕt U'!AG36</f>
        <v>#REF!</v>
      </c>
      <c r="O9" s="257" t="e">
        <f>'Tæng kÕt U'!AI36</f>
        <v>#REF!</v>
      </c>
    </row>
    <row r="10" spans="1:15" s="85" customFormat="1" ht="20.100000000000001" customHeight="1">
      <c r="A10" s="199" t="s">
        <v>134</v>
      </c>
      <c r="B10" s="252" t="str">
        <f>'Tæng kÕt T '!AH12</f>
        <v xml:space="preserve"> </v>
      </c>
      <c r="C10" s="253" t="str">
        <f>'Tæng kÕt Tx'!AG12</f>
        <v/>
      </c>
      <c r="D10" s="254" t="str">
        <f>'Tæng kÕt Tx'!AI12</f>
        <v/>
      </c>
      <c r="E10" s="253" t="str">
        <f>'Tæng kÕt Tx'!AH12</f>
        <v/>
      </c>
      <c r="F10" s="253" t="str">
        <f>'Tæng kÕt Tm '!AG12</f>
        <v/>
      </c>
      <c r="G10" s="254" t="str">
        <f>'Tæng kÕt Tm '!AI12</f>
        <v/>
      </c>
      <c r="H10" s="253" t="str">
        <f>'Tæng kÕt Tm '!AH12</f>
        <v/>
      </c>
      <c r="I10" s="253">
        <f>'Tæng kÕt R'!AG12</f>
        <v>0</v>
      </c>
      <c r="J10" s="255">
        <f>'Tæng kÕt R'!AH12</f>
        <v>0</v>
      </c>
      <c r="K10" s="253">
        <f>'Tæng kÕt R'!AI12</f>
        <v>0</v>
      </c>
      <c r="L10" s="255" t="str">
        <f>'Tæng kÕt R'!AJ12</f>
        <v/>
      </c>
      <c r="M10" s="256" t="str">
        <f>'Tæng kÕt U'!AH12</f>
        <v xml:space="preserve">x </v>
      </c>
      <c r="N10" s="253" t="e">
        <f>'Tæng kÕt U'!AG37</f>
        <v>#REF!</v>
      </c>
      <c r="O10" s="257" t="e">
        <f>'Tæng kÕt U'!AI37</f>
        <v>#REF!</v>
      </c>
    </row>
    <row r="11" spans="1:15" s="85" customFormat="1" ht="20.100000000000001" customHeight="1">
      <c r="A11" s="199" t="s">
        <v>192</v>
      </c>
      <c r="B11" s="252" t="str">
        <f>'Tæng kÕt T '!AH13</f>
        <v xml:space="preserve"> </v>
      </c>
      <c r="C11" s="253" t="str">
        <f>'Tæng kÕt Tx'!AG13</f>
        <v/>
      </c>
      <c r="D11" s="254" t="str">
        <f>'Tæng kÕt Tx'!AI13</f>
        <v/>
      </c>
      <c r="E11" s="253" t="str">
        <f>'Tæng kÕt Tx'!AH13</f>
        <v/>
      </c>
      <c r="F11" s="253" t="str">
        <f>'Tæng kÕt Tm '!AG13</f>
        <v/>
      </c>
      <c r="G11" s="254" t="str">
        <f>'Tæng kÕt Tm '!AI13</f>
        <v/>
      </c>
      <c r="H11" s="253" t="str">
        <f>'Tæng kÕt Tm '!AH13</f>
        <v/>
      </c>
      <c r="I11" s="253">
        <f>'Tæng kÕt R'!AG13</f>
        <v>0</v>
      </c>
      <c r="J11" s="255">
        <f>'Tæng kÕt R'!AH13</f>
        <v>0</v>
      </c>
      <c r="K11" s="253">
        <f>'Tæng kÕt R'!AI13</f>
        <v>0</v>
      </c>
      <c r="L11" s="255" t="str">
        <f>'Tæng kÕt R'!AJ13</f>
        <v/>
      </c>
      <c r="M11" s="256" t="str">
        <f>'Tæng kÕt U'!AH13</f>
        <v xml:space="preserve">x </v>
      </c>
      <c r="N11" s="253" t="e">
        <f>'Tæng kÕt U'!AG38</f>
        <v>#REF!</v>
      </c>
      <c r="O11" s="257" t="e">
        <f>'Tæng kÕt U'!AI38</f>
        <v>#REF!</v>
      </c>
    </row>
    <row r="12" spans="1:15" s="85" customFormat="1" ht="20.100000000000001" customHeight="1">
      <c r="A12" s="199" t="s">
        <v>135</v>
      </c>
      <c r="B12" s="252" t="str">
        <f>'Tæng kÕt T '!AH14</f>
        <v xml:space="preserve"> </v>
      </c>
      <c r="C12" s="253" t="str">
        <f>'Tæng kÕt Tx'!AG14</f>
        <v/>
      </c>
      <c r="D12" s="254" t="str">
        <f>'Tæng kÕt Tx'!AI14</f>
        <v/>
      </c>
      <c r="E12" s="253" t="str">
        <f>'Tæng kÕt Tx'!AH14</f>
        <v/>
      </c>
      <c r="F12" s="253" t="str">
        <f>'Tæng kÕt Tm '!AG14</f>
        <v/>
      </c>
      <c r="G12" s="254" t="str">
        <f>'Tæng kÕt Tm '!AI14</f>
        <v/>
      </c>
      <c r="H12" s="253" t="str">
        <f>'Tæng kÕt Tm '!AH14</f>
        <v/>
      </c>
      <c r="I12" s="253">
        <f>'Tæng kÕt R'!AG14</f>
        <v>0</v>
      </c>
      <c r="J12" s="255">
        <f>'Tæng kÕt R'!AH14</f>
        <v>0</v>
      </c>
      <c r="K12" s="253">
        <f>'Tæng kÕt R'!AI14</f>
        <v>0</v>
      </c>
      <c r="L12" s="255" t="str">
        <f>'Tæng kÕt R'!AJ14</f>
        <v/>
      </c>
      <c r="M12" s="256" t="str">
        <f>'Tæng kÕt U'!AH14</f>
        <v xml:space="preserve">x </v>
      </c>
      <c r="N12" s="253" t="e">
        <f>'Tæng kÕt U'!AG39</f>
        <v>#REF!</v>
      </c>
      <c r="O12" s="257" t="e">
        <f>'Tæng kÕt U'!AI39</f>
        <v>#REF!</v>
      </c>
    </row>
    <row r="13" spans="1:15" s="85" customFormat="1" ht="20.100000000000001" customHeight="1">
      <c r="A13" s="199" t="s">
        <v>136</v>
      </c>
      <c r="B13" s="252" t="str">
        <f>'Tæng kÕt T '!AH15</f>
        <v xml:space="preserve"> </v>
      </c>
      <c r="C13" s="253" t="str">
        <f>'Tæng kÕt Tx'!AG15</f>
        <v/>
      </c>
      <c r="D13" s="254" t="str">
        <f>'Tæng kÕt Tx'!AI15</f>
        <v/>
      </c>
      <c r="E13" s="253" t="str">
        <f>'Tæng kÕt Tx'!AH15</f>
        <v/>
      </c>
      <c r="F13" s="253" t="str">
        <f>'Tæng kÕt Tm '!AG15</f>
        <v/>
      </c>
      <c r="G13" s="254" t="str">
        <f>'Tæng kÕt Tm '!AI15</f>
        <v/>
      </c>
      <c r="H13" s="253" t="str">
        <f>'Tæng kÕt Tm '!AH15</f>
        <v/>
      </c>
      <c r="I13" s="253">
        <f>'Tæng kÕt R'!AG15</f>
        <v>0</v>
      </c>
      <c r="J13" s="255">
        <f>'Tæng kÕt R'!AH15</f>
        <v>0</v>
      </c>
      <c r="K13" s="253">
        <f>'Tæng kÕt R'!AI15</f>
        <v>0</v>
      </c>
      <c r="L13" s="255" t="str">
        <f>'Tæng kÕt R'!AJ15</f>
        <v/>
      </c>
      <c r="M13" s="256" t="str">
        <f>'Tæng kÕt U'!AH15</f>
        <v xml:space="preserve">x </v>
      </c>
      <c r="N13" s="253" t="e">
        <f>'Tæng kÕt U'!AG40</f>
        <v>#REF!</v>
      </c>
      <c r="O13" s="257" t="e">
        <f>'Tæng kÕt U'!AI40</f>
        <v>#REF!</v>
      </c>
    </row>
    <row r="14" spans="1:15" s="85" customFormat="1" ht="20.100000000000001" customHeight="1">
      <c r="A14" s="200" t="s">
        <v>137</v>
      </c>
      <c r="B14" s="252" t="str">
        <f>'Tæng kÕt T '!AH16</f>
        <v xml:space="preserve"> </v>
      </c>
      <c r="C14" s="253" t="str">
        <f>'Tæng kÕt Tx'!AG16</f>
        <v/>
      </c>
      <c r="D14" s="254" t="str">
        <f>'Tæng kÕt Tx'!AI16</f>
        <v/>
      </c>
      <c r="E14" s="253" t="str">
        <f>'Tæng kÕt Tx'!AH16</f>
        <v/>
      </c>
      <c r="F14" s="253" t="str">
        <f>'Tæng kÕt Tm '!AG16</f>
        <v/>
      </c>
      <c r="G14" s="254" t="str">
        <f>'Tæng kÕt Tm '!AI16</f>
        <v/>
      </c>
      <c r="H14" s="253" t="str">
        <f>'Tæng kÕt Tm '!AH16</f>
        <v/>
      </c>
      <c r="I14" s="253">
        <f>'Tæng kÕt R'!AG16</f>
        <v>0</v>
      </c>
      <c r="J14" s="255">
        <f>'Tæng kÕt R'!AH16</f>
        <v>0</v>
      </c>
      <c r="K14" s="253">
        <f>'Tæng kÕt R'!AI16</f>
        <v>0</v>
      </c>
      <c r="L14" s="255" t="str">
        <f>'Tæng kÕt R'!AJ16</f>
        <v/>
      </c>
      <c r="M14" s="256" t="str">
        <f>'Tæng kÕt U'!AH16</f>
        <v xml:space="preserve">x </v>
      </c>
      <c r="N14" s="253" t="e">
        <f>'Tæng kÕt U'!AG41</f>
        <v>#REF!</v>
      </c>
      <c r="O14" s="257" t="e">
        <f>'Tæng kÕt U'!AI41</f>
        <v>#REF!</v>
      </c>
    </row>
    <row r="15" spans="1:15" s="85" customFormat="1" ht="20.100000000000001" customHeight="1">
      <c r="A15" s="199" t="s">
        <v>138</v>
      </c>
      <c r="B15" s="252" t="str">
        <f>'Tæng kÕt T '!AH17</f>
        <v xml:space="preserve"> </v>
      </c>
      <c r="C15" s="253" t="str">
        <f>'Tæng kÕt Tx'!AG17</f>
        <v/>
      </c>
      <c r="D15" s="254" t="str">
        <f>'Tæng kÕt Tx'!AI17</f>
        <v/>
      </c>
      <c r="E15" s="253" t="str">
        <f>'Tæng kÕt Tx'!AH17</f>
        <v/>
      </c>
      <c r="F15" s="253" t="str">
        <f>'Tæng kÕt Tm '!AG17</f>
        <v/>
      </c>
      <c r="G15" s="254" t="str">
        <f>'Tæng kÕt Tm '!AI17</f>
        <v/>
      </c>
      <c r="H15" s="253" t="str">
        <f>'Tæng kÕt Tm '!AH17</f>
        <v/>
      </c>
      <c r="I15" s="253">
        <f>'Tæng kÕt R'!AG17</f>
        <v>0</v>
      </c>
      <c r="J15" s="255">
        <f>'Tæng kÕt R'!AH17</f>
        <v>0</v>
      </c>
      <c r="K15" s="253">
        <f>'Tæng kÕt R'!AI17</f>
        <v>0</v>
      </c>
      <c r="L15" s="255" t="str">
        <f>'Tæng kÕt R'!AJ17</f>
        <v/>
      </c>
      <c r="M15" s="256" t="str">
        <f>'Tæng kÕt U'!AH17</f>
        <v xml:space="preserve">x </v>
      </c>
      <c r="N15" s="253" t="e">
        <f>'Tæng kÕt U'!AG42</f>
        <v>#REF!</v>
      </c>
      <c r="O15" s="257" t="e">
        <f>'Tæng kÕt U'!AI42</f>
        <v>#REF!</v>
      </c>
    </row>
    <row r="16" spans="1:15" s="85" customFormat="1" ht="20.100000000000001" customHeight="1">
      <c r="A16" s="200" t="s">
        <v>139</v>
      </c>
      <c r="B16" s="252" t="str">
        <f>'Tæng kÕt T '!AH18</f>
        <v xml:space="preserve"> </v>
      </c>
      <c r="C16" s="253" t="str">
        <f>'Tæng kÕt Tx'!AG18</f>
        <v/>
      </c>
      <c r="D16" s="254" t="str">
        <f>'Tæng kÕt Tx'!AI18</f>
        <v/>
      </c>
      <c r="E16" s="253" t="str">
        <f>'Tæng kÕt Tx'!AH18</f>
        <v/>
      </c>
      <c r="F16" s="253" t="str">
        <f>'Tæng kÕt Tm '!AG18</f>
        <v/>
      </c>
      <c r="G16" s="254" t="str">
        <f>'Tæng kÕt Tm '!AI18</f>
        <v/>
      </c>
      <c r="H16" s="253" t="str">
        <f>'Tæng kÕt Tm '!AH18</f>
        <v/>
      </c>
      <c r="I16" s="253">
        <f>'Tæng kÕt R'!AG18</f>
        <v>0</v>
      </c>
      <c r="J16" s="255">
        <f>'Tæng kÕt R'!AH18</f>
        <v>0</v>
      </c>
      <c r="K16" s="253">
        <f>'Tæng kÕt R'!AI18</f>
        <v>0</v>
      </c>
      <c r="L16" s="255" t="str">
        <f>'Tæng kÕt R'!AJ18</f>
        <v/>
      </c>
      <c r="M16" s="256" t="str">
        <f>'Tæng kÕt U'!AH18</f>
        <v xml:space="preserve">x </v>
      </c>
      <c r="N16" s="253" t="e">
        <f>'Tæng kÕt U'!AG43</f>
        <v>#REF!</v>
      </c>
      <c r="O16" s="257" t="e">
        <f>'Tæng kÕt U'!AI43</f>
        <v>#REF!</v>
      </c>
    </row>
    <row r="17" spans="1:15" s="85" customFormat="1" ht="20.100000000000001" customHeight="1">
      <c r="A17" s="199" t="s">
        <v>140</v>
      </c>
      <c r="B17" s="252" t="str">
        <f>'Tæng kÕt T '!AH19</f>
        <v xml:space="preserve"> </v>
      </c>
      <c r="C17" s="253" t="str">
        <f>'Tæng kÕt Tx'!AG19</f>
        <v/>
      </c>
      <c r="D17" s="254" t="str">
        <f>'Tæng kÕt Tx'!AI19</f>
        <v/>
      </c>
      <c r="E17" s="253" t="str">
        <f>'Tæng kÕt Tx'!AH19</f>
        <v/>
      </c>
      <c r="F17" s="253" t="str">
        <f>'Tæng kÕt Tm '!AG19</f>
        <v/>
      </c>
      <c r="G17" s="254" t="str">
        <f>'Tæng kÕt Tm '!AI19</f>
        <v/>
      </c>
      <c r="H17" s="253" t="str">
        <f>'Tæng kÕt Tm '!AH19</f>
        <v/>
      </c>
      <c r="I17" s="253">
        <f>'Tæng kÕt R'!AG19</f>
        <v>0</v>
      </c>
      <c r="J17" s="255">
        <f>'Tæng kÕt R'!AH19</f>
        <v>0</v>
      </c>
      <c r="K17" s="253">
        <f>'Tæng kÕt R'!AI19</f>
        <v>0</v>
      </c>
      <c r="L17" s="255" t="str">
        <f>'Tæng kÕt R'!AJ19</f>
        <v/>
      </c>
      <c r="M17" s="256" t="str">
        <f>'Tæng kÕt U'!AH19</f>
        <v xml:space="preserve">x </v>
      </c>
      <c r="N17" s="253" t="e">
        <f>'Tæng kÕt U'!AG44</f>
        <v>#REF!</v>
      </c>
      <c r="O17" s="257" t="e">
        <f>'Tæng kÕt U'!AI44</f>
        <v>#REF!</v>
      </c>
    </row>
    <row r="18" spans="1:15" s="85" customFormat="1" ht="20.100000000000001" customHeight="1">
      <c r="A18" s="200" t="s">
        <v>141</v>
      </c>
      <c r="B18" s="252" t="str">
        <f>'Tæng kÕt T '!AH20</f>
        <v xml:space="preserve"> </v>
      </c>
      <c r="C18" s="253" t="str">
        <f>'Tæng kÕt Tx'!AG20</f>
        <v/>
      </c>
      <c r="D18" s="254" t="str">
        <f>'Tæng kÕt Tx'!AI20</f>
        <v/>
      </c>
      <c r="E18" s="253" t="str">
        <f>'Tæng kÕt Tx'!AH20</f>
        <v/>
      </c>
      <c r="F18" s="253" t="str">
        <f>'Tæng kÕt Tm '!AG20</f>
        <v/>
      </c>
      <c r="G18" s="254" t="str">
        <f>'Tæng kÕt Tm '!AI20</f>
        <v/>
      </c>
      <c r="H18" s="253" t="str">
        <f>'Tæng kÕt Tm '!AH20</f>
        <v/>
      </c>
      <c r="I18" s="253">
        <f>'Tæng kÕt R'!AG20</f>
        <v>0</v>
      </c>
      <c r="J18" s="255">
        <f>'Tæng kÕt R'!AH20</f>
        <v>0</v>
      </c>
      <c r="K18" s="253">
        <f>'Tæng kÕt R'!AI20</f>
        <v>0</v>
      </c>
      <c r="L18" s="255" t="str">
        <f>'Tæng kÕt R'!AJ20</f>
        <v/>
      </c>
      <c r="M18" s="256" t="str">
        <f>'Tæng kÕt U'!AH20</f>
        <v xml:space="preserve">x </v>
      </c>
      <c r="N18" s="253" t="e">
        <f>'Tæng kÕt U'!AG45</f>
        <v>#REF!</v>
      </c>
      <c r="O18" s="257" t="e">
        <f>'Tæng kÕt U'!AI45</f>
        <v>#REF!</v>
      </c>
    </row>
    <row r="19" spans="1:15" ht="20.100000000000001" customHeight="1">
      <c r="A19" s="199" t="s">
        <v>142</v>
      </c>
      <c r="B19" s="252" t="str">
        <f>'Tæng kÕt T '!AH21</f>
        <v xml:space="preserve"> </v>
      </c>
      <c r="C19" s="253" t="str">
        <f>'Tæng kÕt Tx'!AG21</f>
        <v/>
      </c>
      <c r="D19" s="254" t="str">
        <f>'Tæng kÕt Tx'!AI21</f>
        <v/>
      </c>
      <c r="E19" s="253" t="str">
        <f>'Tæng kÕt Tx'!AH21</f>
        <v/>
      </c>
      <c r="F19" s="253" t="str">
        <f>'Tæng kÕt Tm '!AG21</f>
        <v/>
      </c>
      <c r="G19" s="254" t="str">
        <f>'Tæng kÕt Tm '!AI21</f>
        <v/>
      </c>
      <c r="H19" s="253" t="str">
        <f>'Tæng kÕt Tm '!AH21</f>
        <v/>
      </c>
      <c r="I19" s="253">
        <f>'Tæng kÕt R'!AG21</f>
        <v>0</v>
      </c>
      <c r="J19" s="255">
        <f>'Tæng kÕt R'!AH21</f>
        <v>0</v>
      </c>
      <c r="K19" s="253">
        <f>'Tæng kÕt R'!AI21</f>
        <v>0</v>
      </c>
      <c r="L19" s="255" t="str">
        <f>'Tæng kÕt R'!AJ21</f>
        <v/>
      </c>
      <c r="M19" s="256" t="str">
        <f>'Tæng kÕt U'!AH21</f>
        <v xml:space="preserve">x </v>
      </c>
      <c r="N19" s="253" t="e">
        <f>'Tæng kÕt U'!AG46</f>
        <v>#REF!</v>
      </c>
      <c r="O19" s="257" t="e">
        <f>'Tæng kÕt U'!AI46</f>
        <v>#REF!</v>
      </c>
    </row>
    <row r="20" spans="1:15" ht="20.100000000000001" customHeight="1">
      <c r="A20" s="199" t="s">
        <v>163</v>
      </c>
      <c r="B20" s="252" t="str">
        <f>'Tæng kÕt T '!AH22</f>
        <v xml:space="preserve"> </v>
      </c>
      <c r="C20" s="253" t="str">
        <f>'Tæng kÕt Tx'!AG22</f>
        <v/>
      </c>
      <c r="D20" s="254" t="str">
        <f>'Tæng kÕt Tx'!AI22</f>
        <v/>
      </c>
      <c r="E20" s="253" t="str">
        <f>'Tæng kÕt Tx'!AH22</f>
        <v/>
      </c>
      <c r="F20" s="253" t="str">
        <f>'Tæng kÕt Tm '!AG22</f>
        <v/>
      </c>
      <c r="G20" s="254" t="str">
        <f>'Tæng kÕt Tm '!AI22</f>
        <v/>
      </c>
      <c r="H20" s="253" t="str">
        <f>'Tæng kÕt Tm '!AH22</f>
        <v/>
      </c>
      <c r="I20" s="253">
        <f>'Tæng kÕt R'!AG22</f>
        <v>0</v>
      </c>
      <c r="J20" s="255">
        <f>'Tæng kÕt R'!AH22</f>
        <v>0</v>
      </c>
      <c r="K20" s="253">
        <f>'Tæng kÕt R'!AI22</f>
        <v>0</v>
      </c>
      <c r="L20" s="255" t="str">
        <f>'Tæng kÕt R'!AJ22</f>
        <v/>
      </c>
      <c r="M20" s="256" t="str">
        <f>'Tæng kÕt U'!AH22</f>
        <v xml:space="preserve">x </v>
      </c>
      <c r="N20" s="253" t="e">
        <f>'Tæng kÕt U'!AG47</f>
        <v>#REF!</v>
      </c>
      <c r="O20" s="257" t="e">
        <f>'Tæng kÕt U'!AI47</f>
        <v>#REF!</v>
      </c>
    </row>
    <row r="21" spans="1:15" ht="20.100000000000001" customHeight="1">
      <c r="A21" s="199" t="s">
        <v>144</v>
      </c>
      <c r="B21" s="252" t="str">
        <f>'Tæng kÕt T '!AH23</f>
        <v xml:space="preserve"> </v>
      </c>
      <c r="C21" s="253" t="str">
        <f>'Tæng kÕt Tx'!AG23</f>
        <v/>
      </c>
      <c r="D21" s="254" t="str">
        <f>'Tæng kÕt Tx'!AI23</f>
        <v/>
      </c>
      <c r="E21" s="253" t="str">
        <f>'Tæng kÕt Tx'!AH23</f>
        <v/>
      </c>
      <c r="F21" s="253" t="str">
        <f>'Tæng kÕt Tm '!AG23</f>
        <v/>
      </c>
      <c r="G21" s="254" t="str">
        <f>'Tæng kÕt Tm '!AI23</f>
        <v/>
      </c>
      <c r="H21" s="253" t="str">
        <f>'Tæng kÕt Tm '!AH23</f>
        <v/>
      </c>
      <c r="I21" s="253">
        <f>'Tæng kÕt R'!AG23</f>
        <v>0</v>
      </c>
      <c r="J21" s="255">
        <f>'Tæng kÕt R'!AH23</f>
        <v>0</v>
      </c>
      <c r="K21" s="253">
        <f>'Tæng kÕt R'!AI23</f>
        <v>0</v>
      </c>
      <c r="L21" s="255" t="str">
        <f>'Tæng kÕt R'!AJ23</f>
        <v/>
      </c>
      <c r="M21" s="256" t="str">
        <f>'Tæng kÕt U'!AH23</f>
        <v xml:space="preserve">x </v>
      </c>
      <c r="N21" s="253" t="e">
        <f>'Tæng kÕt U'!AG48</f>
        <v>#REF!</v>
      </c>
      <c r="O21" s="257" t="e">
        <f>'Tæng kÕt U'!AI48</f>
        <v>#REF!</v>
      </c>
    </row>
    <row r="22" spans="1:15" ht="20.100000000000001" customHeight="1">
      <c r="A22" s="199" t="s">
        <v>145</v>
      </c>
      <c r="B22" s="252" t="str">
        <f>'Tæng kÕt T '!AH24</f>
        <v xml:space="preserve"> </v>
      </c>
      <c r="C22" s="253" t="str">
        <f>'Tæng kÕt Tx'!AG24</f>
        <v/>
      </c>
      <c r="D22" s="254" t="str">
        <f>'Tæng kÕt Tx'!AI24</f>
        <v/>
      </c>
      <c r="E22" s="253" t="str">
        <f>'Tæng kÕt Tx'!AH24</f>
        <v/>
      </c>
      <c r="F22" s="253" t="str">
        <f>'Tæng kÕt Tm '!AG24</f>
        <v/>
      </c>
      <c r="G22" s="254" t="str">
        <f>'Tæng kÕt Tm '!AI24</f>
        <v/>
      </c>
      <c r="H22" s="253" t="str">
        <f>'Tæng kÕt Tm '!AH24</f>
        <v/>
      </c>
      <c r="I22" s="253">
        <f>'Tæng kÕt R'!AG24</f>
        <v>0</v>
      </c>
      <c r="J22" s="255">
        <f>'Tæng kÕt R'!AH24</f>
        <v>0</v>
      </c>
      <c r="K22" s="253">
        <f>'Tæng kÕt R'!AI24</f>
        <v>0</v>
      </c>
      <c r="L22" s="255" t="str">
        <f>'Tæng kÕt R'!AJ24</f>
        <v/>
      </c>
      <c r="M22" s="256" t="str">
        <f>'Tæng kÕt U'!AH24</f>
        <v xml:space="preserve">x </v>
      </c>
      <c r="N22" s="253" t="e">
        <f>'Tæng kÕt U'!AG49</f>
        <v>#REF!</v>
      </c>
      <c r="O22" s="257" t="e">
        <f>'Tæng kÕt U'!AI49</f>
        <v>#REF!</v>
      </c>
    </row>
    <row r="23" spans="1:15" ht="20.100000000000001" customHeight="1">
      <c r="A23" s="199" t="s">
        <v>146</v>
      </c>
      <c r="B23" s="252" t="str">
        <f>'Tæng kÕt T '!AH25</f>
        <v xml:space="preserve"> </v>
      </c>
      <c r="C23" s="253" t="str">
        <f>'Tæng kÕt Tx'!AG25</f>
        <v/>
      </c>
      <c r="D23" s="254" t="str">
        <f>'Tæng kÕt Tx'!AI25</f>
        <v/>
      </c>
      <c r="E23" s="253" t="str">
        <f>'Tæng kÕt Tx'!AH25</f>
        <v/>
      </c>
      <c r="F23" s="253" t="str">
        <f>'Tæng kÕt Tm '!AG25</f>
        <v/>
      </c>
      <c r="G23" s="254" t="str">
        <f>'Tæng kÕt Tm '!AI25</f>
        <v/>
      </c>
      <c r="H23" s="253" t="str">
        <f>'Tæng kÕt Tm '!AH25</f>
        <v/>
      </c>
      <c r="I23" s="253">
        <f>'Tæng kÕt R'!AG25</f>
        <v>0</v>
      </c>
      <c r="J23" s="255">
        <f>'Tæng kÕt R'!AH25</f>
        <v>0</v>
      </c>
      <c r="K23" s="253">
        <f>'Tæng kÕt R'!AI25</f>
        <v>0</v>
      </c>
      <c r="L23" s="255" t="str">
        <f>'Tæng kÕt R'!AJ25</f>
        <v/>
      </c>
      <c r="M23" s="256" t="str">
        <f>'Tæng kÕt U'!AH25</f>
        <v xml:space="preserve">x </v>
      </c>
      <c r="N23" s="253" t="e">
        <f>'Tæng kÕt U'!AG50</f>
        <v>#REF!</v>
      </c>
      <c r="O23" s="257" t="e">
        <f>'Tæng kÕt U'!AI50</f>
        <v>#REF!</v>
      </c>
    </row>
    <row r="24" spans="1:15" ht="20.100000000000001" customHeight="1">
      <c r="A24" s="199" t="s">
        <v>147</v>
      </c>
      <c r="B24" s="252" t="str">
        <f>'Tæng kÕt T '!AH26</f>
        <v xml:space="preserve"> </v>
      </c>
      <c r="C24" s="253" t="str">
        <f>'Tæng kÕt Tx'!AG26</f>
        <v/>
      </c>
      <c r="D24" s="254" t="str">
        <f>'Tæng kÕt Tx'!AI26</f>
        <v/>
      </c>
      <c r="E24" s="253" t="str">
        <f>'Tæng kÕt Tx'!AH26</f>
        <v/>
      </c>
      <c r="F24" s="253" t="str">
        <f>'Tæng kÕt Tm '!AG26</f>
        <v/>
      </c>
      <c r="G24" s="254" t="str">
        <f>'Tæng kÕt Tm '!AI26</f>
        <v/>
      </c>
      <c r="H24" s="253" t="str">
        <f>'Tæng kÕt Tm '!AH26</f>
        <v/>
      </c>
      <c r="I24" s="253">
        <f>'Tæng kÕt R'!AG26</f>
        <v>0</v>
      </c>
      <c r="J24" s="255">
        <f>'Tæng kÕt R'!AH26</f>
        <v>0</v>
      </c>
      <c r="K24" s="253">
        <f>'Tæng kÕt R'!AI26</f>
        <v>0</v>
      </c>
      <c r="L24" s="255" t="str">
        <f>'Tæng kÕt R'!AJ26</f>
        <v/>
      </c>
      <c r="M24" s="256" t="str">
        <f>'Tæng kÕt U'!AH26</f>
        <v xml:space="preserve">x </v>
      </c>
      <c r="N24" s="253" t="e">
        <f>'Tæng kÕt U'!AG51</f>
        <v>#REF!</v>
      </c>
      <c r="O24" s="257" t="e">
        <f>'Tæng kÕt U'!AI51</f>
        <v>#REF!</v>
      </c>
    </row>
    <row r="25" spans="1:15" ht="20.100000000000001" customHeight="1">
      <c r="A25" s="305" t="s">
        <v>191</v>
      </c>
      <c r="B25" s="252" t="str">
        <f>'Tæng kÕt T '!AH27</f>
        <v xml:space="preserve"> </v>
      </c>
      <c r="C25" s="253" t="str">
        <f>'Tæng kÕt Tx'!AG27</f>
        <v/>
      </c>
      <c r="D25" s="254" t="str">
        <f>'Tæng kÕt Tx'!AI27</f>
        <v/>
      </c>
      <c r="E25" s="253" t="str">
        <f>'Tæng kÕt Tx'!AH27</f>
        <v/>
      </c>
      <c r="F25" s="253" t="str">
        <f>'Tæng kÕt Tm '!AG27</f>
        <v/>
      </c>
      <c r="G25" s="254" t="str">
        <f>'Tæng kÕt Tm '!AI27</f>
        <v/>
      </c>
      <c r="H25" s="253" t="str">
        <f>'Tæng kÕt Tm '!AH27</f>
        <v/>
      </c>
      <c r="I25" s="253">
        <f>'Tæng kÕt R'!AG27</f>
        <v>0</v>
      </c>
      <c r="J25" s="255">
        <f>'Tæng kÕt R'!AH27</f>
        <v>0</v>
      </c>
      <c r="K25" s="253">
        <f>'Tæng kÕt R'!AI27</f>
        <v>0</v>
      </c>
      <c r="L25" s="255" t="str">
        <f>'Tæng kÕt R'!AJ27</f>
        <v/>
      </c>
      <c r="M25" s="256" t="str">
        <f>'Tæng kÕt U'!AH27</f>
        <v xml:space="preserve">x </v>
      </c>
      <c r="N25" s="253" t="e">
        <f>'Tæng kÕt U'!AG52</f>
        <v>#REF!</v>
      </c>
      <c r="O25" s="257" t="e">
        <f>'Tæng kÕt U'!AI52</f>
        <v>#REF!</v>
      </c>
    </row>
    <row r="26" spans="1:15" ht="13.5" thickBot="1">
      <c r="A26" s="206"/>
      <c r="B26" s="258"/>
      <c r="C26" s="259"/>
      <c r="D26" s="259"/>
      <c r="E26" s="259"/>
      <c r="F26" s="259"/>
      <c r="G26" s="259"/>
      <c r="H26" s="259"/>
      <c r="I26" s="259"/>
      <c r="J26" s="260"/>
      <c r="K26" s="259"/>
      <c r="L26" s="260"/>
      <c r="M26" s="261"/>
      <c r="N26" s="259"/>
      <c r="O26" s="262"/>
    </row>
    <row r="27" spans="1:15" ht="12" thickTop="1"/>
    <row r="28" spans="1:15"/>
  </sheetData>
  <mergeCells count="2">
    <mergeCell ref="A1:O1"/>
    <mergeCell ref="A2:O2"/>
  </mergeCells>
  <phoneticPr fontId="0" type="noConversion"/>
  <printOptions horizontalCentered="1"/>
  <pageMargins left="0.25" right="0.25" top="1" bottom="1" header="0.5" footer="0.5"/>
  <pageSetup paperSize="9" orientation="portrait" horizontalDpi="75" verticalDpi="75" r:id="rId1"/>
  <headerFooter alignWithMargins="0">
    <oddHeader>&amp;A</oddHeader>
    <oddFooter>Page &amp;P</oddFooter>
  </headerFooter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F260"/>
  <sheetViews>
    <sheetView zoomScaleNormal="100" workbookViewId="0">
      <pane xSplit="2" ySplit="3" topLeftCell="C16" activePane="bottomRight" state="frozen"/>
      <selection pane="topRight" activeCell="C1" sqref="C1"/>
      <selection pane="bottomLeft" activeCell="A4" sqref="A4"/>
      <selection pane="bottomRight" activeCell="AH20" sqref="AH20"/>
    </sheetView>
  </sheetViews>
  <sheetFormatPr defaultColWidth="6" defaultRowHeight="11.25"/>
  <cols>
    <col min="1" max="1" width="7.5" style="2" customWidth="1"/>
    <col min="2" max="2" width="6" style="2"/>
    <col min="3" max="3" width="8.1640625" style="2" customWidth="1"/>
    <col min="4" max="4" width="7.1640625" style="2" customWidth="1"/>
    <col min="5" max="5" width="6.5" style="2" customWidth="1"/>
    <col min="6" max="6" width="3.5" style="2" customWidth="1"/>
    <col min="7" max="7" width="6.6640625" style="2" customWidth="1"/>
    <col min="8" max="9" width="6" style="2"/>
    <col min="10" max="10" width="7.33203125" style="2" customWidth="1"/>
    <col min="11" max="11" width="7" style="3" customWidth="1"/>
    <col min="12" max="12" width="6.33203125" style="2" customWidth="1"/>
    <col min="13" max="13" width="3.5" style="2" customWidth="1"/>
    <col min="14" max="14" width="5.83203125" style="2" customWidth="1"/>
    <col min="15" max="16" width="6" style="2"/>
    <col min="17" max="17" width="7.33203125" style="2" customWidth="1"/>
    <col min="18" max="18" width="7" style="3" customWidth="1"/>
    <col min="19" max="19" width="6.33203125" style="2" customWidth="1"/>
    <col min="20" max="20" width="3.5" style="2" customWidth="1"/>
    <col min="21" max="21" width="5.83203125" style="2" customWidth="1"/>
    <col min="22" max="23" width="6" style="2"/>
    <col min="24" max="24" width="7.33203125" style="2" customWidth="1"/>
    <col min="25" max="25" width="7" style="3" customWidth="1"/>
    <col min="26" max="26" width="6.33203125" style="2" customWidth="1"/>
    <col min="27" max="27" width="3.5" style="2" customWidth="1"/>
    <col min="28" max="28" width="5.83203125" style="2" customWidth="1"/>
    <col min="29" max="30" width="6" style="2"/>
    <col min="31" max="32" width="6" style="147"/>
    <col min="33" max="16384" width="6" style="2"/>
  </cols>
  <sheetData>
    <row r="1" spans="1:32" ht="14.25" customHeight="1" thickBot="1">
      <c r="C1" s="132" t="s">
        <v>165</v>
      </c>
      <c r="D1" s="133"/>
      <c r="E1" s="134"/>
      <c r="F1" s="134"/>
      <c r="G1" s="134"/>
      <c r="H1" s="134"/>
      <c r="I1" s="135"/>
      <c r="J1" s="132" t="s">
        <v>167</v>
      </c>
      <c r="K1" s="133"/>
      <c r="L1" s="134"/>
      <c r="M1" s="134"/>
      <c r="N1" s="134"/>
      <c r="O1" s="134"/>
      <c r="P1" s="135"/>
      <c r="Q1" s="535" t="s">
        <v>168</v>
      </c>
      <c r="R1" s="536"/>
      <c r="S1" s="536"/>
      <c r="T1" s="536"/>
      <c r="U1" s="536"/>
      <c r="V1" s="536"/>
      <c r="W1" s="537"/>
      <c r="X1" s="535" t="s">
        <v>169</v>
      </c>
      <c r="Y1" s="536"/>
      <c r="Z1" s="536"/>
      <c r="AA1" s="536"/>
      <c r="AB1" s="536"/>
      <c r="AC1" s="536"/>
      <c r="AD1" s="537"/>
      <c r="AE1" s="148"/>
      <c r="AF1" s="148"/>
    </row>
    <row r="2" spans="1:32">
      <c r="A2" s="42" t="s">
        <v>32</v>
      </c>
      <c r="B2" s="47" t="s">
        <v>33</v>
      </c>
      <c r="C2" s="45" t="s">
        <v>35</v>
      </c>
      <c r="D2" s="136" t="s">
        <v>36</v>
      </c>
      <c r="E2" s="50" t="s">
        <v>34</v>
      </c>
      <c r="F2" s="43"/>
      <c r="G2" s="44" t="s">
        <v>37</v>
      </c>
      <c r="H2" s="44" t="s">
        <v>38</v>
      </c>
      <c r="I2" s="46" t="s">
        <v>39</v>
      </c>
      <c r="J2" s="45" t="s">
        <v>35</v>
      </c>
      <c r="K2" s="136" t="s">
        <v>36</v>
      </c>
      <c r="L2" s="50" t="s">
        <v>34</v>
      </c>
      <c r="M2" s="43"/>
      <c r="N2" s="44" t="s">
        <v>37</v>
      </c>
      <c r="O2" s="44" t="s">
        <v>38</v>
      </c>
      <c r="P2" s="46" t="s">
        <v>39</v>
      </c>
      <c r="Q2" s="45" t="s">
        <v>35</v>
      </c>
      <c r="R2" s="136" t="s">
        <v>36</v>
      </c>
      <c r="S2" s="50" t="s">
        <v>34</v>
      </c>
      <c r="T2" s="43"/>
      <c r="U2" s="44" t="s">
        <v>37</v>
      </c>
      <c r="V2" s="44" t="s">
        <v>38</v>
      </c>
      <c r="W2" s="46" t="s">
        <v>39</v>
      </c>
      <c r="X2" s="45" t="s">
        <v>35</v>
      </c>
      <c r="Y2" s="136" t="s">
        <v>36</v>
      </c>
      <c r="Z2" s="50" t="s">
        <v>34</v>
      </c>
      <c r="AA2" s="43"/>
      <c r="AB2" s="44" t="s">
        <v>37</v>
      </c>
      <c r="AC2" s="44" t="s">
        <v>38</v>
      </c>
      <c r="AD2" s="46" t="s">
        <v>39</v>
      </c>
      <c r="AE2" s="149"/>
      <c r="AF2" s="149"/>
    </row>
    <row r="3" spans="1:32">
      <c r="A3" s="52">
        <v>31</v>
      </c>
      <c r="B3" s="48">
        <v>1</v>
      </c>
      <c r="C3" s="35"/>
      <c r="D3" s="137"/>
      <c r="E3" s="49">
        <v>0</v>
      </c>
      <c r="F3" s="36"/>
      <c r="G3" s="37"/>
      <c r="H3" s="34"/>
      <c r="I3" s="38">
        <v>0</v>
      </c>
      <c r="J3" s="35"/>
      <c r="K3" s="137"/>
      <c r="L3" s="49">
        <v>0</v>
      </c>
      <c r="M3" s="36"/>
      <c r="N3" s="37"/>
      <c r="O3" s="34"/>
      <c r="P3" s="38">
        <v>0</v>
      </c>
      <c r="Q3" s="35"/>
      <c r="R3" s="137"/>
      <c r="S3" s="49">
        <v>0</v>
      </c>
      <c r="T3" s="36"/>
      <c r="U3" s="37"/>
      <c r="V3" s="34"/>
      <c r="W3" s="38">
        <v>0</v>
      </c>
      <c r="X3" s="35"/>
      <c r="Y3" s="137"/>
      <c r="Z3" s="49">
        <v>0</v>
      </c>
      <c r="AA3" s="36"/>
      <c r="AB3" s="37"/>
      <c r="AC3" s="34"/>
      <c r="AD3" s="38">
        <v>0</v>
      </c>
    </row>
    <row r="4" spans="1:32">
      <c r="A4" s="39"/>
      <c r="B4" s="48">
        <v>4</v>
      </c>
      <c r="C4" s="35"/>
      <c r="D4" s="137"/>
      <c r="E4" s="49"/>
      <c r="F4" s="36"/>
      <c r="G4" s="37"/>
      <c r="H4" s="34"/>
      <c r="I4" s="38"/>
      <c r="J4" s="35"/>
      <c r="K4" s="137"/>
      <c r="L4" s="49"/>
      <c r="M4" s="36"/>
      <c r="N4" s="37"/>
      <c r="O4" s="34"/>
      <c r="P4" s="38"/>
      <c r="Q4" s="35"/>
      <c r="R4" s="137"/>
      <c r="S4" s="49"/>
      <c r="T4" s="36"/>
      <c r="U4" s="37"/>
      <c r="V4" s="34"/>
      <c r="W4" s="38"/>
      <c r="X4" s="35"/>
      <c r="Y4" s="137"/>
      <c r="Z4" s="49"/>
      <c r="AA4" s="36"/>
      <c r="AB4" s="37"/>
      <c r="AC4" s="34"/>
      <c r="AD4" s="38"/>
    </row>
    <row r="5" spans="1:32">
      <c r="A5" s="39"/>
      <c r="B5" s="48">
        <v>7</v>
      </c>
      <c r="C5" s="35"/>
      <c r="D5" s="137"/>
      <c r="E5" s="49"/>
      <c r="F5" s="36"/>
      <c r="G5" s="37"/>
      <c r="H5" s="34"/>
      <c r="I5" s="38"/>
      <c r="J5" s="35"/>
      <c r="K5" s="137"/>
      <c r="L5" s="49"/>
      <c r="M5" s="36"/>
      <c r="N5" s="37"/>
      <c r="O5" s="34"/>
      <c r="P5" s="38"/>
      <c r="Q5" s="35"/>
      <c r="R5" s="137"/>
      <c r="S5" s="49"/>
      <c r="T5" s="36"/>
      <c r="U5" s="37"/>
      <c r="V5" s="34"/>
      <c r="W5" s="38"/>
      <c r="X5" s="35"/>
      <c r="Y5" s="137"/>
      <c r="Z5" s="49"/>
      <c r="AA5" s="36"/>
      <c r="AB5" s="37"/>
      <c r="AC5" s="34"/>
      <c r="AD5" s="38"/>
    </row>
    <row r="6" spans="1:32">
      <c r="A6" s="39"/>
      <c r="B6" s="48">
        <v>10</v>
      </c>
      <c r="C6" s="35"/>
      <c r="D6" s="137"/>
      <c r="E6" s="49"/>
      <c r="F6" s="36"/>
      <c r="G6" s="37"/>
      <c r="H6" s="34"/>
      <c r="I6" s="38"/>
      <c r="J6" s="35"/>
      <c r="K6" s="137"/>
      <c r="L6" s="49"/>
      <c r="M6" s="36"/>
      <c r="N6" s="37"/>
      <c r="O6" s="34"/>
      <c r="P6" s="38"/>
      <c r="Q6" s="35"/>
      <c r="R6" s="137"/>
      <c r="S6" s="49"/>
      <c r="T6" s="36"/>
      <c r="U6" s="37"/>
      <c r="V6" s="34"/>
      <c r="W6" s="38"/>
      <c r="X6" s="35"/>
      <c r="Y6" s="137"/>
      <c r="Z6" s="49"/>
      <c r="AA6" s="36"/>
      <c r="AB6" s="37"/>
      <c r="AC6" s="34"/>
      <c r="AD6" s="38"/>
    </row>
    <row r="7" spans="1:32">
      <c r="A7" s="39"/>
      <c r="B7" s="48">
        <v>13</v>
      </c>
      <c r="C7" s="35"/>
      <c r="D7" s="137"/>
      <c r="E7" s="49"/>
      <c r="F7" s="36"/>
      <c r="G7" s="37"/>
      <c r="H7" s="34"/>
      <c r="I7" s="38"/>
      <c r="J7" s="35"/>
      <c r="K7" s="137"/>
      <c r="L7" s="49"/>
      <c r="M7" s="36"/>
      <c r="N7" s="37"/>
      <c r="O7" s="34"/>
      <c r="P7" s="38"/>
      <c r="Q7" s="35"/>
      <c r="R7" s="137"/>
      <c r="S7" s="49"/>
      <c r="T7" s="36"/>
      <c r="U7" s="37"/>
      <c r="V7" s="34"/>
      <c r="W7" s="38"/>
      <c r="X7" s="35"/>
      <c r="Y7" s="137"/>
      <c r="Z7" s="49"/>
      <c r="AA7" s="36"/>
      <c r="AB7" s="37"/>
      <c r="AC7" s="34"/>
      <c r="AD7" s="38"/>
    </row>
    <row r="8" spans="1:32">
      <c r="A8" s="39"/>
      <c r="B8" s="48">
        <v>16</v>
      </c>
      <c r="C8" s="35"/>
      <c r="D8" s="137"/>
      <c r="E8" s="49"/>
      <c r="F8" s="36"/>
      <c r="G8" s="37"/>
      <c r="H8" s="34"/>
      <c r="I8" s="38"/>
      <c r="J8" s="35"/>
      <c r="K8" s="137"/>
      <c r="L8" s="49"/>
      <c r="M8" s="36"/>
      <c r="N8" s="37"/>
      <c r="O8" s="34"/>
      <c r="P8" s="38"/>
      <c r="Q8" s="35"/>
      <c r="R8" s="137"/>
      <c r="S8" s="49"/>
      <c r="T8" s="36"/>
      <c r="U8" s="37"/>
      <c r="V8" s="34"/>
      <c r="W8" s="38"/>
      <c r="X8" s="35"/>
      <c r="Y8" s="137"/>
      <c r="Z8" s="49"/>
      <c r="AA8" s="36"/>
      <c r="AB8" s="37"/>
      <c r="AC8" s="34"/>
      <c r="AD8" s="38"/>
    </row>
    <row r="9" spans="1:32">
      <c r="A9" s="39"/>
      <c r="B9" s="48">
        <v>19</v>
      </c>
      <c r="C9" s="35"/>
      <c r="D9" s="137"/>
      <c r="E9" s="49"/>
      <c r="F9" s="36"/>
      <c r="G9" s="37"/>
      <c r="H9" s="34"/>
      <c r="I9" s="38"/>
      <c r="J9" s="35"/>
      <c r="K9" s="137"/>
      <c r="L9" s="49"/>
      <c r="M9" s="36"/>
      <c r="N9" s="37"/>
      <c r="O9" s="34"/>
      <c r="P9" s="38"/>
      <c r="Q9" s="35"/>
      <c r="R9" s="137"/>
      <c r="S9" s="49"/>
      <c r="T9" s="36"/>
      <c r="U9" s="37"/>
      <c r="V9" s="34"/>
      <c r="W9" s="38"/>
      <c r="X9" s="35"/>
      <c r="Y9" s="137"/>
      <c r="Z9" s="49"/>
      <c r="AA9" s="36"/>
      <c r="AB9" s="37"/>
      <c r="AC9" s="34"/>
      <c r="AD9" s="38"/>
    </row>
    <row r="10" spans="1:32">
      <c r="A10" s="39"/>
      <c r="B10" s="48">
        <v>22</v>
      </c>
      <c r="C10" s="141" t="str">
        <f>IF(COUNT(ngay01!$N$31)&gt;0,ngay01!$N$31,"")</f>
        <v/>
      </c>
      <c r="D10" s="137">
        <v>0</v>
      </c>
      <c r="E10" s="49">
        <v>0</v>
      </c>
      <c r="F10" s="36"/>
      <c r="G10" s="141" t="str">
        <f>IF(COUNT(ngay01!$C$4)&gt;0,ngay01!$C$4,"")</f>
        <v/>
      </c>
      <c r="H10" s="34">
        <v>0</v>
      </c>
      <c r="I10" s="38">
        <v>0</v>
      </c>
      <c r="J10" s="141" t="str">
        <f>IF(COUNT(ngay01!$N$33)&gt;0,ngay01!$N$33,"")</f>
        <v/>
      </c>
      <c r="K10" s="137">
        <v>0</v>
      </c>
      <c r="L10" s="49">
        <v>0</v>
      </c>
      <c r="M10" s="36"/>
      <c r="N10" s="141" t="str">
        <f>IF(COUNT(ngay01!$C$6)&gt;0,ngay01!$C$6,"")</f>
        <v/>
      </c>
      <c r="O10" s="34">
        <v>0</v>
      </c>
      <c r="P10" s="38">
        <v>0</v>
      </c>
      <c r="Q10" s="141" t="str">
        <f>IF(COUNT(ngay01!$N$39)&gt;0,ngay01!$N$39,"")</f>
        <v/>
      </c>
      <c r="R10" s="137">
        <v>0</v>
      </c>
      <c r="S10" s="49">
        <v>0</v>
      </c>
      <c r="T10" s="36"/>
      <c r="U10" s="141" t="str">
        <f>IF(COUNT(ngay01!$C$12)&gt;0,ngay01!$C$12,"")</f>
        <v/>
      </c>
      <c r="V10" s="34">
        <v>0</v>
      </c>
      <c r="W10" s="38">
        <v>0</v>
      </c>
      <c r="X10" s="141" t="str">
        <f>IF(COUNT(ngay01!$N$48)&gt;0,ngay01!$N$48,"")</f>
        <v/>
      </c>
      <c r="Y10" s="137">
        <v>0</v>
      </c>
      <c r="Z10" s="49">
        <v>0</v>
      </c>
      <c r="AA10" s="36"/>
      <c r="AB10" s="141" t="str">
        <f>IF(COUNT(ngay01!$C$21)&gt;0,ngay01!$C$21,"")</f>
        <v/>
      </c>
      <c r="AC10" s="34">
        <v>0</v>
      </c>
      <c r="AD10" s="38">
        <v>0</v>
      </c>
    </row>
    <row r="11" spans="1:32" s="145" customFormat="1">
      <c r="A11" s="138">
        <v>1</v>
      </c>
      <c r="B11" s="48">
        <v>1</v>
      </c>
      <c r="C11" s="141" t="str">
        <f>IF(COUNT(ngay01!$O$31)&gt;0,ngay01!$O$31,"")</f>
        <v/>
      </c>
      <c r="D11" s="144" t="str">
        <f t="shared" ref="D11:D74" si="0">IF(COUNT(C3,C11)=2,C11-C3,"x")</f>
        <v>x</v>
      </c>
      <c r="E11" s="142">
        <f t="shared" ref="E11:E74" si="1">IF(COUNT(D11,E10)=2,D11+E10,E10)</f>
        <v>0</v>
      </c>
      <c r="F11" s="140"/>
      <c r="G11" s="141" t="str">
        <f>IF(COUNT(ngay01!$D$4)&gt;0,ngay01!$D$4,"")</f>
        <v/>
      </c>
      <c r="H11" s="140" t="str">
        <f t="shared" ref="H11:H74" si="2">IF(COUNT(G3,G11)=2,G11-G3,"x")</f>
        <v>x</v>
      </c>
      <c r="I11" s="143">
        <f t="shared" ref="I11:I74" si="3">IF(COUNT(H11,I10)=2,H11+I10,I10)</f>
        <v>0</v>
      </c>
      <c r="J11" s="141" t="str">
        <f>IF(COUNT(ngay01!$O$33)&gt;0,ngay01!$O$33,"")</f>
        <v/>
      </c>
      <c r="K11" s="144" t="str">
        <f t="shared" ref="K11:K74" si="4">IF(COUNT(J3,J11)=2,J11-J3,"x")</f>
        <v>x</v>
      </c>
      <c r="L11" s="142">
        <f t="shared" ref="L11:L74" si="5">IF(COUNT(K11,L10)=2,K11+L10,L10)</f>
        <v>0</v>
      </c>
      <c r="M11" s="140"/>
      <c r="N11" s="141" t="str">
        <f>IF(COUNT(ngay01!$D$6)&gt;0,ngay01!$D$6,"")</f>
        <v/>
      </c>
      <c r="O11" s="140" t="str">
        <f t="shared" ref="O11:O74" si="6">IF(COUNT(N3,N11)=2,N11-N3,"x")</f>
        <v>x</v>
      </c>
      <c r="P11" s="143">
        <f t="shared" ref="P11:P74" si="7">IF(COUNT(O11,P10)=2,O11+P10,P10)</f>
        <v>0</v>
      </c>
      <c r="Q11" s="141" t="str">
        <f>IF(COUNT(ngay01!$O$39)&gt;0,ngay01!$O$39,"")</f>
        <v/>
      </c>
      <c r="R11" s="144" t="str">
        <f t="shared" ref="R11:R74" si="8">IF(COUNT(Q3,Q11)=2,Q11-Q3,"x")</f>
        <v>x</v>
      </c>
      <c r="S11" s="142">
        <f t="shared" ref="S11:S74" si="9">IF(COUNT(R11,S10)=2,R11+S10,S10)</f>
        <v>0</v>
      </c>
      <c r="T11" s="140"/>
      <c r="U11" s="141" t="str">
        <f>IF(COUNT(ngay01!$D$12)&gt;0,ngay01!$D$12,"")</f>
        <v/>
      </c>
      <c r="V11" s="140" t="str">
        <f t="shared" ref="V11:V74" si="10">IF(COUNT(U3,U11)=2,U11-U3,"x")</f>
        <v>x</v>
      </c>
      <c r="W11" s="143">
        <f t="shared" ref="W11:W74" si="11">IF(COUNT(V11,W10)=2,V11+W10,W10)</f>
        <v>0</v>
      </c>
      <c r="X11" s="141" t="str">
        <f>IF(COUNT(ngay01!$O$48)&gt;0,ngay01!$O$48,"")</f>
        <v/>
      </c>
      <c r="Y11" s="144" t="str">
        <f t="shared" ref="Y11:Y74" si="12">IF(COUNT(X3,X11)=2,X11-X3,"x")</f>
        <v>x</v>
      </c>
      <c r="Z11" s="142">
        <f t="shared" ref="Z11:Z74" si="13">IF(COUNT(Y11,Z10)=2,Y11+Z10,Z10)</f>
        <v>0</v>
      </c>
      <c r="AA11" s="140"/>
      <c r="AB11" s="141" t="str">
        <f>IF(COUNT(ngay01!$D$21)&gt;0,ngay01!$D$21,"")</f>
        <v/>
      </c>
      <c r="AC11" s="140" t="str">
        <f t="shared" ref="AC11:AC74" si="14">IF(COUNT(AB3,AB11)=2,AB11-AB3,"x")</f>
        <v>x</v>
      </c>
      <c r="AD11" s="143">
        <f t="shared" ref="AD11:AD74" si="15">IF(COUNT(AC11,AD10)=2,AC11+AD10,AD10)</f>
        <v>0</v>
      </c>
      <c r="AE11" s="147"/>
      <c r="AF11" s="147"/>
    </row>
    <row r="12" spans="1:32">
      <c r="A12" s="40"/>
      <c r="B12" s="48">
        <v>4</v>
      </c>
      <c r="C12" s="37" t="str">
        <f>IF(COUNT(ngay01!$P$31)&gt;0,ngay01!$P$31,"")</f>
        <v/>
      </c>
      <c r="D12" s="137" t="str">
        <f t="shared" si="0"/>
        <v>x</v>
      </c>
      <c r="E12" s="49">
        <f t="shared" si="1"/>
        <v>0</v>
      </c>
      <c r="F12" s="34"/>
      <c r="G12" s="37" t="str">
        <f>IF(COUNT(ngay01!$E$4)&gt;0,ngay01!$E$4,"")</f>
        <v/>
      </c>
      <c r="H12" s="34" t="str">
        <f t="shared" si="2"/>
        <v>x</v>
      </c>
      <c r="I12" s="38">
        <f t="shared" si="3"/>
        <v>0</v>
      </c>
      <c r="J12" s="37" t="str">
        <f>IF(COUNT(ngay01!$P$33)&gt;0,ngay01!$P$33,"")</f>
        <v/>
      </c>
      <c r="K12" s="137" t="str">
        <f t="shared" si="4"/>
        <v>x</v>
      </c>
      <c r="L12" s="49">
        <f t="shared" si="5"/>
        <v>0</v>
      </c>
      <c r="M12" s="34"/>
      <c r="N12" s="37" t="str">
        <f>IF(COUNT(ngay01!$E$6)&gt;0,ngay01!$E$6,"")</f>
        <v/>
      </c>
      <c r="O12" s="34" t="str">
        <f t="shared" si="6"/>
        <v>x</v>
      </c>
      <c r="P12" s="38">
        <f t="shared" si="7"/>
        <v>0</v>
      </c>
      <c r="Q12" s="37" t="str">
        <f>IF(COUNT(ngay01!$P$39)&gt;0,ngay01!$P$39,"")</f>
        <v/>
      </c>
      <c r="R12" s="137" t="str">
        <f t="shared" si="8"/>
        <v>x</v>
      </c>
      <c r="S12" s="49">
        <f t="shared" si="9"/>
        <v>0</v>
      </c>
      <c r="T12" s="34"/>
      <c r="U12" s="37" t="str">
        <f>IF(COUNT(ngay01!$E$12)&gt;0,ngay01!$E$12,"")</f>
        <v/>
      </c>
      <c r="V12" s="34" t="str">
        <f t="shared" si="10"/>
        <v>x</v>
      </c>
      <c r="W12" s="38">
        <f t="shared" si="11"/>
        <v>0</v>
      </c>
      <c r="X12" s="37" t="str">
        <f>IF(COUNT(ngay01!$P$48)&gt;0,ngay01!$P$48,"")</f>
        <v/>
      </c>
      <c r="Y12" s="137" t="str">
        <f t="shared" si="12"/>
        <v>x</v>
      </c>
      <c r="Z12" s="49">
        <f t="shared" si="13"/>
        <v>0</v>
      </c>
      <c r="AA12" s="34"/>
      <c r="AB12" s="37" t="str">
        <f>IF(COUNT(ngay01!$E$21)&gt;0,ngay01!$E$21,"")</f>
        <v/>
      </c>
      <c r="AC12" s="34" t="str">
        <f t="shared" si="14"/>
        <v>x</v>
      </c>
      <c r="AD12" s="38">
        <f t="shared" si="15"/>
        <v>0</v>
      </c>
    </row>
    <row r="13" spans="1:32">
      <c r="A13" s="40"/>
      <c r="B13" s="139">
        <v>7</v>
      </c>
      <c r="C13" s="37" t="str">
        <f>IF(COUNT(ngay01!$Q$31)&gt;0,ngay01!$Q$31,"")</f>
        <v/>
      </c>
      <c r="D13" s="137" t="str">
        <f t="shared" si="0"/>
        <v>x</v>
      </c>
      <c r="E13" s="49">
        <f t="shared" si="1"/>
        <v>0</v>
      </c>
      <c r="F13" s="34"/>
      <c r="G13" s="37" t="str">
        <f>IF(COUNT(ngay01!$F$4)&gt;0,ngay01!$F$4,"")</f>
        <v/>
      </c>
      <c r="H13" s="34" t="str">
        <f t="shared" si="2"/>
        <v>x</v>
      </c>
      <c r="I13" s="38">
        <f t="shared" si="3"/>
        <v>0</v>
      </c>
      <c r="J13" s="37" t="str">
        <f>IF(COUNT(ngay01!$Q$33)&gt;0,ngay01!$Q$33,"")</f>
        <v/>
      </c>
      <c r="K13" s="137" t="str">
        <f t="shared" si="4"/>
        <v>x</v>
      </c>
      <c r="L13" s="49">
        <f t="shared" si="5"/>
        <v>0</v>
      </c>
      <c r="M13" s="34"/>
      <c r="N13" s="37" t="str">
        <f>IF(COUNT(ngay01!$F$6)&gt;0,ngay01!$F$6,"")</f>
        <v/>
      </c>
      <c r="O13" s="34" t="str">
        <f t="shared" si="6"/>
        <v>x</v>
      </c>
      <c r="P13" s="38">
        <f t="shared" si="7"/>
        <v>0</v>
      </c>
      <c r="Q13" s="37" t="str">
        <f>IF(COUNT(ngay01!$Q$39)&gt;0,ngay01!$Q$39,"")</f>
        <v/>
      </c>
      <c r="R13" s="137" t="str">
        <f t="shared" si="8"/>
        <v>x</v>
      </c>
      <c r="S13" s="49">
        <f t="shared" si="9"/>
        <v>0</v>
      </c>
      <c r="T13" s="34"/>
      <c r="U13" s="37" t="str">
        <f>IF(COUNT(ngay01!$F$12)&gt;0,ngay01!$F$12,"")</f>
        <v/>
      </c>
      <c r="V13" s="34" t="str">
        <f t="shared" si="10"/>
        <v>x</v>
      </c>
      <c r="W13" s="38">
        <f t="shared" si="11"/>
        <v>0</v>
      </c>
      <c r="X13" s="37" t="str">
        <f>IF(COUNT(ngay01!$Q$48)&gt;0,ngay01!$Q$48,"")</f>
        <v/>
      </c>
      <c r="Y13" s="137" t="str">
        <f t="shared" si="12"/>
        <v>x</v>
      </c>
      <c r="Z13" s="49">
        <f t="shared" si="13"/>
        <v>0</v>
      </c>
      <c r="AA13" s="34"/>
      <c r="AB13" s="37" t="str">
        <f>IF(COUNT(ngay01!$F$21)&gt;0,ngay01!$F$21,"")</f>
        <v/>
      </c>
      <c r="AC13" s="34" t="str">
        <f t="shared" si="14"/>
        <v>x</v>
      </c>
      <c r="AD13" s="38">
        <f t="shared" si="15"/>
        <v>0</v>
      </c>
    </row>
    <row r="14" spans="1:32">
      <c r="A14" s="40"/>
      <c r="B14" s="48">
        <v>10</v>
      </c>
      <c r="C14" s="37" t="str">
        <f>IF(COUNT(ngay01!$R$31)&gt;0,ngay01!$R$31,"")</f>
        <v/>
      </c>
      <c r="D14" s="137" t="str">
        <f t="shared" si="0"/>
        <v>x</v>
      </c>
      <c r="E14" s="49">
        <f t="shared" si="1"/>
        <v>0</v>
      </c>
      <c r="F14" s="34"/>
      <c r="G14" s="37" t="str">
        <f>IF(COUNT(ngay01!$G$4)&gt;0,ngay01!$G$4,"")</f>
        <v/>
      </c>
      <c r="H14" s="34" t="str">
        <f t="shared" si="2"/>
        <v>x</v>
      </c>
      <c r="I14" s="38">
        <f t="shared" si="3"/>
        <v>0</v>
      </c>
      <c r="J14" s="37" t="str">
        <f>IF(COUNT(ngay01!$R$33)&gt;0,ngay01!$R$33,"")</f>
        <v/>
      </c>
      <c r="K14" s="137" t="str">
        <f t="shared" si="4"/>
        <v>x</v>
      </c>
      <c r="L14" s="49">
        <f t="shared" si="5"/>
        <v>0</v>
      </c>
      <c r="M14" s="34"/>
      <c r="N14" s="37" t="str">
        <f>IF(COUNT(ngay01!$G$6)&gt;0,ngay01!$G$6,"")</f>
        <v/>
      </c>
      <c r="O14" s="34" t="str">
        <f t="shared" si="6"/>
        <v>x</v>
      </c>
      <c r="P14" s="38">
        <f t="shared" si="7"/>
        <v>0</v>
      </c>
      <c r="Q14" s="37" t="str">
        <f>IF(COUNT(ngay01!$R$39)&gt;0,ngay01!$R$39,"")</f>
        <v/>
      </c>
      <c r="R14" s="137" t="str">
        <f t="shared" si="8"/>
        <v>x</v>
      </c>
      <c r="S14" s="49">
        <f t="shared" si="9"/>
        <v>0</v>
      </c>
      <c r="T14" s="34"/>
      <c r="U14" s="37" t="str">
        <f>IF(COUNT(ngay01!$G$12)&gt;0,ngay01!$G$12,"")</f>
        <v/>
      </c>
      <c r="V14" s="34" t="str">
        <f t="shared" si="10"/>
        <v>x</v>
      </c>
      <c r="W14" s="38">
        <f t="shared" si="11"/>
        <v>0</v>
      </c>
      <c r="X14" s="37" t="str">
        <f>IF(COUNT(ngay01!$R$48)&gt;0,ngay01!$R$48,"")</f>
        <v/>
      </c>
      <c r="Y14" s="137" t="str">
        <f t="shared" si="12"/>
        <v>x</v>
      </c>
      <c r="Z14" s="49">
        <f t="shared" si="13"/>
        <v>0</v>
      </c>
      <c r="AA14" s="34"/>
      <c r="AB14" s="37" t="str">
        <f>IF(COUNT(ngay01!$G$21)&gt;0,ngay01!$G$21,"")</f>
        <v/>
      </c>
      <c r="AC14" s="34" t="str">
        <f t="shared" si="14"/>
        <v>x</v>
      </c>
      <c r="AD14" s="38">
        <f t="shared" si="15"/>
        <v>0</v>
      </c>
    </row>
    <row r="15" spans="1:32">
      <c r="A15" s="40"/>
      <c r="B15" s="48">
        <v>13</v>
      </c>
      <c r="C15" s="37" t="str">
        <f>IF(COUNT(ngay01!$S$31)&gt;0,ngay01!$S$31,"")</f>
        <v/>
      </c>
      <c r="D15" s="137" t="str">
        <f t="shared" si="0"/>
        <v>x</v>
      </c>
      <c r="E15" s="49">
        <f t="shared" si="1"/>
        <v>0</v>
      </c>
      <c r="F15" s="34"/>
      <c r="G15" s="37" t="str">
        <f>IF(COUNT(ngay01!$H$4)&gt;0,ngay01!$H$4,"")</f>
        <v/>
      </c>
      <c r="H15" s="34" t="str">
        <f t="shared" si="2"/>
        <v>x</v>
      </c>
      <c r="I15" s="38">
        <f t="shared" si="3"/>
        <v>0</v>
      </c>
      <c r="J15" s="37" t="str">
        <f>IF(COUNT(ngay01!$S$33)&gt;0,ngay01!$S$33,"")</f>
        <v/>
      </c>
      <c r="K15" s="137" t="str">
        <f t="shared" si="4"/>
        <v>x</v>
      </c>
      <c r="L15" s="49">
        <f t="shared" si="5"/>
        <v>0</v>
      </c>
      <c r="M15" s="34"/>
      <c r="N15" s="37" t="str">
        <f>IF(COUNT(ngay01!$H$6)&gt;0,ngay01!$H$6,"")</f>
        <v/>
      </c>
      <c r="O15" s="34" t="str">
        <f t="shared" si="6"/>
        <v>x</v>
      </c>
      <c r="P15" s="38">
        <f t="shared" si="7"/>
        <v>0</v>
      </c>
      <c r="Q15" s="37" t="str">
        <f>IF(COUNT(ngay01!$S$39)&gt;0,ngay01!$S$39,"")</f>
        <v/>
      </c>
      <c r="R15" s="137" t="str">
        <f t="shared" si="8"/>
        <v>x</v>
      </c>
      <c r="S15" s="49">
        <f t="shared" si="9"/>
        <v>0</v>
      </c>
      <c r="T15" s="34"/>
      <c r="U15" s="37" t="str">
        <f>IF(COUNT(ngay01!$H$12)&gt;0,ngay01!$H$12,"")</f>
        <v/>
      </c>
      <c r="V15" s="34" t="str">
        <f t="shared" si="10"/>
        <v>x</v>
      </c>
      <c r="W15" s="38">
        <f t="shared" si="11"/>
        <v>0</v>
      </c>
      <c r="X15" s="37" t="str">
        <f>IF(COUNT(ngay01!$S$48)&gt;0,ngay01!$S$48,"")</f>
        <v/>
      </c>
      <c r="Y15" s="137" t="str">
        <f t="shared" si="12"/>
        <v>x</v>
      </c>
      <c r="Z15" s="49">
        <f t="shared" si="13"/>
        <v>0</v>
      </c>
      <c r="AA15" s="34"/>
      <c r="AB15" s="37" t="str">
        <f>IF(COUNT(ngay01!$H$21)&gt;0,ngay01!$H$21,"")</f>
        <v/>
      </c>
      <c r="AC15" s="34" t="str">
        <f t="shared" si="14"/>
        <v>x</v>
      </c>
      <c r="AD15" s="38">
        <f t="shared" si="15"/>
        <v>0</v>
      </c>
    </row>
    <row r="16" spans="1:32">
      <c r="A16" s="40"/>
      <c r="B16" s="48">
        <v>16</v>
      </c>
      <c r="C16" s="37" t="str">
        <f>IF(COUNT(ngay01!$T$31)&gt;0,ngay01!$T$31,"")</f>
        <v/>
      </c>
      <c r="D16" s="137" t="str">
        <f t="shared" si="0"/>
        <v>x</v>
      </c>
      <c r="E16" s="49">
        <f t="shared" si="1"/>
        <v>0</v>
      </c>
      <c r="F16" s="34"/>
      <c r="G16" s="37" t="str">
        <f>IF(COUNT(ngay01!$I$4)&gt;0,ngay01!$I$4,"")</f>
        <v/>
      </c>
      <c r="H16" s="34" t="str">
        <f t="shared" si="2"/>
        <v>x</v>
      </c>
      <c r="I16" s="38">
        <f t="shared" si="3"/>
        <v>0</v>
      </c>
      <c r="J16" s="37" t="str">
        <f>IF(COUNT(ngay01!$T$33)&gt;0,ngay01!$T$33,"")</f>
        <v/>
      </c>
      <c r="K16" s="137" t="str">
        <f t="shared" si="4"/>
        <v>x</v>
      </c>
      <c r="L16" s="49">
        <f t="shared" si="5"/>
        <v>0</v>
      </c>
      <c r="M16" s="34"/>
      <c r="N16" s="37" t="str">
        <f>IF(COUNT(ngay01!$I$6)&gt;0,ngay01!$I$6,"")</f>
        <v/>
      </c>
      <c r="O16" s="34" t="str">
        <f t="shared" si="6"/>
        <v>x</v>
      </c>
      <c r="P16" s="38">
        <f t="shared" si="7"/>
        <v>0</v>
      </c>
      <c r="Q16" s="37" t="str">
        <f>IF(COUNT(ngay01!$T$39)&gt;0,ngay01!$T$39,"")</f>
        <v/>
      </c>
      <c r="R16" s="137" t="str">
        <f t="shared" si="8"/>
        <v>x</v>
      </c>
      <c r="S16" s="49">
        <f t="shared" si="9"/>
        <v>0</v>
      </c>
      <c r="T16" s="34"/>
      <c r="U16" s="37" t="str">
        <f>IF(COUNT(ngay01!$I$12)&gt;0,ngay01!$I$12,"")</f>
        <v/>
      </c>
      <c r="V16" s="34" t="str">
        <f t="shared" si="10"/>
        <v>x</v>
      </c>
      <c r="W16" s="38">
        <f t="shared" si="11"/>
        <v>0</v>
      </c>
      <c r="X16" s="37" t="str">
        <f>IF(COUNT(ngay01!$T$48)&gt;0,ngay01!$T$48,"")</f>
        <v/>
      </c>
      <c r="Y16" s="137" t="str">
        <f t="shared" si="12"/>
        <v>x</v>
      </c>
      <c r="Z16" s="49">
        <f t="shared" si="13"/>
        <v>0</v>
      </c>
      <c r="AA16" s="34"/>
      <c r="AB16" s="37" t="str">
        <f>IF(COUNT(ngay01!$I$21)&gt;0,ngay01!$I$21,"")</f>
        <v/>
      </c>
      <c r="AC16" s="34" t="str">
        <f t="shared" si="14"/>
        <v>x</v>
      </c>
      <c r="AD16" s="38">
        <f t="shared" si="15"/>
        <v>0</v>
      </c>
    </row>
    <row r="17" spans="1:32">
      <c r="A17" s="40"/>
      <c r="B17" s="48">
        <v>19</v>
      </c>
      <c r="C17" s="37" t="str">
        <f>IF(COUNT(ngay01!$U$31)&gt;0,ngay01!$U$31,"")</f>
        <v/>
      </c>
      <c r="D17" s="137" t="str">
        <f t="shared" si="0"/>
        <v>x</v>
      </c>
      <c r="E17" s="49">
        <f t="shared" si="1"/>
        <v>0</v>
      </c>
      <c r="F17" s="34"/>
      <c r="G17" s="37" t="str">
        <f>IF(COUNT(ngay01!$J$4)&gt;0,ngay01!$J$4,"")</f>
        <v/>
      </c>
      <c r="H17" s="34" t="str">
        <f t="shared" si="2"/>
        <v>x</v>
      </c>
      <c r="I17" s="38">
        <f t="shared" si="3"/>
        <v>0</v>
      </c>
      <c r="J17" s="37" t="str">
        <f>IF(COUNT(ngay01!$U$33)&gt;0,ngay01!$U$33,"")</f>
        <v/>
      </c>
      <c r="K17" s="137" t="str">
        <f t="shared" si="4"/>
        <v>x</v>
      </c>
      <c r="L17" s="49">
        <f t="shared" si="5"/>
        <v>0</v>
      </c>
      <c r="M17" s="34"/>
      <c r="N17" s="37" t="str">
        <f>IF(COUNT(ngay01!$J$6)&gt;0,ngay01!$J$6,"")</f>
        <v/>
      </c>
      <c r="O17" s="34" t="str">
        <f t="shared" si="6"/>
        <v>x</v>
      </c>
      <c r="P17" s="38">
        <f t="shared" si="7"/>
        <v>0</v>
      </c>
      <c r="Q17" s="37" t="str">
        <f>IF(COUNT(ngay01!$U$39)&gt;0,ngay01!$U$39,"")</f>
        <v/>
      </c>
      <c r="R17" s="137" t="str">
        <f t="shared" si="8"/>
        <v>x</v>
      </c>
      <c r="S17" s="49">
        <f t="shared" si="9"/>
        <v>0</v>
      </c>
      <c r="T17" s="34"/>
      <c r="U17" s="37" t="str">
        <f>IF(COUNT(ngay01!$J$12)&gt;0,ngay01!$J$12,"")</f>
        <v/>
      </c>
      <c r="V17" s="34" t="str">
        <f t="shared" si="10"/>
        <v>x</v>
      </c>
      <c r="W17" s="38">
        <f t="shared" si="11"/>
        <v>0</v>
      </c>
      <c r="X17" s="37" t="str">
        <f>IF(COUNT(ngay01!$U$48)&gt;0,ngay01!$U$48,"")</f>
        <v/>
      </c>
      <c r="Y17" s="137" t="str">
        <f t="shared" si="12"/>
        <v>x</v>
      </c>
      <c r="Z17" s="49">
        <f t="shared" si="13"/>
        <v>0</v>
      </c>
      <c r="AA17" s="34"/>
      <c r="AB17" s="37" t="str">
        <f>IF(COUNT(ngay01!$J$21)&gt;0,ngay01!$J$21,"")</f>
        <v/>
      </c>
      <c r="AC17" s="34" t="str">
        <f t="shared" si="14"/>
        <v>x</v>
      </c>
      <c r="AD17" s="38">
        <f t="shared" si="15"/>
        <v>0</v>
      </c>
    </row>
    <row r="18" spans="1:32">
      <c r="A18" s="40"/>
      <c r="B18" s="48">
        <v>22</v>
      </c>
      <c r="C18" s="37" t="str">
        <f>IF(COUNT(ngay02!$O$31)&gt;0,ngay02!$O$31,"")</f>
        <v/>
      </c>
      <c r="D18" s="137" t="str">
        <f t="shared" si="0"/>
        <v>x</v>
      </c>
      <c r="E18" s="49">
        <f t="shared" si="1"/>
        <v>0</v>
      </c>
      <c r="F18" s="34"/>
      <c r="G18" s="37" t="str">
        <f>IF(COUNT(ngay02!$C$4)&gt;0,ngay02!$C$4,"")</f>
        <v/>
      </c>
      <c r="H18" s="34" t="str">
        <f t="shared" si="2"/>
        <v>x</v>
      </c>
      <c r="I18" s="38">
        <f t="shared" si="3"/>
        <v>0</v>
      </c>
      <c r="J18" s="37" t="str">
        <f>IF(COUNT(ngay02!$O$33)&gt;0,ngay02!$O$33,"")</f>
        <v/>
      </c>
      <c r="K18" s="137" t="str">
        <f t="shared" si="4"/>
        <v>x</v>
      </c>
      <c r="L18" s="49">
        <f t="shared" si="5"/>
        <v>0</v>
      </c>
      <c r="M18" s="34"/>
      <c r="N18" s="37" t="str">
        <f>IF(COUNT(ngay02!$C$6)&gt;0,ngay02!$C$6,"")</f>
        <v/>
      </c>
      <c r="O18" s="34" t="str">
        <f t="shared" si="6"/>
        <v>x</v>
      </c>
      <c r="P18" s="38">
        <f t="shared" si="7"/>
        <v>0</v>
      </c>
      <c r="Q18" s="37" t="str">
        <f>IF(COUNT(ngay02!$O$39)&gt;0,ngay02!$O$39,"")</f>
        <v/>
      </c>
      <c r="R18" s="137" t="str">
        <f t="shared" si="8"/>
        <v>x</v>
      </c>
      <c r="S18" s="49">
        <f t="shared" si="9"/>
        <v>0</v>
      </c>
      <c r="T18" s="34"/>
      <c r="U18" s="37" t="str">
        <f>IF(COUNT(ngay02!$C$12)&gt;0,ngay02!$C$12,"")</f>
        <v/>
      </c>
      <c r="V18" s="34" t="str">
        <f t="shared" si="10"/>
        <v>x</v>
      </c>
      <c r="W18" s="38">
        <f t="shared" si="11"/>
        <v>0</v>
      </c>
      <c r="X18" s="37" t="str">
        <f>IF(COUNT(ngay02!$O$48)&gt;0,ngay02!$O$48,"")</f>
        <v/>
      </c>
      <c r="Y18" s="137" t="str">
        <f t="shared" si="12"/>
        <v>x</v>
      </c>
      <c r="Z18" s="49">
        <f t="shared" si="13"/>
        <v>0</v>
      </c>
      <c r="AA18" s="34"/>
      <c r="AB18" s="37" t="str">
        <f>IF(COUNT(ngay02!$C$21)&gt;0,ngay02!$C$21,"")</f>
        <v/>
      </c>
      <c r="AC18" s="34" t="str">
        <f t="shared" si="14"/>
        <v>x</v>
      </c>
      <c r="AD18" s="38">
        <f t="shared" si="15"/>
        <v>0</v>
      </c>
    </row>
    <row r="19" spans="1:32" s="145" customFormat="1">
      <c r="A19" s="138">
        <v>2</v>
      </c>
      <c r="B19" s="48">
        <v>1</v>
      </c>
      <c r="C19" s="141" t="str">
        <f>IF(COUNT(ngay02!$P$31)&gt;0,ngay02!$P$31,"")</f>
        <v/>
      </c>
      <c r="D19" s="144" t="str">
        <f t="shared" si="0"/>
        <v>x</v>
      </c>
      <c r="E19" s="142">
        <f t="shared" si="1"/>
        <v>0</v>
      </c>
      <c r="F19" s="140"/>
      <c r="G19" s="141" t="str">
        <f>IF(COUNT(ngay02!$D$4)&gt;0,ngay02!$D$4,"")</f>
        <v/>
      </c>
      <c r="H19" s="140" t="str">
        <f t="shared" si="2"/>
        <v>x</v>
      </c>
      <c r="I19" s="143">
        <f t="shared" si="3"/>
        <v>0</v>
      </c>
      <c r="J19" s="141" t="str">
        <f>IF(COUNT(ngay02!$P$33)&gt;0,ngay02!$P$33,"")</f>
        <v/>
      </c>
      <c r="K19" s="144" t="str">
        <f t="shared" si="4"/>
        <v>x</v>
      </c>
      <c r="L19" s="142">
        <f t="shared" si="5"/>
        <v>0</v>
      </c>
      <c r="M19" s="140"/>
      <c r="N19" s="141" t="str">
        <f>IF(COUNT(ngay02!$D$6)&gt;0,ngay02!$D$6,"")</f>
        <v/>
      </c>
      <c r="O19" s="140" t="str">
        <f t="shared" si="6"/>
        <v>x</v>
      </c>
      <c r="P19" s="143">
        <f t="shared" si="7"/>
        <v>0</v>
      </c>
      <c r="Q19" s="141" t="str">
        <f>IF(COUNT(ngay02!$P$39)&gt;0,ngay02!$P$39,"")</f>
        <v/>
      </c>
      <c r="R19" s="144" t="str">
        <f t="shared" si="8"/>
        <v>x</v>
      </c>
      <c r="S19" s="142">
        <f t="shared" si="9"/>
        <v>0</v>
      </c>
      <c r="T19" s="140"/>
      <c r="U19" s="141" t="str">
        <f>IF(COUNT(ngay02!$D$12)&gt;0,ngay02!$D$12,"")</f>
        <v/>
      </c>
      <c r="V19" s="140" t="str">
        <f t="shared" si="10"/>
        <v>x</v>
      </c>
      <c r="W19" s="143">
        <f t="shared" si="11"/>
        <v>0</v>
      </c>
      <c r="X19" s="141" t="str">
        <f>IF(COUNT(ngay02!$P$48)&gt;0,ngay02!$P$48,"")</f>
        <v/>
      </c>
      <c r="Y19" s="144" t="str">
        <f t="shared" si="12"/>
        <v>x</v>
      </c>
      <c r="Z19" s="142">
        <f t="shared" si="13"/>
        <v>0</v>
      </c>
      <c r="AA19" s="140"/>
      <c r="AB19" s="141" t="str">
        <f>IF(COUNT(ngay02!$D$21)&gt;0,ngay02!$D$21,"")</f>
        <v/>
      </c>
      <c r="AC19" s="140" t="str">
        <f t="shared" si="14"/>
        <v>x</v>
      </c>
      <c r="AD19" s="143">
        <f t="shared" si="15"/>
        <v>0</v>
      </c>
      <c r="AE19" s="147"/>
      <c r="AF19" s="147"/>
    </row>
    <row r="20" spans="1:32">
      <c r="A20" s="41"/>
      <c r="B20" s="48">
        <v>4</v>
      </c>
      <c r="C20" s="37" t="str">
        <f>IF(COUNT(ngay02!$Q$31)&gt;0,ngay02!$Q$31,"")</f>
        <v/>
      </c>
      <c r="D20" s="137" t="str">
        <f t="shared" si="0"/>
        <v>x</v>
      </c>
      <c r="E20" s="49">
        <f t="shared" si="1"/>
        <v>0</v>
      </c>
      <c r="F20" s="34"/>
      <c r="G20" s="37" t="str">
        <f>IF(COUNT(ngay02!$E$4)&gt;0,ngay02!$E$4,"")</f>
        <v/>
      </c>
      <c r="H20" s="34" t="str">
        <f t="shared" si="2"/>
        <v>x</v>
      </c>
      <c r="I20" s="38">
        <f t="shared" si="3"/>
        <v>0</v>
      </c>
      <c r="J20" s="37" t="str">
        <f>IF(COUNT(ngay02!$Q$33)&gt;0,ngay02!$Q$33,"")</f>
        <v/>
      </c>
      <c r="K20" s="137" t="str">
        <f t="shared" si="4"/>
        <v>x</v>
      </c>
      <c r="L20" s="49">
        <f t="shared" si="5"/>
        <v>0</v>
      </c>
      <c r="M20" s="34"/>
      <c r="N20" s="37" t="str">
        <f>IF(COUNT(ngay02!$E$6)&gt;0,ngay02!$E$6,"")</f>
        <v/>
      </c>
      <c r="O20" s="34" t="str">
        <f t="shared" si="6"/>
        <v>x</v>
      </c>
      <c r="P20" s="38">
        <f t="shared" si="7"/>
        <v>0</v>
      </c>
      <c r="Q20" s="37" t="str">
        <f>IF(COUNT(ngay02!$Q$39)&gt;0,ngay02!$Q$39,"")</f>
        <v/>
      </c>
      <c r="R20" s="137" t="str">
        <f t="shared" si="8"/>
        <v>x</v>
      </c>
      <c r="S20" s="49">
        <f t="shared" si="9"/>
        <v>0</v>
      </c>
      <c r="T20" s="34"/>
      <c r="U20" s="37" t="str">
        <f>IF(COUNT(ngay02!$E$12)&gt;0,ngay02!$E$12,"")</f>
        <v/>
      </c>
      <c r="V20" s="34" t="str">
        <f t="shared" si="10"/>
        <v>x</v>
      </c>
      <c r="W20" s="38">
        <f t="shared" si="11"/>
        <v>0</v>
      </c>
      <c r="X20" s="37" t="str">
        <f>IF(COUNT(ngay02!$Q$48)&gt;0,ngay02!$Q$48,"")</f>
        <v/>
      </c>
      <c r="Y20" s="137" t="str">
        <f t="shared" si="12"/>
        <v>x</v>
      </c>
      <c r="Z20" s="49">
        <f t="shared" si="13"/>
        <v>0</v>
      </c>
      <c r="AA20" s="34"/>
      <c r="AB20" s="37" t="str">
        <f>IF(COUNT(ngay02!$E$21)&gt;0,ngay02!$E$21,"")</f>
        <v/>
      </c>
      <c r="AC20" s="34" t="str">
        <f t="shared" si="14"/>
        <v>x</v>
      </c>
      <c r="AD20" s="38">
        <f t="shared" si="15"/>
        <v>0</v>
      </c>
    </row>
    <row r="21" spans="1:32">
      <c r="A21" s="41"/>
      <c r="B21" s="139">
        <v>7</v>
      </c>
      <c r="C21" s="37" t="str">
        <f>IF(COUNT(ngay02!$R$31)&gt;0,ngay02!$R$31,"")</f>
        <v/>
      </c>
      <c r="D21" s="137" t="str">
        <f t="shared" si="0"/>
        <v>x</v>
      </c>
      <c r="E21" s="49">
        <f t="shared" si="1"/>
        <v>0</v>
      </c>
      <c r="F21" s="34"/>
      <c r="G21" s="37" t="str">
        <f>IF(COUNT(ngay02!$F$4)&gt;0,ngay02!$F$4,"")</f>
        <v/>
      </c>
      <c r="H21" s="34" t="str">
        <f t="shared" si="2"/>
        <v>x</v>
      </c>
      <c r="I21" s="38">
        <f t="shared" si="3"/>
        <v>0</v>
      </c>
      <c r="J21" s="37" t="str">
        <f>IF(COUNT(ngay02!$R$33)&gt;0,ngay02!$R$33,"")</f>
        <v/>
      </c>
      <c r="K21" s="137" t="str">
        <f t="shared" si="4"/>
        <v>x</v>
      </c>
      <c r="L21" s="49">
        <f t="shared" si="5"/>
        <v>0</v>
      </c>
      <c r="M21" s="34"/>
      <c r="N21" s="37" t="str">
        <f>IF(COUNT(ngay02!$F$6)&gt;0,ngay02!$F$6,"")</f>
        <v/>
      </c>
      <c r="O21" s="34" t="str">
        <f t="shared" si="6"/>
        <v>x</v>
      </c>
      <c r="P21" s="38">
        <f t="shared" si="7"/>
        <v>0</v>
      </c>
      <c r="Q21" s="37" t="str">
        <f>IF(COUNT(ngay02!$R$39)&gt;0,ngay02!$R$39,"")</f>
        <v/>
      </c>
      <c r="R21" s="137" t="str">
        <f t="shared" si="8"/>
        <v>x</v>
      </c>
      <c r="S21" s="49">
        <f t="shared" si="9"/>
        <v>0</v>
      </c>
      <c r="T21" s="34"/>
      <c r="U21" s="37" t="str">
        <f>IF(COUNT(ngay02!$F$12)&gt;0,ngay02!$F$12,"")</f>
        <v/>
      </c>
      <c r="V21" s="34" t="str">
        <f t="shared" si="10"/>
        <v>x</v>
      </c>
      <c r="W21" s="38">
        <f t="shared" si="11"/>
        <v>0</v>
      </c>
      <c r="X21" s="37" t="str">
        <f>IF(COUNT(ngay02!$R$48)&gt;0,ngay02!$R$48,"")</f>
        <v/>
      </c>
      <c r="Y21" s="137" t="str">
        <f t="shared" si="12"/>
        <v>x</v>
      </c>
      <c r="Z21" s="49">
        <f t="shared" si="13"/>
        <v>0</v>
      </c>
      <c r="AA21" s="34"/>
      <c r="AB21" s="37" t="str">
        <f>IF(COUNT(ngay02!$F$21)&gt;0,ngay02!$F$21,"")</f>
        <v/>
      </c>
      <c r="AC21" s="34" t="str">
        <f t="shared" si="14"/>
        <v>x</v>
      </c>
      <c r="AD21" s="38">
        <f t="shared" si="15"/>
        <v>0</v>
      </c>
    </row>
    <row r="22" spans="1:32">
      <c r="A22" s="41"/>
      <c r="B22" s="48">
        <v>10</v>
      </c>
      <c r="C22" s="37" t="str">
        <f>IF(COUNT(ngay02!$S$31)&gt;0,ngay02!$S$31,"")</f>
        <v/>
      </c>
      <c r="D22" s="137" t="str">
        <f t="shared" si="0"/>
        <v>x</v>
      </c>
      <c r="E22" s="49">
        <f t="shared" si="1"/>
        <v>0</v>
      </c>
      <c r="F22" s="34"/>
      <c r="G22" s="37" t="str">
        <f>IF(COUNT(ngay02!$G$4)&gt;0,ngay02!$G$4,"")</f>
        <v/>
      </c>
      <c r="H22" s="34" t="str">
        <f t="shared" si="2"/>
        <v>x</v>
      </c>
      <c r="I22" s="38">
        <f t="shared" si="3"/>
        <v>0</v>
      </c>
      <c r="J22" s="37" t="str">
        <f>IF(COUNT(ngay02!$S$33)&gt;0,ngay02!$S$33,"")</f>
        <v/>
      </c>
      <c r="K22" s="137" t="str">
        <f t="shared" si="4"/>
        <v>x</v>
      </c>
      <c r="L22" s="49">
        <f t="shared" si="5"/>
        <v>0</v>
      </c>
      <c r="M22" s="34"/>
      <c r="N22" s="37" t="str">
        <f>IF(COUNT(ngay02!$G$6)&gt;0,ngay02!$G$6,"")</f>
        <v/>
      </c>
      <c r="O22" s="34" t="str">
        <f t="shared" si="6"/>
        <v>x</v>
      </c>
      <c r="P22" s="38">
        <f t="shared" si="7"/>
        <v>0</v>
      </c>
      <c r="Q22" s="37" t="str">
        <f>IF(COUNT(ngay02!$S$39)&gt;0,ngay02!$S$39,"")</f>
        <v/>
      </c>
      <c r="R22" s="137" t="str">
        <f t="shared" si="8"/>
        <v>x</v>
      </c>
      <c r="S22" s="49">
        <f t="shared" si="9"/>
        <v>0</v>
      </c>
      <c r="T22" s="34"/>
      <c r="U22" s="37" t="str">
        <f>IF(COUNT(ngay02!$G$12)&gt;0,ngay02!$G$12,"")</f>
        <v/>
      </c>
      <c r="V22" s="34" t="str">
        <f t="shared" si="10"/>
        <v>x</v>
      </c>
      <c r="W22" s="38">
        <f t="shared" si="11"/>
        <v>0</v>
      </c>
      <c r="X22" s="37" t="str">
        <f>IF(COUNT(ngay02!$S$48)&gt;0,ngay02!$S$48,"")</f>
        <v/>
      </c>
      <c r="Y22" s="137" t="str">
        <f t="shared" si="12"/>
        <v>x</v>
      </c>
      <c r="Z22" s="49">
        <f t="shared" si="13"/>
        <v>0</v>
      </c>
      <c r="AA22" s="34"/>
      <c r="AB22" s="37" t="str">
        <f>IF(COUNT(ngay02!$G$21)&gt;0,ngay02!$G$21,"")</f>
        <v/>
      </c>
      <c r="AC22" s="34" t="str">
        <f t="shared" si="14"/>
        <v>x</v>
      </c>
      <c r="AD22" s="38">
        <f t="shared" si="15"/>
        <v>0</v>
      </c>
    </row>
    <row r="23" spans="1:32">
      <c r="A23" s="41"/>
      <c r="B23" s="48">
        <v>13</v>
      </c>
      <c r="C23" s="37" t="str">
        <f>IF(COUNT(ngay02!$T$31)&gt;0,ngay02!$T$31,"")</f>
        <v/>
      </c>
      <c r="D23" s="137" t="str">
        <f t="shared" si="0"/>
        <v>x</v>
      </c>
      <c r="E23" s="49">
        <f t="shared" si="1"/>
        <v>0</v>
      </c>
      <c r="F23" s="34"/>
      <c r="G23" s="37" t="str">
        <f>IF(COUNT(ngay02!$H$4)&gt;0,ngay02!$H$4,"")</f>
        <v/>
      </c>
      <c r="H23" s="34" t="str">
        <f t="shared" si="2"/>
        <v>x</v>
      </c>
      <c r="I23" s="38">
        <f t="shared" si="3"/>
        <v>0</v>
      </c>
      <c r="J23" s="37" t="str">
        <f>IF(COUNT(ngay02!$T$33)&gt;0,ngay02!$T$33,"")</f>
        <v/>
      </c>
      <c r="K23" s="137" t="str">
        <f t="shared" si="4"/>
        <v>x</v>
      </c>
      <c r="L23" s="49">
        <f t="shared" si="5"/>
        <v>0</v>
      </c>
      <c r="M23" s="34"/>
      <c r="N23" s="37" t="str">
        <f>IF(COUNT(ngay02!$H$6)&gt;0,ngay02!$H$6,"")</f>
        <v/>
      </c>
      <c r="O23" s="34" t="str">
        <f t="shared" si="6"/>
        <v>x</v>
      </c>
      <c r="P23" s="38">
        <f t="shared" si="7"/>
        <v>0</v>
      </c>
      <c r="Q23" s="37" t="str">
        <f>IF(COUNT(ngay02!$T$39)&gt;0,ngay02!$T$39,"")</f>
        <v/>
      </c>
      <c r="R23" s="137" t="str">
        <f t="shared" si="8"/>
        <v>x</v>
      </c>
      <c r="S23" s="49">
        <f t="shared" si="9"/>
        <v>0</v>
      </c>
      <c r="T23" s="34"/>
      <c r="U23" s="37" t="str">
        <f>IF(COUNT(ngay02!$H$12)&gt;0,ngay02!$H$12,"")</f>
        <v/>
      </c>
      <c r="V23" s="34" t="str">
        <f t="shared" si="10"/>
        <v>x</v>
      </c>
      <c r="W23" s="38">
        <f t="shared" si="11"/>
        <v>0</v>
      </c>
      <c r="X23" s="37" t="str">
        <f>IF(COUNT(ngay02!$T$48)&gt;0,ngay02!$T$48,"")</f>
        <v/>
      </c>
      <c r="Y23" s="137" t="str">
        <f t="shared" si="12"/>
        <v>x</v>
      </c>
      <c r="Z23" s="49">
        <f t="shared" si="13"/>
        <v>0</v>
      </c>
      <c r="AA23" s="34"/>
      <c r="AB23" s="37" t="str">
        <f>IF(COUNT(ngay02!$H$21)&gt;0,ngay02!$H$21,"")</f>
        <v/>
      </c>
      <c r="AC23" s="34" t="str">
        <f t="shared" si="14"/>
        <v>x</v>
      </c>
      <c r="AD23" s="38">
        <f t="shared" si="15"/>
        <v>0</v>
      </c>
    </row>
    <row r="24" spans="1:32">
      <c r="A24" s="41"/>
      <c r="B24" s="48">
        <v>16</v>
      </c>
      <c r="C24" s="37" t="str">
        <f>IF(COUNT(ngay02!$U$31)&gt;0,ngay02!$U$31,"")</f>
        <v/>
      </c>
      <c r="D24" s="137" t="str">
        <f t="shared" si="0"/>
        <v>x</v>
      </c>
      <c r="E24" s="49">
        <f t="shared" si="1"/>
        <v>0</v>
      </c>
      <c r="F24" s="34"/>
      <c r="G24" s="37" t="str">
        <f>IF(COUNT(ngay02!$I$4)&gt;0,ngay02!$I$4,"")</f>
        <v/>
      </c>
      <c r="H24" s="34" t="str">
        <f t="shared" si="2"/>
        <v>x</v>
      </c>
      <c r="I24" s="38">
        <f t="shared" si="3"/>
        <v>0</v>
      </c>
      <c r="J24" s="37" t="str">
        <f>IF(COUNT(ngay02!$U$33)&gt;0,ngay02!$U$33,"")</f>
        <v/>
      </c>
      <c r="K24" s="137" t="str">
        <f t="shared" si="4"/>
        <v>x</v>
      </c>
      <c r="L24" s="49">
        <f t="shared" si="5"/>
        <v>0</v>
      </c>
      <c r="M24" s="34"/>
      <c r="N24" s="37" t="str">
        <f>IF(COUNT(ngay02!$I$6)&gt;0,ngay02!$I$6,"")</f>
        <v/>
      </c>
      <c r="O24" s="34" t="str">
        <f t="shared" si="6"/>
        <v>x</v>
      </c>
      <c r="P24" s="38">
        <f t="shared" si="7"/>
        <v>0</v>
      </c>
      <c r="Q24" s="37" t="str">
        <f>IF(COUNT(ngay02!$U$39)&gt;0,ngay02!$U$39,"")</f>
        <v/>
      </c>
      <c r="R24" s="137" t="str">
        <f t="shared" si="8"/>
        <v>x</v>
      </c>
      <c r="S24" s="49">
        <f t="shared" si="9"/>
        <v>0</v>
      </c>
      <c r="T24" s="34"/>
      <c r="U24" s="37" t="str">
        <f>IF(COUNT(ngay02!$I$12)&gt;0,ngay02!$I$12,"")</f>
        <v/>
      </c>
      <c r="V24" s="34" t="str">
        <f t="shared" si="10"/>
        <v>x</v>
      </c>
      <c r="W24" s="38">
        <f t="shared" si="11"/>
        <v>0</v>
      </c>
      <c r="X24" s="37" t="str">
        <f>IF(COUNT(ngay02!$U$48)&gt;0,ngay02!$U$48,"")</f>
        <v/>
      </c>
      <c r="Y24" s="137" t="str">
        <f t="shared" si="12"/>
        <v>x</v>
      </c>
      <c r="Z24" s="49">
        <f t="shared" si="13"/>
        <v>0</v>
      </c>
      <c r="AA24" s="34"/>
      <c r="AB24" s="37" t="str">
        <f>IF(COUNT(ngay02!$I$21)&gt;0,ngay02!$I$21,"")</f>
        <v/>
      </c>
      <c r="AC24" s="34" t="str">
        <f t="shared" si="14"/>
        <v>x</v>
      </c>
      <c r="AD24" s="38">
        <f t="shared" si="15"/>
        <v>0</v>
      </c>
    </row>
    <row r="25" spans="1:32">
      <c r="A25" s="41"/>
      <c r="B25" s="48">
        <v>19</v>
      </c>
      <c r="C25" s="37" t="str">
        <f>IF(COUNT(ngay02!$V$31)&gt;0,ngay02!$V$31,"")</f>
        <v/>
      </c>
      <c r="D25" s="137" t="str">
        <f t="shared" si="0"/>
        <v>x</v>
      </c>
      <c r="E25" s="49">
        <f t="shared" si="1"/>
        <v>0</v>
      </c>
      <c r="F25" s="34"/>
      <c r="G25" s="37" t="str">
        <f>IF(COUNT(ngay02!$J$4)&gt;0,ngay02!$J$4,"")</f>
        <v/>
      </c>
      <c r="H25" s="34" t="str">
        <f t="shared" si="2"/>
        <v>x</v>
      </c>
      <c r="I25" s="38">
        <f t="shared" si="3"/>
        <v>0</v>
      </c>
      <c r="J25" s="37" t="str">
        <f>IF(COUNT(ngay02!$V$33)&gt;0,ngay02!$V$33,"")</f>
        <v/>
      </c>
      <c r="K25" s="137" t="str">
        <f t="shared" si="4"/>
        <v>x</v>
      </c>
      <c r="L25" s="49">
        <f t="shared" si="5"/>
        <v>0</v>
      </c>
      <c r="M25" s="34"/>
      <c r="N25" s="37" t="str">
        <f>IF(COUNT(ngay02!$J$6)&gt;0,ngay02!$J$6,"")</f>
        <v/>
      </c>
      <c r="O25" s="34" t="str">
        <f t="shared" si="6"/>
        <v>x</v>
      </c>
      <c r="P25" s="38">
        <f t="shared" si="7"/>
        <v>0</v>
      </c>
      <c r="Q25" s="37" t="str">
        <f>IF(COUNT(ngay02!$V$39)&gt;0,ngay02!$V$39,"")</f>
        <v/>
      </c>
      <c r="R25" s="137" t="str">
        <f t="shared" si="8"/>
        <v>x</v>
      </c>
      <c r="S25" s="49">
        <f t="shared" si="9"/>
        <v>0</v>
      </c>
      <c r="T25" s="34"/>
      <c r="U25" s="37" t="str">
        <f>IF(COUNT(ngay02!$J$12)&gt;0,ngay02!$J$12,"")</f>
        <v/>
      </c>
      <c r="V25" s="34" t="str">
        <f t="shared" si="10"/>
        <v>x</v>
      </c>
      <c r="W25" s="38">
        <f t="shared" si="11"/>
        <v>0</v>
      </c>
      <c r="X25" s="37" t="str">
        <f>IF(COUNT(ngay02!$V$48)&gt;0,ngay02!$V$48,"")</f>
        <v/>
      </c>
      <c r="Y25" s="137" t="str">
        <f t="shared" si="12"/>
        <v>x</v>
      </c>
      <c r="Z25" s="49">
        <f t="shared" si="13"/>
        <v>0</v>
      </c>
      <c r="AA25" s="34"/>
      <c r="AB25" s="37" t="str">
        <f>IF(COUNT(ngay02!$J$21)&gt;0,ngay02!$J$21,"")</f>
        <v/>
      </c>
      <c r="AC25" s="34" t="str">
        <f t="shared" si="14"/>
        <v>x</v>
      </c>
      <c r="AD25" s="38">
        <f t="shared" si="15"/>
        <v>0</v>
      </c>
    </row>
    <row r="26" spans="1:32">
      <c r="A26" s="41"/>
      <c r="B26" s="48">
        <v>22</v>
      </c>
      <c r="C26" s="37" t="str">
        <f>IF(COUNT(ngay03!$O$31)&gt;0,ngay03!$O$31,"")</f>
        <v/>
      </c>
      <c r="D26" s="137" t="str">
        <f t="shared" si="0"/>
        <v>x</v>
      </c>
      <c r="E26" s="49">
        <f t="shared" si="1"/>
        <v>0</v>
      </c>
      <c r="F26" s="34"/>
      <c r="G26" s="37" t="str">
        <f>IF(COUNT(ngay03!$C$4)&gt;0,ngay03!$C$4,"")</f>
        <v/>
      </c>
      <c r="H26" s="34" t="str">
        <f t="shared" si="2"/>
        <v>x</v>
      </c>
      <c r="I26" s="38">
        <f t="shared" si="3"/>
        <v>0</v>
      </c>
      <c r="J26" s="37" t="str">
        <f>IF(COUNT(ngay03!$O$33)&gt;0,ngay03!$O$33,"")</f>
        <v/>
      </c>
      <c r="K26" s="137" t="str">
        <f t="shared" si="4"/>
        <v>x</v>
      </c>
      <c r="L26" s="49">
        <f t="shared" si="5"/>
        <v>0</v>
      </c>
      <c r="M26" s="34"/>
      <c r="N26" s="37" t="str">
        <f>IF(COUNT(ngay03!$C$6)&gt;0,ngay03!$C$6,"")</f>
        <v/>
      </c>
      <c r="O26" s="34" t="str">
        <f t="shared" si="6"/>
        <v>x</v>
      </c>
      <c r="P26" s="38">
        <f t="shared" si="7"/>
        <v>0</v>
      </c>
      <c r="Q26" s="37" t="str">
        <f>IF(COUNT(ngay03!$O$39)&gt;0,ngay03!$O$39,"")</f>
        <v/>
      </c>
      <c r="R26" s="137" t="str">
        <f t="shared" si="8"/>
        <v>x</v>
      </c>
      <c r="S26" s="49">
        <f t="shared" si="9"/>
        <v>0</v>
      </c>
      <c r="T26" s="34"/>
      <c r="U26" s="37" t="str">
        <f>IF(COUNT(ngay03!$C$12)&gt;0,ngay03!$C$12,"")</f>
        <v/>
      </c>
      <c r="V26" s="34" t="str">
        <f t="shared" si="10"/>
        <v>x</v>
      </c>
      <c r="W26" s="38">
        <f t="shared" si="11"/>
        <v>0</v>
      </c>
      <c r="X26" s="37" t="str">
        <f>IF(COUNT(ngay03!$O$48)&gt;0,ngay03!$O$48,"")</f>
        <v/>
      </c>
      <c r="Y26" s="137" t="str">
        <f t="shared" si="12"/>
        <v>x</v>
      </c>
      <c r="Z26" s="49">
        <f t="shared" si="13"/>
        <v>0</v>
      </c>
      <c r="AA26" s="34"/>
      <c r="AB26" s="37" t="str">
        <f>IF(COUNT(ngay03!$C$21)&gt;0,ngay03!$C$21,"")</f>
        <v/>
      </c>
      <c r="AC26" s="34" t="str">
        <f t="shared" si="14"/>
        <v>x</v>
      </c>
      <c r="AD26" s="38">
        <f t="shared" si="15"/>
        <v>0</v>
      </c>
    </row>
    <row r="27" spans="1:32" s="145" customFormat="1">
      <c r="A27" s="146">
        <v>3</v>
      </c>
      <c r="B27" s="48">
        <v>1</v>
      </c>
      <c r="C27" s="141" t="str">
        <f>IF(COUNT(ngay03!$P$31)&gt;0,ngay03!$P$31,"")</f>
        <v/>
      </c>
      <c r="D27" s="144" t="str">
        <f t="shared" si="0"/>
        <v>x</v>
      </c>
      <c r="E27" s="142">
        <f t="shared" si="1"/>
        <v>0</v>
      </c>
      <c r="F27" s="140"/>
      <c r="G27" s="141" t="str">
        <f>IF(COUNT(ngay03!$D$4)&gt;0,ngay03!$D$4,"")</f>
        <v/>
      </c>
      <c r="H27" s="140" t="str">
        <f t="shared" si="2"/>
        <v>x</v>
      </c>
      <c r="I27" s="143">
        <f t="shared" si="3"/>
        <v>0</v>
      </c>
      <c r="J27" s="141" t="str">
        <f>IF(COUNT(ngay03!$P$33)&gt;0,ngay03!$P$33,"")</f>
        <v/>
      </c>
      <c r="K27" s="144" t="str">
        <f t="shared" si="4"/>
        <v>x</v>
      </c>
      <c r="L27" s="142">
        <f t="shared" si="5"/>
        <v>0</v>
      </c>
      <c r="M27" s="140"/>
      <c r="N27" s="141" t="str">
        <f>IF(COUNT(ngay03!$D$6)&gt;0,ngay03!$D$6,"")</f>
        <v/>
      </c>
      <c r="O27" s="140" t="str">
        <f t="shared" si="6"/>
        <v>x</v>
      </c>
      <c r="P27" s="143">
        <f t="shared" si="7"/>
        <v>0</v>
      </c>
      <c r="Q27" s="141" t="str">
        <f>IF(COUNT(ngay03!$P$39)&gt;0,ngay03!$P$39,"")</f>
        <v/>
      </c>
      <c r="R27" s="144" t="str">
        <f t="shared" si="8"/>
        <v>x</v>
      </c>
      <c r="S27" s="142">
        <f t="shared" si="9"/>
        <v>0</v>
      </c>
      <c r="T27" s="140"/>
      <c r="U27" s="141" t="str">
        <f>IF(COUNT(ngay03!$D$12)&gt;0,ngay03!$D$12,"")</f>
        <v/>
      </c>
      <c r="V27" s="140" t="str">
        <f t="shared" si="10"/>
        <v>x</v>
      </c>
      <c r="W27" s="143">
        <f t="shared" si="11"/>
        <v>0</v>
      </c>
      <c r="X27" s="141" t="str">
        <f>IF(COUNT(ngay03!$P$48)&gt;0,ngay03!$P$48,"")</f>
        <v/>
      </c>
      <c r="Y27" s="144" t="str">
        <f t="shared" si="12"/>
        <v>x</v>
      </c>
      <c r="Z27" s="142">
        <f t="shared" si="13"/>
        <v>0</v>
      </c>
      <c r="AA27" s="140"/>
      <c r="AB27" s="141" t="str">
        <f>IF(COUNT(ngay03!$D$21)&gt;0,ngay03!$D$21,"")</f>
        <v/>
      </c>
      <c r="AC27" s="140" t="str">
        <f t="shared" si="14"/>
        <v>x</v>
      </c>
      <c r="AD27" s="143">
        <f t="shared" si="15"/>
        <v>0</v>
      </c>
      <c r="AE27" s="147"/>
      <c r="AF27" s="147"/>
    </row>
    <row r="28" spans="1:32">
      <c r="A28" s="41"/>
      <c r="B28" s="48">
        <v>4</v>
      </c>
      <c r="C28" s="37" t="str">
        <f>IF(COUNT(ngay03!$Q$31)&gt;0,ngay03!$Q$31,"")</f>
        <v/>
      </c>
      <c r="D28" s="137" t="str">
        <f t="shared" si="0"/>
        <v>x</v>
      </c>
      <c r="E28" s="49">
        <f t="shared" si="1"/>
        <v>0</v>
      </c>
      <c r="F28" s="34"/>
      <c r="G28" s="37" t="str">
        <f>IF(COUNT(ngay03!$E$4)&gt;0,ngay03!$E$4,"")</f>
        <v/>
      </c>
      <c r="H28" s="34" t="str">
        <f t="shared" si="2"/>
        <v>x</v>
      </c>
      <c r="I28" s="38">
        <f t="shared" si="3"/>
        <v>0</v>
      </c>
      <c r="J28" s="37" t="str">
        <f>IF(COUNT(ngay03!$Q$33)&gt;0,ngay03!$Q$33,"")</f>
        <v/>
      </c>
      <c r="K28" s="137" t="str">
        <f t="shared" si="4"/>
        <v>x</v>
      </c>
      <c r="L28" s="49">
        <f t="shared" si="5"/>
        <v>0</v>
      </c>
      <c r="M28" s="34"/>
      <c r="N28" s="37" t="str">
        <f>IF(COUNT(ngay03!$E$6)&gt;0,ngay03!$E$6,"")</f>
        <v/>
      </c>
      <c r="O28" s="34" t="str">
        <f t="shared" si="6"/>
        <v>x</v>
      </c>
      <c r="P28" s="38">
        <f t="shared" si="7"/>
        <v>0</v>
      </c>
      <c r="Q28" s="37" t="str">
        <f>IF(COUNT(ngay03!$Q$39)&gt;0,ngay03!$Q$39,"")</f>
        <v/>
      </c>
      <c r="R28" s="137" t="str">
        <f t="shared" si="8"/>
        <v>x</v>
      </c>
      <c r="S28" s="49">
        <f t="shared" si="9"/>
        <v>0</v>
      </c>
      <c r="T28" s="34"/>
      <c r="U28" s="37" t="str">
        <f>IF(COUNT(ngay03!$E$12)&gt;0,ngay03!$E$12,"")</f>
        <v/>
      </c>
      <c r="V28" s="34" t="str">
        <f t="shared" si="10"/>
        <v>x</v>
      </c>
      <c r="W28" s="38">
        <f t="shared" si="11"/>
        <v>0</v>
      </c>
      <c r="X28" s="37" t="str">
        <f>IF(COUNT(ngay03!$Q$48)&gt;0,ngay03!$Q$48,"")</f>
        <v/>
      </c>
      <c r="Y28" s="137" t="str">
        <f t="shared" si="12"/>
        <v>x</v>
      </c>
      <c r="Z28" s="49">
        <f t="shared" si="13"/>
        <v>0</v>
      </c>
      <c r="AA28" s="34"/>
      <c r="AB28" s="37" t="str">
        <f>IF(COUNT(ngay03!$E$21)&gt;0,ngay03!$E$21,"")</f>
        <v/>
      </c>
      <c r="AC28" s="34" t="str">
        <f t="shared" si="14"/>
        <v>x</v>
      </c>
      <c r="AD28" s="38">
        <f t="shared" si="15"/>
        <v>0</v>
      </c>
    </row>
    <row r="29" spans="1:32">
      <c r="A29" s="41"/>
      <c r="B29" s="139">
        <v>7</v>
      </c>
      <c r="C29" s="37" t="str">
        <f>IF(COUNT(ngay03!$R$31)&gt;0,ngay03!$R$31,"")</f>
        <v/>
      </c>
      <c r="D29" s="137" t="str">
        <f t="shared" si="0"/>
        <v>x</v>
      </c>
      <c r="E29" s="49">
        <f t="shared" si="1"/>
        <v>0</v>
      </c>
      <c r="F29" s="34"/>
      <c r="G29" s="37" t="str">
        <f>IF(COUNT(ngay03!$F$4)&gt;0,ngay03!$F$4,"")</f>
        <v/>
      </c>
      <c r="H29" s="34" t="str">
        <f t="shared" si="2"/>
        <v>x</v>
      </c>
      <c r="I29" s="38">
        <f t="shared" si="3"/>
        <v>0</v>
      </c>
      <c r="J29" s="37" t="str">
        <f>IF(COUNT(ngay03!$R$33)&gt;0,ngay03!$R$33,"")</f>
        <v/>
      </c>
      <c r="K29" s="137" t="str">
        <f t="shared" si="4"/>
        <v>x</v>
      </c>
      <c r="L29" s="49">
        <f t="shared" si="5"/>
        <v>0</v>
      </c>
      <c r="M29" s="34"/>
      <c r="N29" s="37" t="str">
        <f>IF(COUNT(ngay03!$F$6)&gt;0,ngay03!$F$6,"")</f>
        <v/>
      </c>
      <c r="O29" s="34" t="str">
        <f t="shared" si="6"/>
        <v>x</v>
      </c>
      <c r="P29" s="38">
        <f t="shared" si="7"/>
        <v>0</v>
      </c>
      <c r="Q29" s="37" t="str">
        <f>IF(COUNT(ngay03!$R$39)&gt;0,ngay03!$R$39,"")</f>
        <v/>
      </c>
      <c r="R29" s="137" t="str">
        <f t="shared" si="8"/>
        <v>x</v>
      </c>
      <c r="S29" s="49">
        <f t="shared" si="9"/>
        <v>0</v>
      </c>
      <c r="T29" s="34"/>
      <c r="U29" s="37" t="str">
        <f>IF(COUNT(ngay03!$F$12)&gt;0,ngay03!$F$12,"")</f>
        <v/>
      </c>
      <c r="V29" s="34" t="str">
        <f t="shared" si="10"/>
        <v>x</v>
      </c>
      <c r="W29" s="38">
        <f t="shared" si="11"/>
        <v>0</v>
      </c>
      <c r="X29" s="37" t="str">
        <f>IF(COUNT(ngay03!$R$48)&gt;0,ngay03!$R$48,"")</f>
        <v/>
      </c>
      <c r="Y29" s="137" t="str">
        <f t="shared" si="12"/>
        <v>x</v>
      </c>
      <c r="Z29" s="49">
        <f t="shared" si="13"/>
        <v>0</v>
      </c>
      <c r="AA29" s="34"/>
      <c r="AB29" s="37" t="str">
        <f>IF(COUNT(ngay03!$F$21)&gt;0,ngay03!$F$21,"")</f>
        <v/>
      </c>
      <c r="AC29" s="34" t="str">
        <f t="shared" si="14"/>
        <v>x</v>
      </c>
      <c r="AD29" s="38">
        <f t="shared" si="15"/>
        <v>0</v>
      </c>
    </row>
    <row r="30" spans="1:32">
      <c r="A30" s="41"/>
      <c r="B30" s="48">
        <v>10</v>
      </c>
      <c r="C30" s="37" t="str">
        <f>IF(COUNT(ngay03!$S$31)&gt;0,ngay03!$S$31,"")</f>
        <v/>
      </c>
      <c r="D30" s="137" t="str">
        <f t="shared" si="0"/>
        <v>x</v>
      </c>
      <c r="E30" s="49">
        <f t="shared" si="1"/>
        <v>0</v>
      </c>
      <c r="F30" s="34"/>
      <c r="G30" s="37" t="str">
        <f>IF(COUNT(ngay03!$G$4)&gt;0,ngay03!$G$4,"")</f>
        <v/>
      </c>
      <c r="H30" s="34" t="str">
        <f t="shared" si="2"/>
        <v>x</v>
      </c>
      <c r="I30" s="38">
        <f t="shared" si="3"/>
        <v>0</v>
      </c>
      <c r="J30" s="37" t="str">
        <f>IF(COUNT(ngay03!$S$33)&gt;0,ngay03!$S$33,"")</f>
        <v/>
      </c>
      <c r="K30" s="137" t="str">
        <f t="shared" si="4"/>
        <v>x</v>
      </c>
      <c r="L30" s="49">
        <f t="shared" si="5"/>
        <v>0</v>
      </c>
      <c r="M30" s="34"/>
      <c r="N30" s="37" t="str">
        <f>IF(COUNT(ngay03!$G$6)&gt;0,ngay03!$G$6,"")</f>
        <v/>
      </c>
      <c r="O30" s="34" t="str">
        <f t="shared" si="6"/>
        <v>x</v>
      </c>
      <c r="P30" s="38">
        <f t="shared" si="7"/>
        <v>0</v>
      </c>
      <c r="Q30" s="37" t="str">
        <f>IF(COUNT(ngay03!$S$39)&gt;0,ngay03!$S$39,"")</f>
        <v/>
      </c>
      <c r="R30" s="137" t="str">
        <f t="shared" si="8"/>
        <v>x</v>
      </c>
      <c r="S30" s="49">
        <f t="shared" si="9"/>
        <v>0</v>
      </c>
      <c r="T30" s="34"/>
      <c r="U30" s="37" t="str">
        <f>IF(COUNT(ngay03!$G$12)&gt;0,ngay03!$G$12,"")</f>
        <v/>
      </c>
      <c r="V30" s="34" t="str">
        <f t="shared" si="10"/>
        <v>x</v>
      </c>
      <c r="W30" s="38">
        <f t="shared" si="11"/>
        <v>0</v>
      </c>
      <c r="X30" s="37" t="str">
        <f>IF(COUNT(ngay03!$S$48)&gt;0,ngay03!$S$48,"")</f>
        <v/>
      </c>
      <c r="Y30" s="137" t="str">
        <f t="shared" si="12"/>
        <v>x</v>
      </c>
      <c r="Z30" s="49">
        <f t="shared" si="13"/>
        <v>0</v>
      </c>
      <c r="AA30" s="34"/>
      <c r="AB30" s="37" t="str">
        <f>IF(COUNT(ngay03!$G$21)&gt;0,ngay03!$G$21,"")</f>
        <v/>
      </c>
      <c r="AC30" s="34" t="str">
        <f t="shared" si="14"/>
        <v>x</v>
      </c>
      <c r="AD30" s="38">
        <f t="shared" si="15"/>
        <v>0</v>
      </c>
    </row>
    <row r="31" spans="1:32">
      <c r="A31" s="41"/>
      <c r="B31" s="48">
        <v>13</v>
      </c>
      <c r="C31" s="37" t="str">
        <f>IF(COUNT(ngay03!$T$31)&gt;0,ngay03!$T$31,"")</f>
        <v/>
      </c>
      <c r="D31" s="137" t="str">
        <f t="shared" si="0"/>
        <v>x</v>
      </c>
      <c r="E31" s="49">
        <f t="shared" si="1"/>
        <v>0</v>
      </c>
      <c r="F31" s="34"/>
      <c r="G31" s="37" t="str">
        <f>IF(COUNT(ngay03!$H$4)&gt;0,ngay03!$H$4,"")</f>
        <v/>
      </c>
      <c r="H31" s="34" t="str">
        <f t="shared" si="2"/>
        <v>x</v>
      </c>
      <c r="I31" s="38">
        <f t="shared" si="3"/>
        <v>0</v>
      </c>
      <c r="J31" s="37" t="str">
        <f>IF(COUNT(ngay03!$T$33)&gt;0,ngay03!$T$33,"")</f>
        <v/>
      </c>
      <c r="K31" s="137" t="str">
        <f t="shared" si="4"/>
        <v>x</v>
      </c>
      <c r="L31" s="49">
        <f t="shared" si="5"/>
        <v>0</v>
      </c>
      <c r="M31" s="34"/>
      <c r="N31" s="37" t="str">
        <f>IF(COUNT(ngay03!$H$6)&gt;0,ngay03!$H$6,"")</f>
        <v/>
      </c>
      <c r="O31" s="34" t="str">
        <f t="shared" si="6"/>
        <v>x</v>
      </c>
      <c r="P31" s="38">
        <f t="shared" si="7"/>
        <v>0</v>
      </c>
      <c r="Q31" s="37" t="str">
        <f>IF(COUNT(ngay03!$T$39)&gt;0,ngay03!$T$39,"")</f>
        <v/>
      </c>
      <c r="R31" s="137" t="str">
        <f t="shared" si="8"/>
        <v>x</v>
      </c>
      <c r="S31" s="49">
        <f t="shared" si="9"/>
        <v>0</v>
      </c>
      <c r="T31" s="34"/>
      <c r="U31" s="37" t="str">
        <f>IF(COUNT(ngay03!$H$12)&gt;0,ngay03!$H$12,"")</f>
        <v/>
      </c>
      <c r="V31" s="34" t="str">
        <f t="shared" si="10"/>
        <v>x</v>
      </c>
      <c r="W31" s="38">
        <f t="shared" si="11"/>
        <v>0</v>
      </c>
      <c r="X31" s="37" t="str">
        <f>IF(COUNT(ngay03!$T$48)&gt;0,ngay03!$T$48,"")</f>
        <v/>
      </c>
      <c r="Y31" s="137" t="str">
        <f t="shared" si="12"/>
        <v>x</v>
      </c>
      <c r="Z31" s="49">
        <f t="shared" si="13"/>
        <v>0</v>
      </c>
      <c r="AA31" s="34"/>
      <c r="AB31" s="37" t="str">
        <f>IF(COUNT(ngay03!$H$21)&gt;0,ngay03!$H$21,"")</f>
        <v/>
      </c>
      <c r="AC31" s="34" t="str">
        <f t="shared" si="14"/>
        <v>x</v>
      </c>
      <c r="AD31" s="38">
        <f t="shared" si="15"/>
        <v>0</v>
      </c>
    </row>
    <row r="32" spans="1:32">
      <c r="A32" s="41"/>
      <c r="B32" s="48">
        <v>16</v>
      </c>
      <c r="C32" s="37" t="str">
        <f>IF(COUNT(ngay03!$U$31)&gt;0,ngay03!$U$31,"")</f>
        <v/>
      </c>
      <c r="D32" s="137" t="str">
        <f t="shared" si="0"/>
        <v>x</v>
      </c>
      <c r="E32" s="49">
        <f t="shared" si="1"/>
        <v>0</v>
      </c>
      <c r="F32" s="34"/>
      <c r="G32" s="37" t="str">
        <f>IF(COUNT(ngay03!$I$4)&gt;0,ngay03!$I$4,"")</f>
        <v/>
      </c>
      <c r="H32" s="34" t="str">
        <f t="shared" si="2"/>
        <v>x</v>
      </c>
      <c r="I32" s="38">
        <f t="shared" si="3"/>
        <v>0</v>
      </c>
      <c r="J32" s="37" t="str">
        <f>IF(COUNT(ngay03!$U$33)&gt;0,ngay03!$U$33,"")</f>
        <v/>
      </c>
      <c r="K32" s="137" t="str">
        <f t="shared" si="4"/>
        <v>x</v>
      </c>
      <c r="L32" s="49">
        <f t="shared" si="5"/>
        <v>0</v>
      </c>
      <c r="M32" s="34"/>
      <c r="N32" s="37" t="str">
        <f>IF(COUNT(ngay03!$I$6)&gt;0,ngay03!$I$6,"")</f>
        <v/>
      </c>
      <c r="O32" s="34" t="str">
        <f t="shared" si="6"/>
        <v>x</v>
      </c>
      <c r="P32" s="38">
        <f t="shared" si="7"/>
        <v>0</v>
      </c>
      <c r="Q32" s="37" t="str">
        <f>IF(COUNT(ngay03!$U$39)&gt;0,ngay03!$U$39,"")</f>
        <v/>
      </c>
      <c r="R32" s="137" t="str">
        <f t="shared" si="8"/>
        <v>x</v>
      </c>
      <c r="S32" s="49">
        <f t="shared" si="9"/>
        <v>0</v>
      </c>
      <c r="T32" s="34"/>
      <c r="U32" s="37" t="str">
        <f>IF(COUNT(ngay03!$I$12)&gt;0,ngay03!$I$12,"")</f>
        <v/>
      </c>
      <c r="V32" s="34" t="str">
        <f t="shared" si="10"/>
        <v>x</v>
      </c>
      <c r="W32" s="38">
        <f t="shared" si="11"/>
        <v>0</v>
      </c>
      <c r="X32" s="37" t="str">
        <f>IF(COUNT(ngay03!$U$48)&gt;0,ngay03!$U$48,"")</f>
        <v/>
      </c>
      <c r="Y32" s="137" t="str">
        <f t="shared" si="12"/>
        <v>x</v>
      </c>
      <c r="Z32" s="49">
        <f t="shared" si="13"/>
        <v>0</v>
      </c>
      <c r="AA32" s="34"/>
      <c r="AB32" s="37" t="str">
        <f>IF(COUNT(ngay03!$I$21)&gt;0,ngay03!$I$21,"")</f>
        <v/>
      </c>
      <c r="AC32" s="34" t="str">
        <f t="shared" si="14"/>
        <v>x</v>
      </c>
      <c r="AD32" s="38">
        <f t="shared" si="15"/>
        <v>0</v>
      </c>
    </row>
    <row r="33" spans="1:32">
      <c r="A33" s="41"/>
      <c r="B33" s="48">
        <v>19</v>
      </c>
      <c r="C33" s="37" t="str">
        <f>IF(COUNT(ngay03!$V$31)&gt;0,ngay03!$V$31,"")</f>
        <v/>
      </c>
      <c r="D33" s="137" t="str">
        <f t="shared" si="0"/>
        <v>x</v>
      </c>
      <c r="E33" s="49">
        <f t="shared" si="1"/>
        <v>0</v>
      </c>
      <c r="F33" s="34"/>
      <c r="G33" s="37" t="str">
        <f>IF(COUNT(ngay03!$J$4)&gt;0,ngay03!$J$4,"")</f>
        <v/>
      </c>
      <c r="H33" s="34" t="str">
        <f t="shared" si="2"/>
        <v>x</v>
      </c>
      <c r="I33" s="38">
        <f t="shared" si="3"/>
        <v>0</v>
      </c>
      <c r="J33" s="37" t="str">
        <f>IF(COUNT(ngay03!$V$33)&gt;0,ngay03!$V$33,"")</f>
        <v/>
      </c>
      <c r="K33" s="137" t="str">
        <f t="shared" si="4"/>
        <v>x</v>
      </c>
      <c r="L33" s="49">
        <f t="shared" si="5"/>
        <v>0</v>
      </c>
      <c r="M33" s="34"/>
      <c r="N33" s="37" t="str">
        <f>IF(COUNT(ngay03!$J$6)&gt;0,ngay03!$J$6,"")</f>
        <v/>
      </c>
      <c r="O33" s="34" t="str">
        <f t="shared" si="6"/>
        <v>x</v>
      </c>
      <c r="P33" s="38">
        <f t="shared" si="7"/>
        <v>0</v>
      </c>
      <c r="Q33" s="37" t="str">
        <f>IF(COUNT(ngay03!$V$39)&gt;0,ngay03!$V$39,"")</f>
        <v/>
      </c>
      <c r="R33" s="137" t="str">
        <f t="shared" si="8"/>
        <v>x</v>
      </c>
      <c r="S33" s="49">
        <f t="shared" si="9"/>
        <v>0</v>
      </c>
      <c r="T33" s="34"/>
      <c r="U33" s="37" t="str">
        <f>IF(COUNT(ngay03!$J$12)&gt;0,ngay03!$J$12,"")</f>
        <v/>
      </c>
      <c r="V33" s="34" t="str">
        <f t="shared" si="10"/>
        <v>x</v>
      </c>
      <c r="W33" s="38">
        <f t="shared" si="11"/>
        <v>0</v>
      </c>
      <c r="X33" s="37" t="str">
        <f>IF(COUNT(ngay03!$V$48)&gt;0,ngay03!$V$48,"")</f>
        <v/>
      </c>
      <c r="Y33" s="137" t="str">
        <f t="shared" si="12"/>
        <v>x</v>
      </c>
      <c r="Z33" s="49">
        <f t="shared" si="13"/>
        <v>0</v>
      </c>
      <c r="AA33" s="34"/>
      <c r="AB33" s="37" t="str">
        <f>IF(COUNT(ngay03!$J$21)&gt;0,ngay03!$J$21,"")</f>
        <v/>
      </c>
      <c r="AC33" s="34" t="str">
        <f t="shared" si="14"/>
        <v>x</v>
      </c>
      <c r="AD33" s="38">
        <f t="shared" si="15"/>
        <v>0</v>
      </c>
    </row>
    <row r="34" spans="1:32">
      <c r="A34" s="41"/>
      <c r="B34" s="48">
        <v>22</v>
      </c>
      <c r="C34" s="37" t="str">
        <f>IF(COUNT(ngay04!$O$31)&gt;0,ngay04!$O$31,"")</f>
        <v/>
      </c>
      <c r="D34" s="137" t="str">
        <f t="shared" si="0"/>
        <v>x</v>
      </c>
      <c r="E34" s="49">
        <f t="shared" si="1"/>
        <v>0</v>
      </c>
      <c r="F34" s="34"/>
      <c r="G34" s="37" t="str">
        <f>IF(COUNT(ngay04!$C$4)&gt;0,ngay04!$C$4,"")</f>
        <v/>
      </c>
      <c r="H34" s="34" t="str">
        <f t="shared" si="2"/>
        <v>x</v>
      </c>
      <c r="I34" s="38">
        <f t="shared" si="3"/>
        <v>0</v>
      </c>
      <c r="J34" s="37" t="str">
        <f>IF(COUNT(ngay04!$O$33)&gt;0,ngay04!$O$33,"")</f>
        <v/>
      </c>
      <c r="K34" s="137" t="str">
        <f t="shared" si="4"/>
        <v>x</v>
      </c>
      <c r="L34" s="49">
        <f t="shared" si="5"/>
        <v>0</v>
      </c>
      <c r="M34" s="34"/>
      <c r="N34" s="37" t="str">
        <f>IF(COUNT(ngay04!$C$6)&gt;0,ngay04!$C$6,"")</f>
        <v/>
      </c>
      <c r="O34" s="34" t="str">
        <f t="shared" si="6"/>
        <v>x</v>
      </c>
      <c r="P34" s="38">
        <f t="shared" si="7"/>
        <v>0</v>
      </c>
      <c r="Q34" s="37" t="str">
        <f>IF(COUNT(ngay04!$O$39)&gt;0,ngay04!$O$39,"")</f>
        <v/>
      </c>
      <c r="R34" s="137" t="str">
        <f t="shared" si="8"/>
        <v>x</v>
      </c>
      <c r="S34" s="49">
        <f t="shared" si="9"/>
        <v>0</v>
      </c>
      <c r="T34" s="34"/>
      <c r="U34" s="37" t="str">
        <f>IF(COUNT(ngay04!$C$12)&gt;0,ngay04!$C$12,"")</f>
        <v/>
      </c>
      <c r="V34" s="34" t="str">
        <f t="shared" si="10"/>
        <v>x</v>
      </c>
      <c r="W34" s="38">
        <f t="shared" si="11"/>
        <v>0</v>
      </c>
      <c r="X34" s="37" t="str">
        <f>IF(COUNT(ngay04!$O$48)&gt;0,ngay04!$O$48,"")</f>
        <v/>
      </c>
      <c r="Y34" s="137" t="str">
        <f t="shared" si="12"/>
        <v>x</v>
      </c>
      <c r="Z34" s="49">
        <f t="shared" si="13"/>
        <v>0</v>
      </c>
      <c r="AA34" s="34"/>
      <c r="AB34" s="37" t="str">
        <f>IF(COUNT(ngay04!$C$21)&gt;0,ngay04!$C$21,"")</f>
        <v/>
      </c>
      <c r="AC34" s="34" t="str">
        <f t="shared" si="14"/>
        <v>x</v>
      </c>
      <c r="AD34" s="38">
        <f t="shared" si="15"/>
        <v>0</v>
      </c>
    </row>
    <row r="35" spans="1:32" s="145" customFormat="1">
      <c r="A35" s="146">
        <v>4</v>
      </c>
      <c r="B35" s="48">
        <v>1</v>
      </c>
      <c r="C35" s="141" t="str">
        <f>IF(COUNT(ngay04!$P$31)&gt;0,ngay04!$P$31,"")</f>
        <v/>
      </c>
      <c r="D35" s="144" t="str">
        <f t="shared" si="0"/>
        <v>x</v>
      </c>
      <c r="E35" s="142">
        <f t="shared" si="1"/>
        <v>0</v>
      </c>
      <c r="F35" s="140"/>
      <c r="G35" s="141" t="str">
        <f>IF(COUNT(ngay04!$D$4)&gt;0,ngay04!$D$4,"")</f>
        <v/>
      </c>
      <c r="H35" s="140" t="str">
        <f t="shared" si="2"/>
        <v>x</v>
      </c>
      <c r="I35" s="143">
        <f t="shared" si="3"/>
        <v>0</v>
      </c>
      <c r="J35" s="141" t="str">
        <f>IF(COUNT(ngay04!$P$33)&gt;0,ngay04!$P$33,"")</f>
        <v/>
      </c>
      <c r="K35" s="144" t="str">
        <f t="shared" si="4"/>
        <v>x</v>
      </c>
      <c r="L35" s="142">
        <f t="shared" si="5"/>
        <v>0</v>
      </c>
      <c r="M35" s="140"/>
      <c r="N35" s="141" t="str">
        <f>IF(COUNT(ngay04!$D$6)&gt;0,ngay04!$D$6,"")</f>
        <v/>
      </c>
      <c r="O35" s="140" t="str">
        <f t="shared" si="6"/>
        <v>x</v>
      </c>
      <c r="P35" s="143">
        <f t="shared" si="7"/>
        <v>0</v>
      </c>
      <c r="Q35" s="141" t="str">
        <f>IF(COUNT(ngay04!$P$39)&gt;0,ngay04!$P$39,"")</f>
        <v/>
      </c>
      <c r="R35" s="144" t="str">
        <f t="shared" si="8"/>
        <v>x</v>
      </c>
      <c r="S35" s="142">
        <f t="shared" si="9"/>
        <v>0</v>
      </c>
      <c r="T35" s="140"/>
      <c r="U35" s="141" t="str">
        <f>IF(COUNT(ngay04!$D$12)&gt;0,ngay04!$D$12,"")</f>
        <v/>
      </c>
      <c r="V35" s="140" t="str">
        <f t="shared" si="10"/>
        <v>x</v>
      </c>
      <c r="W35" s="143">
        <f t="shared" si="11"/>
        <v>0</v>
      </c>
      <c r="X35" s="141" t="str">
        <f>IF(COUNT(ngay04!$P$48)&gt;0,ngay04!$P$48,"")</f>
        <v/>
      </c>
      <c r="Y35" s="144" t="str">
        <f t="shared" si="12"/>
        <v>x</v>
      </c>
      <c r="Z35" s="142">
        <f t="shared" si="13"/>
        <v>0</v>
      </c>
      <c r="AA35" s="140"/>
      <c r="AB35" s="141" t="str">
        <f>IF(COUNT(ngay04!$D$21)&gt;0,ngay04!$D$21,"")</f>
        <v/>
      </c>
      <c r="AC35" s="140" t="str">
        <f t="shared" si="14"/>
        <v>x</v>
      </c>
      <c r="AD35" s="143">
        <f t="shared" si="15"/>
        <v>0</v>
      </c>
      <c r="AE35" s="147"/>
      <c r="AF35" s="147"/>
    </row>
    <row r="36" spans="1:32">
      <c r="A36" s="41"/>
      <c r="B36" s="48">
        <v>4</v>
      </c>
      <c r="C36" s="37" t="str">
        <f>IF(COUNT(ngay04!$Q$31)&gt;0,ngay04!$Q$31,"")</f>
        <v/>
      </c>
      <c r="D36" s="137" t="str">
        <f t="shared" si="0"/>
        <v>x</v>
      </c>
      <c r="E36" s="49">
        <f t="shared" si="1"/>
        <v>0</v>
      </c>
      <c r="F36" s="34"/>
      <c r="G36" s="37" t="str">
        <f>IF(COUNT(ngay04!$E$4)&gt;0,ngay04!$E$4,"")</f>
        <v/>
      </c>
      <c r="H36" s="34" t="str">
        <f t="shared" si="2"/>
        <v>x</v>
      </c>
      <c r="I36" s="38">
        <f t="shared" si="3"/>
        <v>0</v>
      </c>
      <c r="J36" s="37" t="str">
        <f>IF(COUNT(ngay04!$Q$33)&gt;0,ngay04!$Q$33,"")</f>
        <v/>
      </c>
      <c r="K36" s="137" t="str">
        <f t="shared" si="4"/>
        <v>x</v>
      </c>
      <c r="L36" s="49">
        <f t="shared" si="5"/>
        <v>0</v>
      </c>
      <c r="M36" s="34"/>
      <c r="N36" s="37" t="str">
        <f>IF(COUNT(ngay04!$E$6)&gt;0,ngay04!$E$6,"")</f>
        <v/>
      </c>
      <c r="O36" s="34" t="str">
        <f t="shared" si="6"/>
        <v>x</v>
      </c>
      <c r="P36" s="38">
        <f t="shared" si="7"/>
        <v>0</v>
      </c>
      <c r="Q36" s="37" t="str">
        <f>IF(COUNT(ngay04!$Q$39)&gt;0,ngay04!$Q$39,"")</f>
        <v/>
      </c>
      <c r="R36" s="137" t="str">
        <f t="shared" si="8"/>
        <v>x</v>
      </c>
      <c r="S36" s="49">
        <f t="shared" si="9"/>
        <v>0</v>
      </c>
      <c r="T36" s="34"/>
      <c r="U36" s="37" t="str">
        <f>IF(COUNT(ngay04!$E$12)&gt;0,ngay04!$E$12,"")</f>
        <v/>
      </c>
      <c r="V36" s="34" t="str">
        <f t="shared" si="10"/>
        <v>x</v>
      </c>
      <c r="W36" s="38">
        <f t="shared" si="11"/>
        <v>0</v>
      </c>
      <c r="X36" s="37" t="str">
        <f>IF(COUNT(ngay04!$Q$48)&gt;0,ngay04!$Q$48,"")</f>
        <v/>
      </c>
      <c r="Y36" s="137" t="str">
        <f t="shared" si="12"/>
        <v>x</v>
      </c>
      <c r="Z36" s="49">
        <f t="shared" si="13"/>
        <v>0</v>
      </c>
      <c r="AA36" s="34"/>
      <c r="AB36" s="37" t="str">
        <f>IF(COUNT(ngay04!$E$21)&gt;0,ngay04!$E$21,"")</f>
        <v/>
      </c>
      <c r="AC36" s="34" t="str">
        <f t="shared" si="14"/>
        <v>x</v>
      </c>
      <c r="AD36" s="38">
        <f t="shared" si="15"/>
        <v>0</v>
      </c>
    </row>
    <row r="37" spans="1:32">
      <c r="A37" s="41"/>
      <c r="B37" s="139">
        <v>7</v>
      </c>
      <c r="C37" s="37" t="str">
        <f>IF(COUNT(ngay04!$R$31)&gt;0,ngay04!$R$31,"")</f>
        <v/>
      </c>
      <c r="D37" s="137" t="str">
        <f t="shared" si="0"/>
        <v>x</v>
      </c>
      <c r="E37" s="49">
        <f t="shared" si="1"/>
        <v>0</v>
      </c>
      <c r="F37" s="34"/>
      <c r="G37" s="37" t="str">
        <f>IF(COUNT(ngay04!$F$4)&gt;0,ngay04!$F$4,"")</f>
        <v/>
      </c>
      <c r="H37" s="34" t="str">
        <f t="shared" si="2"/>
        <v>x</v>
      </c>
      <c r="I37" s="38">
        <f t="shared" si="3"/>
        <v>0</v>
      </c>
      <c r="J37" s="37" t="str">
        <f>IF(COUNT(ngay04!$R$33)&gt;0,ngay04!$R$33,"")</f>
        <v/>
      </c>
      <c r="K37" s="137" t="str">
        <f t="shared" si="4"/>
        <v>x</v>
      </c>
      <c r="L37" s="49">
        <f t="shared" si="5"/>
        <v>0</v>
      </c>
      <c r="M37" s="34"/>
      <c r="N37" s="37" t="str">
        <f>IF(COUNT(ngay04!$F$6)&gt;0,ngay04!$F$6,"")</f>
        <v/>
      </c>
      <c r="O37" s="34" t="str">
        <f t="shared" si="6"/>
        <v>x</v>
      </c>
      <c r="P37" s="38">
        <f t="shared" si="7"/>
        <v>0</v>
      </c>
      <c r="Q37" s="37" t="str">
        <f>IF(COUNT(ngay04!$R$39)&gt;0,ngay04!$R$39,"")</f>
        <v/>
      </c>
      <c r="R37" s="137" t="str">
        <f t="shared" si="8"/>
        <v>x</v>
      </c>
      <c r="S37" s="49">
        <f t="shared" si="9"/>
        <v>0</v>
      </c>
      <c r="T37" s="34"/>
      <c r="U37" s="37" t="str">
        <f>IF(COUNT(ngay04!$F$12)&gt;0,ngay04!$F$12,"")</f>
        <v/>
      </c>
      <c r="V37" s="34" t="str">
        <f t="shared" si="10"/>
        <v>x</v>
      </c>
      <c r="W37" s="38">
        <f t="shared" si="11"/>
        <v>0</v>
      </c>
      <c r="X37" s="37" t="str">
        <f>IF(COUNT(ngay04!$R$48)&gt;0,ngay04!$R$48,"")</f>
        <v/>
      </c>
      <c r="Y37" s="137" t="str">
        <f t="shared" si="12"/>
        <v>x</v>
      </c>
      <c r="Z37" s="49">
        <f t="shared" si="13"/>
        <v>0</v>
      </c>
      <c r="AA37" s="34"/>
      <c r="AB37" s="37" t="str">
        <f>IF(COUNT(ngay04!$F$21)&gt;0,ngay04!$F$21,"")</f>
        <v/>
      </c>
      <c r="AC37" s="34" t="str">
        <f t="shared" si="14"/>
        <v>x</v>
      </c>
      <c r="AD37" s="38">
        <f t="shared" si="15"/>
        <v>0</v>
      </c>
    </row>
    <row r="38" spans="1:32">
      <c r="A38" s="41"/>
      <c r="B38" s="48">
        <v>10</v>
      </c>
      <c r="C38" s="37" t="str">
        <f>IF(COUNT(ngay04!$S$31)&gt;0,ngay04!$S$31,"")</f>
        <v/>
      </c>
      <c r="D38" s="137" t="str">
        <f t="shared" si="0"/>
        <v>x</v>
      </c>
      <c r="E38" s="49">
        <f t="shared" si="1"/>
        <v>0</v>
      </c>
      <c r="F38" s="34"/>
      <c r="G38" s="37" t="str">
        <f>IF(COUNT(ngay04!$G$4)&gt;0,ngay04!$G$4,"")</f>
        <v/>
      </c>
      <c r="H38" s="34" t="str">
        <f t="shared" si="2"/>
        <v>x</v>
      </c>
      <c r="I38" s="38">
        <f t="shared" si="3"/>
        <v>0</v>
      </c>
      <c r="J38" s="37" t="str">
        <f>IF(COUNT(ngay04!$S$33)&gt;0,ngay04!$S$33,"")</f>
        <v/>
      </c>
      <c r="K38" s="137" t="str">
        <f t="shared" si="4"/>
        <v>x</v>
      </c>
      <c r="L38" s="49">
        <f t="shared" si="5"/>
        <v>0</v>
      </c>
      <c r="M38" s="34"/>
      <c r="N38" s="37" t="str">
        <f>IF(COUNT(ngay04!$G$6)&gt;0,ngay04!$G$6,"")</f>
        <v/>
      </c>
      <c r="O38" s="34" t="str">
        <f t="shared" si="6"/>
        <v>x</v>
      </c>
      <c r="P38" s="38">
        <f t="shared" si="7"/>
        <v>0</v>
      </c>
      <c r="Q38" s="37" t="str">
        <f>IF(COUNT(ngay04!$S$39)&gt;0,ngay04!$S$39,"")</f>
        <v/>
      </c>
      <c r="R38" s="137" t="str">
        <f t="shared" si="8"/>
        <v>x</v>
      </c>
      <c r="S38" s="49">
        <f t="shared" si="9"/>
        <v>0</v>
      </c>
      <c r="T38" s="34"/>
      <c r="U38" s="37" t="str">
        <f>IF(COUNT(ngay04!$G$12)&gt;0,ngay04!$G$12,"")</f>
        <v/>
      </c>
      <c r="V38" s="34" t="str">
        <f t="shared" si="10"/>
        <v>x</v>
      </c>
      <c r="W38" s="38">
        <f t="shared" si="11"/>
        <v>0</v>
      </c>
      <c r="X38" s="37" t="str">
        <f>IF(COUNT(ngay04!$S$48)&gt;0,ngay04!$S$48,"")</f>
        <v/>
      </c>
      <c r="Y38" s="137" t="str">
        <f t="shared" si="12"/>
        <v>x</v>
      </c>
      <c r="Z38" s="49">
        <f t="shared" si="13"/>
        <v>0</v>
      </c>
      <c r="AA38" s="34"/>
      <c r="AB38" s="37" t="str">
        <f>IF(COUNT(ngay04!$G$21)&gt;0,ngay04!$G$21,"")</f>
        <v/>
      </c>
      <c r="AC38" s="34" t="str">
        <f t="shared" si="14"/>
        <v>x</v>
      </c>
      <c r="AD38" s="38">
        <f t="shared" si="15"/>
        <v>0</v>
      </c>
    </row>
    <row r="39" spans="1:32">
      <c r="A39" s="41"/>
      <c r="B39" s="48">
        <v>13</v>
      </c>
      <c r="C39" s="37" t="str">
        <f>IF(COUNT(ngay04!$T$31)&gt;0,ngay04!$T$31,"")</f>
        <v/>
      </c>
      <c r="D39" s="137" t="str">
        <f t="shared" si="0"/>
        <v>x</v>
      </c>
      <c r="E39" s="49">
        <f t="shared" si="1"/>
        <v>0</v>
      </c>
      <c r="F39" s="34"/>
      <c r="G39" s="37" t="str">
        <f>IF(COUNT(ngay04!$H$4)&gt;0,ngay04!$H$4,"")</f>
        <v/>
      </c>
      <c r="H39" s="34" t="str">
        <f t="shared" si="2"/>
        <v>x</v>
      </c>
      <c r="I39" s="38">
        <f t="shared" si="3"/>
        <v>0</v>
      </c>
      <c r="J39" s="37" t="str">
        <f>IF(COUNT(ngay04!$T$33)&gt;0,ngay04!$T$33,"")</f>
        <v/>
      </c>
      <c r="K39" s="137" t="str">
        <f t="shared" si="4"/>
        <v>x</v>
      </c>
      <c r="L39" s="49">
        <f t="shared" si="5"/>
        <v>0</v>
      </c>
      <c r="M39" s="34"/>
      <c r="N39" s="37" t="str">
        <f>IF(COUNT(ngay04!$H$6)&gt;0,ngay04!$H$6,"")</f>
        <v/>
      </c>
      <c r="O39" s="34" t="str">
        <f t="shared" si="6"/>
        <v>x</v>
      </c>
      <c r="P39" s="38">
        <f t="shared" si="7"/>
        <v>0</v>
      </c>
      <c r="Q39" s="37" t="str">
        <f>IF(COUNT(ngay04!$T$39)&gt;0,ngay04!$T$39,"")</f>
        <v/>
      </c>
      <c r="R39" s="137" t="str">
        <f t="shared" si="8"/>
        <v>x</v>
      </c>
      <c r="S39" s="49">
        <f t="shared" si="9"/>
        <v>0</v>
      </c>
      <c r="T39" s="34"/>
      <c r="U39" s="37" t="str">
        <f>IF(COUNT(ngay04!$H$12)&gt;0,ngay04!$H$12,"")</f>
        <v/>
      </c>
      <c r="V39" s="34" t="str">
        <f t="shared" si="10"/>
        <v>x</v>
      </c>
      <c r="W39" s="38">
        <f t="shared" si="11"/>
        <v>0</v>
      </c>
      <c r="X39" s="37" t="str">
        <f>IF(COUNT(ngay04!$T$48)&gt;0,ngay04!$T$48,"")</f>
        <v/>
      </c>
      <c r="Y39" s="137" t="str">
        <f t="shared" si="12"/>
        <v>x</v>
      </c>
      <c r="Z39" s="49">
        <f t="shared" si="13"/>
        <v>0</v>
      </c>
      <c r="AA39" s="34"/>
      <c r="AB39" s="37" t="str">
        <f>IF(COUNT(ngay04!$H$21)&gt;0,ngay04!$H$21,"")</f>
        <v/>
      </c>
      <c r="AC39" s="34" t="str">
        <f t="shared" si="14"/>
        <v>x</v>
      </c>
      <c r="AD39" s="38">
        <f t="shared" si="15"/>
        <v>0</v>
      </c>
    </row>
    <row r="40" spans="1:32">
      <c r="A40" s="41"/>
      <c r="B40" s="48">
        <v>16</v>
      </c>
      <c r="C40" s="37" t="str">
        <f>IF(COUNT(ngay04!$U$31)&gt;0,ngay04!$U$31,"")</f>
        <v/>
      </c>
      <c r="D40" s="137" t="str">
        <f t="shared" si="0"/>
        <v>x</v>
      </c>
      <c r="E40" s="49">
        <f t="shared" si="1"/>
        <v>0</v>
      </c>
      <c r="F40" s="34"/>
      <c r="G40" s="37" t="str">
        <f>IF(COUNT(ngay04!$I$4)&gt;0,ngay04!$I$4,"")</f>
        <v/>
      </c>
      <c r="H40" s="34" t="str">
        <f t="shared" si="2"/>
        <v>x</v>
      </c>
      <c r="I40" s="38">
        <f t="shared" si="3"/>
        <v>0</v>
      </c>
      <c r="J40" s="37" t="str">
        <f>IF(COUNT(ngay04!$U$33)&gt;0,ngay04!$U$33,"")</f>
        <v/>
      </c>
      <c r="K40" s="137" t="str">
        <f t="shared" si="4"/>
        <v>x</v>
      </c>
      <c r="L40" s="49">
        <f t="shared" si="5"/>
        <v>0</v>
      </c>
      <c r="M40" s="34"/>
      <c r="N40" s="37" t="str">
        <f>IF(COUNT(ngay04!$I$6)&gt;0,ngay04!$I$6,"")</f>
        <v/>
      </c>
      <c r="O40" s="34" t="str">
        <f t="shared" si="6"/>
        <v>x</v>
      </c>
      <c r="P40" s="38">
        <f t="shared" si="7"/>
        <v>0</v>
      </c>
      <c r="Q40" s="37" t="str">
        <f>IF(COUNT(ngay04!$U$39)&gt;0,ngay04!$U$39,"")</f>
        <v/>
      </c>
      <c r="R40" s="137" t="str">
        <f t="shared" si="8"/>
        <v>x</v>
      </c>
      <c r="S40" s="49">
        <f t="shared" si="9"/>
        <v>0</v>
      </c>
      <c r="T40" s="34"/>
      <c r="U40" s="37" t="str">
        <f>IF(COUNT(ngay04!$I$12)&gt;0,ngay04!$I$12,"")</f>
        <v/>
      </c>
      <c r="V40" s="34" t="str">
        <f t="shared" si="10"/>
        <v>x</v>
      </c>
      <c r="W40" s="38">
        <f t="shared" si="11"/>
        <v>0</v>
      </c>
      <c r="X40" s="37" t="str">
        <f>IF(COUNT(ngay04!$U$48)&gt;0,ngay04!$U$48,"")</f>
        <v/>
      </c>
      <c r="Y40" s="137" t="str">
        <f t="shared" si="12"/>
        <v>x</v>
      </c>
      <c r="Z40" s="49">
        <f t="shared" si="13"/>
        <v>0</v>
      </c>
      <c r="AA40" s="34"/>
      <c r="AB40" s="37" t="str">
        <f>IF(COUNT(ngay04!$I$21)&gt;0,ngay04!$I$21,"")</f>
        <v/>
      </c>
      <c r="AC40" s="34" t="str">
        <f t="shared" si="14"/>
        <v>x</v>
      </c>
      <c r="AD40" s="38">
        <f t="shared" si="15"/>
        <v>0</v>
      </c>
    </row>
    <row r="41" spans="1:32">
      <c r="A41" s="41"/>
      <c r="B41" s="48">
        <v>19</v>
      </c>
      <c r="C41" s="37" t="str">
        <f>IF(COUNT(ngay04!$V$31)&gt;0,ngay04!$V$31,"")</f>
        <v/>
      </c>
      <c r="D41" s="137" t="str">
        <f t="shared" si="0"/>
        <v>x</v>
      </c>
      <c r="E41" s="49">
        <f t="shared" si="1"/>
        <v>0</v>
      </c>
      <c r="F41" s="34"/>
      <c r="G41" s="37" t="str">
        <f>IF(COUNT(ngay04!$J$4)&gt;0,ngay04!$J$4,"")</f>
        <v/>
      </c>
      <c r="H41" s="34" t="str">
        <f t="shared" si="2"/>
        <v>x</v>
      </c>
      <c r="I41" s="38">
        <f t="shared" si="3"/>
        <v>0</v>
      </c>
      <c r="J41" s="37" t="str">
        <f>IF(COUNT(ngay04!$V$33)&gt;0,ngay04!$V$33,"")</f>
        <v/>
      </c>
      <c r="K41" s="137" t="str">
        <f t="shared" si="4"/>
        <v>x</v>
      </c>
      <c r="L41" s="49">
        <f t="shared" si="5"/>
        <v>0</v>
      </c>
      <c r="M41" s="34"/>
      <c r="N41" s="37" t="str">
        <f>IF(COUNT(ngay04!$J$6)&gt;0,ngay04!$J$6,"")</f>
        <v/>
      </c>
      <c r="O41" s="34" t="str">
        <f t="shared" si="6"/>
        <v>x</v>
      </c>
      <c r="P41" s="38">
        <f t="shared" si="7"/>
        <v>0</v>
      </c>
      <c r="Q41" s="37" t="str">
        <f>IF(COUNT(ngay04!$V$39)&gt;0,ngay04!$V$39,"")</f>
        <v/>
      </c>
      <c r="R41" s="137" t="str">
        <f t="shared" si="8"/>
        <v>x</v>
      </c>
      <c r="S41" s="49">
        <f t="shared" si="9"/>
        <v>0</v>
      </c>
      <c r="T41" s="34"/>
      <c r="U41" s="37" t="str">
        <f>IF(COUNT(ngay04!$J$12)&gt;0,ngay04!$J$12,"")</f>
        <v/>
      </c>
      <c r="V41" s="34" t="str">
        <f t="shared" si="10"/>
        <v>x</v>
      </c>
      <c r="W41" s="38">
        <f t="shared" si="11"/>
        <v>0</v>
      </c>
      <c r="X41" s="37" t="str">
        <f>IF(COUNT(ngay04!$V$48)&gt;0,ngay04!$V$48,"")</f>
        <v/>
      </c>
      <c r="Y41" s="137" t="str">
        <f t="shared" si="12"/>
        <v>x</v>
      </c>
      <c r="Z41" s="49">
        <f t="shared" si="13"/>
        <v>0</v>
      </c>
      <c r="AA41" s="34"/>
      <c r="AB41" s="37" t="str">
        <f>IF(COUNT(ngay04!$J$21)&gt;0,ngay04!$J$21,"")</f>
        <v/>
      </c>
      <c r="AC41" s="34" t="str">
        <f t="shared" si="14"/>
        <v>x</v>
      </c>
      <c r="AD41" s="38">
        <f t="shared" si="15"/>
        <v>0</v>
      </c>
    </row>
    <row r="42" spans="1:32">
      <c r="A42" s="41"/>
      <c r="B42" s="48">
        <v>22</v>
      </c>
      <c r="C42" s="37" t="str">
        <f>IF(COUNT(ngay05!$O$31)&gt;0,ngay05!$O$31,"")</f>
        <v/>
      </c>
      <c r="D42" s="137" t="str">
        <f t="shared" si="0"/>
        <v>x</v>
      </c>
      <c r="E42" s="49">
        <f t="shared" si="1"/>
        <v>0</v>
      </c>
      <c r="F42" s="34"/>
      <c r="G42" s="37" t="str">
        <f>IF(COUNT(ngay05!$C$4)&gt;0,ngay05!$C$4,"")</f>
        <v/>
      </c>
      <c r="H42" s="34" t="str">
        <f t="shared" si="2"/>
        <v>x</v>
      </c>
      <c r="I42" s="38">
        <f t="shared" si="3"/>
        <v>0</v>
      </c>
      <c r="J42" s="37" t="str">
        <f>IF(COUNT(ngay05!$O$33)&gt;0,ngay05!$O$33,"")</f>
        <v/>
      </c>
      <c r="K42" s="137" t="str">
        <f t="shared" si="4"/>
        <v>x</v>
      </c>
      <c r="L42" s="49">
        <f t="shared" si="5"/>
        <v>0</v>
      </c>
      <c r="M42" s="34"/>
      <c r="N42" s="37" t="str">
        <f>IF(COUNT(ngay05!$C$6)&gt;0,ngay05!$C$6,"")</f>
        <v/>
      </c>
      <c r="O42" s="34" t="str">
        <f t="shared" si="6"/>
        <v>x</v>
      </c>
      <c r="P42" s="38">
        <f t="shared" si="7"/>
        <v>0</v>
      </c>
      <c r="Q42" s="37" t="str">
        <f>IF(COUNT(ngay05!$O$39)&gt;0,ngay05!$O$39,"")</f>
        <v/>
      </c>
      <c r="R42" s="137" t="str">
        <f t="shared" si="8"/>
        <v>x</v>
      </c>
      <c r="S42" s="49">
        <f t="shared" si="9"/>
        <v>0</v>
      </c>
      <c r="T42" s="34"/>
      <c r="U42" s="37" t="str">
        <f>IF(COUNT(ngay05!$C$12)&gt;0,ngay05!$C$12,"")</f>
        <v/>
      </c>
      <c r="V42" s="34" t="str">
        <f t="shared" si="10"/>
        <v>x</v>
      </c>
      <c r="W42" s="38">
        <f t="shared" si="11"/>
        <v>0</v>
      </c>
      <c r="X42" s="37" t="str">
        <f>IF(COUNT(ngay05!$O$48)&gt;0,ngay05!$O$48,"")</f>
        <v/>
      </c>
      <c r="Y42" s="137" t="str">
        <f t="shared" si="12"/>
        <v>x</v>
      </c>
      <c r="Z42" s="49">
        <f t="shared" si="13"/>
        <v>0</v>
      </c>
      <c r="AA42" s="34"/>
      <c r="AB42" s="37" t="str">
        <f>IF(COUNT(ngay05!$C$21)&gt;0,ngay05!$C$21,"")</f>
        <v/>
      </c>
      <c r="AC42" s="34" t="str">
        <f t="shared" si="14"/>
        <v>x</v>
      </c>
      <c r="AD42" s="38">
        <f t="shared" si="15"/>
        <v>0</v>
      </c>
    </row>
    <row r="43" spans="1:32" s="145" customFormat="1">
      <c r="A43" s="146">
        <v>5</v>
      </c>
      <c r="B43" s="48">
        <v>1</v>
      </c>
      <c r="C43" s="141" t="str">
        <f>IF(COUNT(ngay05!$P$31)&gt;0,ngay05!$P$31,"")</f>
        <v/>
      </c>
      <c r="D43" s="144" t="str">
        <f t="shared" si="0"/>
        <v>x</v>
      </c>
      <c r="E43" s="142">
        <f t="shared" si="1"/>
        <v>0</v>
      </c>
      <c r="F43" s="140"/>
      <c r="G43" s="141" t="str">
        <f>IF(COUNT(ngay05!$D$4)&gt;0,ngay05!$D$4,"")</f>
        <v/>
      </c>
      <c r="H43" s="140" t="str">
        <f t="shared" si="2"/>
        <v>x</v>
      </c>
      <c r="I43" s="143">
        <f t="shared" si="3"/>
        <v>0</v>
      </c>
      <c r="J43" s="141" t="str">
        <f>IF(COUNT(ngay05!$P$33)&gt;0,ngay05!$P$33,"")</f>
        <v/>
      </c>
      <c r="K43" s="144" t="str">
        <f t="shared" si="4"/>
        <v>x</v>
      </c>
      <c r="L43" s="142">
        <f t="shared" si="5"/>
        <v>0</v>
      </c>
      <c r="M43" s="140"/>
      <c r="N43" s="141" t="str">
        <f>IF(COUNT(ngay05!$D$6)&gt;0,ngay05!$D$6,"")</f>
        <v/>
      </c>
      <c r="O43" s="140" t="str">
        <f t="shared" si="6"/>
        <v>x</v>
      </c>
      <c r="P43" s="143">
        <f t="shared" si="7"/>
        <v>0</v>
      </c>
      <c r="Q43" s="141" t="str">
        <f>IF(COUNT(ngay05!$P$39)&gt;0,ngay05!$P$39,"")</f>
        <v/>
      </c>
      <c r="R43" s="144" t="str">
        <f t="shared" si="8"/>
        <v>x</v>
      </c>
      <c r="S43" s="142">
        <f t="shared" si="9"/>
        <v>0</v>
      </c>
      <c r="T43" s="140"/>
      <c r="U43" s="141" t="str">
        <f>IF(COUNT(ngay05!$D$12)&gt;0,ngay05!$D$12,"")</f>
        <v/>
      </c>
      <c r="V43" s="140" t="str">
        <f t="shared" si="10"/>
        <v>x</v>
      </c>
      <c r="W43" s="143">
        <f t="shared" si="11"/>
        <v>0</v>
      </c>
      <c r="X43" s="141" t="str">
        <f>IF(COUNT(ngay05!$P$48)&gt;0,ngay05!$P$48,"")</f>
        <v/>
      </c>
      <c r="Y43" s="144" t="str">
        <f t="shared" si="12"/>
        <v>x</v>
      </c>
      <c r="Z43" s="142">
        <f t="shared" si="13"/>
        <v>0</v>
      </c>
      <c r="AA43" s="140"/>
      <c r="AB43" s="141" t="str">
        <f>IF(COUNT(ngay05!$D$21)&gt;0,ngay05!$D$21,"")</f>
        <v/>
      </c>
      <c r="AC43" s="140" t="str">
        <f t="shared" si="14"/>
        <v>x</v>
      </c>
      <c r="AD43" s="143">
        <f t="shared" si="15"/>
        <v>0</v>
      </c>
      <c r="AE43" s="147"/>
      <c r="AF43" s="147"/>
    </row>
    <row r="44" spans="1:32">
      <c r="A44" s="41"/>
      <c r="B44" s="48">
        <v>4</v>
      </c>
      <c r="C44" s="37" t="str">
        <f>IF(COUNT(ngay05!$Q$31)&gt;0,ngay05!$Q$31,"")</f>
        <v/>
      </c>
      <c r="D44" s="137" t="str">
        <f t="shared" si="0"/>
        <v>x</v>
      </c>
      <c r="E44" s="49">
        <f t="shared" si="1"/>
        <v>0</v>
      </c>
      <c r="F44" s="34"/>
      <c r="G44" s="37" t="str">
        <f>IF(COUNT(ngay05!$E$4)&gt;0,ngay05!$E$4,"")</f>
        <v/>
      </c>
      <c r="H44" s="34" t="str">
        <f t="shared" si="2"/>
        <v>x</v>
      </c>
      <c r="I44" s="38">
        <f t="shared" si="3"/>
        <v>0</v>
      </c>
      <c r="J44" s="37" t="str">
        <f>IF(COUNT(ngay05!$Q$33)&gt;0,ngay05!$Q$33,"")</f>
        <v/>
      </c>
      <c r="K44" s="137" t="str">
        <f t="shared" si="4"/>
        <v>x</v>
      </c>
      <c r="L44" s="49">
        <f t="shared" si="5"/>
        <v>0</v>
      </c>
      <c r="M44" s="34"/>
      <c r="N44" s="37" t="str">
        <f>IF(COUNT(ngay05!$E$6)&gt;0,ngay05!$E$6,"")</f>
        <v/>
      </c>
      <c r="O44" s="34" t="str">
        <f t="shared" si="6"/>
        <v>x</v>
      </c>
      <c r="P44" s="38">
        <f t="shared" si="7"/>
        <v>0</v>
      </c>
      <c r="Q44" s="37" t="str">
        <f>IF(COUNT(ngay05!$Q$39)&gt;0,ngay05!$Q$39,"")</f>
        <v/>
      </c>
      <c r="R44" s="137" t="str">
        <f t="shared" si="8"/>
        <v>x</v>
      </c>
      <c r="S44" s="49">
        <f t="shared" si="9"/>
        <v>0</v>
      </c>
      <c r="T44" s="34"/>
      <c r="U44" s="37" t="str">
        <f>IF(COUNT(ngay05!$E$12)&gt;0,ngay05!$E$12,"")</f>
        <v/>
      </c>
      <c r="V44" s="34" t="str">
        <f t="shared" si="10"/>
        <v>x</v>
      </c>
      <c r="W44" s="38">
        <f t="shared" si="11"/>
        <v>0</v>
      </c>
      <c r="X44" s="37" t="str">
        <f>IF(COUNT(ngay05!$Q$48)&gt;0,ngay05!$Q$48,"")</f>
        <v/>
      </c>
      <c r="Y44" s="137" t="str">
        <f t="shared" si="12"/>
        <v>x</v>
      </c>
      <c r="Z44" s="49">
        <f t="shared" si="13"/>
        <v>0</v>
      </c>
      <c r="AA44" s="34"/>
      <c r="AB44" s="37" t="str">
        <f>IF(COUNT(ngay05!$E$21)&gt;0,ngay05!$E$21,"")</f>
        <v/>
      </c>
      <c r="AC44" s="34" t="str">
        <f t="shared" si="14"/>
        <v>x</v>
      </c>
      <c r="AD44" s="38">
        <f t="shared" si="15"/>
        <v>0</v>
      </c>
    </row>
    <row r="45" spans="1:32">
      <c r="A45" s="41"/>
      <c r="B45" s="139">
        <v>7</v>
      </c>
      <c r="C45" s="37" t="str">
        <f>IF(COUNT(ngay05!$R$31)&gt;0,ngay05!$R$31,"")</f>
        <v/>
      </c>
      <c r="D45" s="137" t="str">
        <f t="shared" si="0"/>
        <v>x</v>
      </c>
      <c r="E45" s="49">
        <f t="shared" si="1"/>
        <v>0</v>
      </c>
      <c r="F45" s="34"/>
      <c r="G45" s="37" t="str">
        <f>IF(COUNT(ngay05!$F$4)&gt;0,ngay05!$F$4,"")</f>
        <v/>
      </c>
      <c r="H45" s="34" t="str">
        <f t="shared" si="2"/>
        <v>x</v>
      </c>
      <c r="I45" s="38">
        <f t="shared" si="3"/>
        <v>0</v>
      </c>
      <c r="J45" s="37" t="str">
        <f>IF(COUNT(ngay05!$R$33)&gt;0,ngay05!$R$33,"")</f>
        <v/>
      </c>
      <c r="K45" s="137" t="str">
        <f t="shared" si="4"/>
        <v>x</v>
      </c>
      <c r="L45" s="49">
        <f t="shared" si="5"/>
        <v>0</v>
      </c>
      <c r="M45" s="34"/>
      <c r="N45" s="37" t="str">
        <f>IF(COUNT(ngay05!$F$6)&gt;0,ngay05!$F$6,"")</f>
        <v/>
      </c>
      <c r="O45" s="34" t="str">
        <f t="shared" si="6"/>
        <v>x</v>
      </c>
      <c r="P45" s="38">
        <f t="shared" si="7"/>
        <v>0</v>
      </c>
      <c r="Q45" s="37" t="str">
        <f>IF(COUNT(ngay05!$R$39)&gt;0,ngay05!$R$39,"")</f>
        <v/>
      </c>
      <c r="R45" s="137" t="str">
        <f t="shared" si="8"/>
        <v>x</v>
      </c>
      <c r="S45" s="49">
        <f t="shared" si="9"/>
        <v>0</v>
      </c>
      <c r="T45" s="34"/>
      <c r="U45" s="37" t="str">
        <f>IF(COUNT(ngay05!$F$12)&gt;0,ngay05!$F$12,"")</f>
        <v/>
      </c>
      <c r="V45" s="34" t="str">
        <f t="shared" si="10"/>
        <v>x</v>
      </c>
      <c r="W45" s="38">
        <f t="shared" si="11"/>
        <v>0</v>
      </c>
      <c r="X45" s="37" t="str">
        <f>IF(COUNT(ngay05!$R$48)&gt;0,ngay05!$R$48,"")</f>
        <v/>
      </c>
      <c r="Y45" s="137" t="str">
        <f t="shared" si="12"/>
        <v>x</v>
      </c>
      <c r="Z45" s="49">
        <f t="shared" si="13"/>
        <v>0</v>
      </c>
      <c r="AA45" s="34"/>
      <c r="AB45" s="37" t="str">
        <f>IF(COUNT(ngay05!$F$21)&gt;0,ngay05!$F$21,"")</f>
        <v/>
      </c>
      <c r="AC45" s="34" t="str">
        <f t="shared" si="14"/>
        <v>x</v>
      </c>
      <c r="AD45" s="38">
        <f t="shared" si="15"/>
        <v>0</v>
      </c>
    </row>
    <row r="46" spans="1:32">
      <c r="A46" s="41"/>
      <c r="B46" s="48">
        <v>10</v>
      </c>
      <c r="C46" s="37" t="str">
        <f>IF(COUNT(ngay05!$S$31)&gt;0,ngay05!$S$31,"")</f>
        <v/>
      </c>
      <c r="D46" s="137" t="str">
        <f t="shared" si="0"/>
        <v>x</v>
      </c>
      <c r="E46" s="49">
        <f t="shared" si="1"/>
        <v>0</v>
      </c>
      <c r="F46" s="34"/>
      <c r="G46" s="37" t="str">
        <f>IF(COUNT(ngay05!$G$4)&gt;0,ngay05!$G$4,"")</f>
        <v/>
      </c>
      <c r="H46" s="34" t="str">
        <f t="shared" si="2"/>
        <v>x</v>
      </c>
      <c r="I46" s="38">
        <f t="shared" si="3"/>
        <v>0</v>
      </c>
      <c r="J46" s="37" t="str">
        <f>IF(COUNT(ngay05!$S$33)&gt;0,ngay05!$S$33,"")</f>
        <v/>
      </c>
      <c r="K46" s="137" t="str">
        <f t="shared" si="4"/>
        <v>x</v>
      </c>
      <c r="L46" s="49">
        <f t="shared" si="5"/>
        <v>0</v>
      </c>
      <c r="M46" s="34"/>
      <c r="N46" s="37" t="str">
        <f>IF(COUNT(ngay05!$G$6)&gt;0,ngay05!$G$6,"")</f>
        <v/>
      </c>
      <c r="O46" s="34" t="str">
        <f t="shared" si="6"/>
        <v>x</v>
      </c>
      <c r="P46" s="38">
        <f t="shared" si="7"/>
        <v>0</v>
      </c>
      <c r="Q46" s="37" t="str">
        <f>IF(COUNT(ngay05!$S$39)&gt;0,ngay05!$S$39,"")</f>
        <v/>
      </c>
      <c r="R46" s="137" t="str">
        <f t="shared" si="8"/>
        <v>x</v>
      </c>
      <c r="S46" s="49">
        <f t="shared" si="9"/>
        <v>0</v>
      </c>
      <c r="T46" s="34"/>
      <c r="U46" s="37" t="str">
        <f>IF(COUNT(ngay05!$G$12)&gt;0,ngay05!$G$12,"")</f>
        <v/>
      </c>
      <c r="V46" s="34" t="str">
        <f t="shared" si="10"/>
        <v>x</v>
      </c>
      <c r="W46" s="38">
        <f t="shared" si="11"/>
        <v>0</v>
      </c>
      <c r="X46" s="37" t="str">
        <f>IF(COUNT(ngay05!$S$48)&gt;0,ngay05!$S$48,"")</f>
        <v/>
      </c>
      <c r="Y46" s="137" t="str">
        <f t="shared" si="12"/>
        <v>x</v>
      </c>
      <c r="Z46" s="49">
        <f t="shared" si="13"/>
        <v>0</v>
      </c>
      <c r="AA46" s="34"/>
      <c r="AB46" s="37" t="str">
        <f>IF(COUNT(ngay05!$G$21)&gt;0,ngay05!$G$21,"")</f>
        <v/>
      </c>
      <c r="AC46" s="34" t="str">
        <f t="shared" si="14"/>
        <v>x</v>
      </c>
      <c r="AD46" s="38">
        <f t="shared" si="15"/>
        <v>0</v>
      </c>
    </row>
    <row r="47" spans="1:32">
      <c r="A47" s="41"/>
      <c r="B47" s="48">
        <v>13</v>
      </c>
      <c r="C47" s="37" t="str">
        <f>IF(COUNT(ngay05!$T$31)&gt;0,ngay05!$T$31,"")</f>
        <v/>
      </c>
      <c r="D47" s="137" t="str">
        <f t="shared" si="0"/>
        <v>x</v>
      </c>
      <c r="E47" s="49">
        <f t="shared" si="1"/>
        <v>0</v>
      </c>
      <c r="F47" s="34"/>
      <c r="G47" s="37" t="str">
        <f>IF(COUNT(ngay05!$H$4)&gt;0,ngay05!$H$4,"")</f>
        <v/>
      </c>
      <c r="H47" s="34" t="str">
        <f t="shared" si="2"/>
        <v>x</v>
      </c>
      <c r="I47" s="38">
        <f t="shared" si="3"/>
        <v>0</v>
      </c>
      <c r="J47" s="37" t="str">
        <f>IF(COUNT(ngay05!$T$33)&gt;0,ngay05!$T$33,"")</f>
        <v/>
      </c>
      <c r="K47" s="137" t="str">
        <f t="shared" si="4"/>
        <v>x</v>
      </c>
      <c r="L47" s="49">
        <f t="shared" si="5"/>
        <v>0</v>
      </c>
      <c r="M47" s="34"/>
      <c r="N47" s="37" t="str">
        <f>IF(COUNT(ngay05!$H$6)&gt;0,ngay05!$H$6,"")</f>
        <v/>
      </c>
      <c r="O47" s="34" t="str">
        <f t="shared" si="6"/>
        <v>x</v>
      </c>
      <c r="P47" s="38">
        <f t="shared" si="7"/>
        <v>0</v>
      </c>
      <c r="Q47" s="37" t="str">
        <f>IF(COUNT(ngay05!$T$39)&gt;0,ngay05!$T$39,"")</f>
        <v/>
      </c>
      <c r="R47" s="137" t="str">
        <f t="shared" si="8"/>
        <v>x</v>
      </c>
      <c r="S47" s="49">
        <f t="shared" si="9"/>
        <v>0</v>
      </c>
      <c r="T47" s="34"/>
      <c r="U47" s="37" t="str">
        <f>IF(COUNT(ngay05!$H$12)&gt;0,ngay05!$H$12,"")</f>
        <v/>
      </c>
      <c r="V47" s="34" t="str">
        <f t="shared" si="10"/>
        <v>x</v>
      </c>
      <c r="W47" s="38">
        <f t="shared" si="11"/>
        <v>0</v>
      </c>
      <c r="X47" s="37" t="str">
        <f>IF(COUNT(ngay05!$T$48)&gt;0,ngay05!$T$48,"")</f>
        <v/>
      </c>
      <c r="Y47" s="137" t="str">
        <f t="shared" si="12"/>
        <v>x</v>
      </c>
      <c r="Z47" s="49">
        <f t="shared" si="13"/>
        <v>0</v>
      </c>
      <c r="AA47" s="34"/>
      <c r="AB47" s="37" t="str">
        <f>IF(COUNT(ngay05!$H$21)&gt;0,ngay05!$H$21,"")</f>
        <v/>
      </c>
      <c r="AC47" s="34" t="str">
        <f t="shared" si="14"/>
        <v>x</v>
      </c>
      <c r="AD47" s="38">
        <f t="shared" si="15"/>
        <v>0</v>
      </c>
    </row>
    <row r="48" spans="1:32">
      <c r="A48" s="41"/>
      <c r="B48" s="48">
        <v>16</v>
      </c>
      <c r="C48" s="37" t="str">
        <f>IF(COUNT(ngay05!$U$31)&gt;0,ngay05!$U$31,"")</f>
        <v/>
      </c>
      <c r="D48" s="137" t="str">
        <f t="shared" si="0"/>
        <v>x</v>
      </c>
      <c r="E48" s="49">
        <f t="shared" si="1"/>
        <v>0</v>
      </c>
      <c r="F48" s="34"/>
      <c r="G48" s="37" t="str">
        <f>IF(COUNT(ngay05!$I$4)&gt;0,ngay05!$I$4,"")</f>
        <v/>
      </c>
      <c r="H48" s="34" t="str">
        <f t="shared" si="2"/>
        <v>x</v>
      </c>
      <c r="I48" s="38">
        <f t="shared" si="3"/>
        <v>0</v>
      </c>
      <c r="J48" s="37" t="str">
        <f>IF(COUNT(ngay05!$U$33)&gt;0,ngay05!$U$33,"")</f>
        <v/>
      </c>
      <c r="K48" s="137" t="str">
        <f t="shared" si="4"/>
        <v>x</v>
      </c>
      <c r="L48" s="49">
        <f t="shared" si="5"/>
        <v>0</v>
      </c>
      <c r="M48" s="34"/>
      <c r="N48" s="37" t="str">
        <f>IF(COUNT(ngay05!$I$6)&gt;0,ngay05!$I$6,"")</f>
        <v/>
      </c>
      <c r="O48" s="34" t="str">
        <f t="shared" si="6"/>
        <v>x</v>
      </c>
      <c r="P48" s="38">
        <f t="shared" si="7"/>
        <v>0</v>
      </c>
      <c r="Q48" s="37" t="str">
        <f>IF(COUNT(ngay05!$U$39)&gt;0,ngay05!$U$39,"")</f>
        <v/>
      </c>
      <c r="R48" s="137" t="str">
        <f t="shared" si="8"/>
        <v>x</v>
      </c>
      <c r="S48" s="49">
        <f t="shared" si="9"/>
        <v>0</v>
      </c>
      <c r="T48" s="34"/>
      <c r="U48" s="37" t="str">
        <f>IF(COUNT(ngay05!$I$12)&gt;0,ngay05!$I$12,"")</f>
        <v/>
      </c>
      <c r="V48" s="34" t="str">
        <f t="shared" si="10"/>
        <v>x</v>
      </c>
      <c r="W48" s="38">
        <f t="shared" si="11"/>
        <v>0</v>
      </c>
      <c r="X48" s="37" t="str">
        <f>IF(COUNT(ngay05!$U$48)&gt;0,ngay05!$U$48,"")</f>
        <v/>
      </c>
      <c r="Y48" s="137" t="str">
        <f t="shared" si="12"/>
        <v>x</v>
      </c>
      <c r="Z48" s="49">
        <f t="shared" si="13"/>
        <v>0</v>
      </c>
      <c r="AA48" s="34"/>
      <c r="AB48" s="37" t="str">
        <f>IF(COUNT(ngay05!$I$21)&gt;0,ngay05!$I$21,"")</f>
        <v/>
      </c>
      <c r="AC48" s="34" t="str">
        <f t="shared" si="14"/>
        <v>x</v>
      </c>
      <c r="AD48" s="38">
        <f t="shared" si="15"/>
        <v>0</v>
      </c>
    </row>
    <row r="49" spans="1:32">
      <c r="A49" s="41"/>
      <c r="B49" s="48">
        <v>19</v>
      </c>
      <c r="C49" s="37" t="str">
        <f>IF(COUNT(ngay05!$V$31)&gt;0,ngay05!$V$31,"")</f>
        <v/>
      </c>
      <c r="D49" s="137" t="str">
        <f t="shared" si="0"/>
        <v>x</v>
      </c>
      <c r="E49" s="49">
        <f t="shared" si="1"/>
        <v>0</v>
      </c>
      <c r="F49" s="34"/>
      <c r="G49" s="37" t="str">
        <f>IF(COUNT(ngay05!$J$4)&gt;0,ngay05!$J$4,"")</f>
        <v/>
      </c>
      <c r="H49" s="34" t="str">
        <f t="shared" si="2"/>
        <v>x</v>
      </c>
      <c r="I49" s="38">
        <f t="shared" si="3"/>
        <v>0</v>
      </c>
      <c r="J49" s="37" t="str">
        <f>IF(COUNT(ngay05!$V$33)&gt;0,ngay05!$V$33,"")</f>
        <v/>
      </c>
      <c r="K49" s="137" t="str">
        <f t="shared" si="4"/>
        <v>x</v>
      </c>
      <c r="L49" s="49">
        <f t="shared" si="5"/>
        <v>0</v>
      </c>
      <c r="M49" s="34"/>
      <c r="N49" s="37" t="str">
        <f>IF(COUNT(ngay05!$J$6)&gt;0,ngay05!$J$6,"")</f>
        <v/>
      </c>
      <c r="O49" s="34" t="str">
        <f t="shared" si="6"/>
        <v>x</v>
      </c>
      <c r="P49" s="38">
        <f t="shared" si="7"/>
        <v>0</v>
      </c>
      <c r="Q49" s="37" t="str">
        <f>IF(COUNT(ngay05!$V$39)&gt;0,ngay05!$V$39,"")</f>
        <v/>
      </c>
      <c r="R49" s="137" t="str">
        <f t="shared" si="8"/>
        <v>x</v>
      </c>
      <c r="S49" s="49">
        <f t="shared" si="9"/>
        <v>0</v>
      </c>
      <c r="T49" s="34"/>
      <c r="U49" s="37" t="str">
        <f>IF(COUNT(ngay05!$J$12)&gt;0,ngay05!$J$12,"")</f>
        <v/>
      </c>
      <c r="V49" s="34" t="str">
        <f t="shared" si="10"/>
        <v>x</v>
      </c>
      <c r="W49" s="38">
        <f t="shared" si="11"/>
        <v>0</v>
      </c>
      <c r="X49" s="37" t="str">
        <f>IF(COUNT(ngay05!$V$48)&gt;0,ngay05!$V$48,"")</f>
        <v/>
      </c>
      <c r="Y49" s="137" t="str">
        <f t="shared" si="12"/>
        <v>x</v>
      </c>
      <c r="Z49" s="49">
        <f t="shared" si="13"/>
        <v>0</v>
      </c>
      <c r="AA49" s="34"/>
      <c r="AB49" s="37" t="str">
        <f>IF(COUNT(ngay05!$J$21)&gt;0,ngay05!$J$21,"")</f>
        <v/>
      </c>
      <c r="AC49" s="34" t="str">
        <f t="shared" si="14"/>
        <v>x</v>
      </c>
      <c r="AD49" s="38">
        <f t="shared" si="15"/>
        <v>0</v>
      </c>
    </row>
    <row r="50" spans="1:32">
      <c r="A50" s="41"/>
      <c r="B50" s="48">
        <v>22</v>
      </c>
      <c r="C50" s="37" t="str">
        <f>IF(COUNT(ngay06!$O$31)&gt;0,ngay06!$O$31,"")</f>
        <v/>
      </c>
      <c r="D50" s="137" t="str">
        <f t="shared" si="0"/>
        <v>x</v>
      </c>
      <c r="E50" s="49">
        <f t="shared" si="1"/>
        <v>0</v>
      </c>
      <c r="F50" s="34"/>
      <c r="G50" s="37" t="str">
        <f>IF(COUNT(ngay06!$C$4)&gt;0,ngay06!$C$4,"")</f>
        <v/>
      </c>
      <c r="H50" s="34" t="str">
        <f t="shared" si="2"/>
        <v>x</v>
      </c>
      <c r="I50" s="38">
        <f t="shared" si="3"/>
        <v>0</v>
      </c>
      <c r="J50" s="37" t="str">
        <f>IF(COUNT(ngay06!$O$33)&gt;0,ngay06!$O$33,"")</f>
        <v/>
      </c>
      <c r="K50" s="137" t="str">
        <f t="shared" si="4"/>
        <v>x</v>
      </c>
      <c r="L50" s="49">
        <f t="shared" si="5"/>
        <v>0</v>
      </c>
      <c r="M50" s="34"/>
      <c r="N50" s="37" t="str">
        <f>IF(COUNT(ngay06!$C$6)&gt;0,ngay06!$C$6,"")</f>
        <v/>
      </c>
      <c r="O50" s="34" t="str">
        <f t="shared" si="6"/>
        <v>x</v>
      </c>
      <c r="P50" s="38">
        <f t="shared" si="7"/>
        <v>0</v>
      </c>
      <c r="Q50" s="37" t="str">
        <f>IF(COUNT(ngay06!$O$39)&gt;0,ngay06!$O$39,"")</f>
        <v/>
      </c>
      <c r="R50" s="137" t="str">
        <f t="shared" si="8"/>
        <v>x</v>
      </c>
      <c r="S50" s="49">
        <f t="shared" si="9"/>
        <v>0</v>
      </c>
      <c r="T50" s="34"/>
      <c r="U50" s="37" t="str">
        <f>IF(COUNT(ngay06!$C$12)&gt;0,ngay06!$C$12,"")</f>
        <v/>
      </c>
      <c r="V50" s="34" t="str">
        <f t="shared" si="10"/>
        <v>x</v>
      </c>
      <c r="W50" s="38">
        <f t="shared" si="11"/>
        <v>0</v>
      </c>
      <c r="X50" s="37" t="str">
        <f>IF(COUNT(ngay06!$O$48)&gt;0,ngay06!$O$48,"")</f>
        <v/>
      </c>
      <c r="Y50" s="137" t="str">
        <f t="shared" si="12"/>
        <v>x</v>
      </c>
      <c r="Z50" s="49">
        <f t="shared" si="13"/>
        <v>0</v>
      </c>
      <c r="AA50" s="34"/>
      <c r="AB50" s="37" t="str">
        <f>IF(COUNT(ngay06!$C$21)&gt;0,ngay06!$C$21,"")</f>
        <v/>
      </c>
      <c r="AC50" s="34" t="str">
        <f t="shared" si="14"/>
        <v>x</v>
      </c>
      <c r="AD50" s="38">
        <f t="shared" si="15"/>
        <v>0</v>
      </c>
    </row>
    <row r="51" spans="1:32" s="145" customFormat="1">
      <c r="A51" s="146">
        <v>6</v>
      </c>
      <c r="B51" s="48">
        <v>1</v>
      </c>
      <c r="C51" s="141" t="str">
        <f>IF(COUNT(ngay06!$P$31)&gt;0,ngay06!$P$31,"")</f>
        <v/>
      </c>
      <c r="D51" s="144" t="str">
        <f t="shared" si="0"/>
        <v>x</v>
      </c>
      <c r="E51" s="142">
        <f t="shared" si="1"/>
        <v>0</v>
      </c>
      <c r="F51" s="140"/>
      <c r="G51" s="141" t="str">
        <f>IF(COUNT(ngay06!$D$4)&gt;0,ngay06!$D$4,"")</f>
        <v/>
      </c>
      <c r="H51" s="140" t="str">
        <f t="shared" si="2"/>
        <v>x</v>
      </c>
      <c r="I51" s="143">
        <f t="shared" si="3"/>
        <v>0</v>
      </c>
      <c r="J51" s="141" t="str">
        <f>IF(COUNT(ngay06!$P$33)&gt;0,ngay06!$P$33,"")</f>
        <v/>
      </c>
      <c r="K51" s="144" t="str">
        <f t="shared" si="4"/>
        <v>x</v>
      </c>
      <c r="L51" s="142">
        <f t="shared" si="5"/>
        <v>0</v>
      </c>
      <c r="M51" s="140"/>
      <c r="N51" s="141" t="str">
        <f>IF(COUNT(ngay06!$D$6)&gt;0,ngay06!$D$6,"")</f>
        <v/>
      </c>
      <c r="O51" s="140" t="str">
        <f t="shared" si="6"/>
        <v>x</v>
      </c>
      <c r="P51" s="143">
        <f t="shared" si="7"/>
        <v>0</v>
      </c>
      <c r="Q51" s="141" t="str">
        <f>IF(COUNT(ngay06!$P$39)&gt;0,ngay06!$P$39,"")</f>
        <v/>
      </c>
      <c r="R51" s="144" t="str">
        <f t="shared" si="8"/>
        <v>x</v>
      </c>
      <c r="S51" s="142">
        <f t="shared" si="9"/>
        <v>0</v>
      </c>
      <c r="T51" s="140"/>
      <c r="U51" s="141" t="str">
        <f>IF(COUNT(ngay06!$D$12)&gt;0,ngay06!$D$12,"")</f>
        <v/>
      </c>
      <c r="V51" s="140" t="str">
        <f t="shared" si="10"/>
        <v>x</v>
      </c>
      <c r="W51" s="143">
        <f t="shared" si="11"/>
        <v>0</v>
      </c>
      <c r="X51" s="141" t="str">
        <f>IF(COUNT(ngay06!$P$48)&gt;0,ngay06!$P$48,"")</f>
        <v/>
      </c>
      <c r="Y51" s="144" t="str">
        <f t="shared" si="12"/>
        <v>x</v>
      </c>
      <c r="Z51" s="142">
        <f t="shared" si="13"/>
        <v>0</v>
      </c>
      <c r="AA51" s="140"/>
      <c r="AB51" s="141" t="str">
        <f>IF(COUNT(ngay06!$D$21)&gt;0,ngay06!$D$21,"")</f>
        <v/>
      </c>
      <c r="AC51" s="140" t="str">
        <f t="shared" si="14"/>
        <v>x</v>
      </c>
      <c r="AD51" s="143">
        <f t="shared" si="15"/>
        <v>0</v>
      </c>
      <c r="AE51" s="147"/>
      <c r="AF51" s="147"/>
    </row>
    <row r="52" spans="1:32">
      <c r="A52" s="41"/>
      <c r="B52" s="48">
        <v>4</v>
      </c>
      <c r="C52" s="37" t="str">
        <f>IF(COUNT(ngay06!$Q$31)&gt;0,ngay06!$Q$31,"")</f>
        <v/>
      </c>
      <c r="D52" s="137" t="str">
        <f t="shared" si="0"/>
        <v>x</v>
      </c>
      <c r="E52" s="49">
        <f t="shared" si="1"/>
        <v>0</v>
      </c>
      <c r="F52" s="34"/>
      <c r="G52" s="37" t="str">
        <f>IF(COUNT(ngay06!$E$4)&gt;0,ngay06!$E$4,"")</f>
        <v/>
      </c>
      <c r="H52" s="34" t="str">
        <f t="shared" si="2"/>
        <v>x</v>
      </c>
      <c r="I52" s="38">
        <f t="shared" si="3"/>
        <v>0</v>
      </c>
      <c r="J52" s="37" t="str">
        <f>IF(COUNT(ngay06!$Q$33)&gt;0,ngay06!$Q$33,"")</f>
        <v/>
      </c>
      <c r="K52" s="137" t="str">
        <f t="shared" si="4"/>
        <v>x</v>
      </c>
      <c r="L52" s="49">
        <f t="shared" si="5"/>
        <v>0</v>
      </c>
      <c r="M52" s="34"/>
      <c r="N52" s="37" t="str">
        <f>IF(COUNT(ngay06!$E$6)&gt;0,ngay06!$E$6,"")</f>
        <v/>
      </c>
      <c r="O52" s="34" t="str">
        <f t="shared" si="6"/>
        <v>x</v>
      </c>
      <c r="P52" s="38">
        <f t="shared" si="7"/>
        <v>0</v>
      </c>
      <c r="Q52" s="37" t="str">
        <f>IF(COUNT(ngay06!$Q$39)&gt;0,ngay06!$Q$39,"")</f>
        <v/>
      </c>
      <c r="R52" s="137" t="str">
        <f t="shared" si="8"/>
        <v>x</v>
      </c>
      <c r="S52" s="49">
        <f t="shared" si="9"/>
        <v>0</v>
      </c>
      <c r="T52" s="34"/>
      <c r="U52" s="37" t="str">
        <f>IF(COUNT(ngay06!$E$12)&gt;0,ngay06!$E$12,"")</f>
        <v/>
      </c>
      <c r="V52" s="34" t="str">
        <f t="shared" si="10"/>
        <v>x</v>
      </c>
      <c r="W52" s="38">
        <f t="shared" si="11"/>
        <v>0</v>
      </c>
      <c r="X52" s="37" t="str">
        <f>IF(COUNT(ngay06!$Q$48)&gt;0,ngay06!$Q$48,"")</f>
        <v/>
      </c>
      <c r="Y52" s="137" t="str">
        <f t="shared" si="12"/>
        <v>x</v>
      </c>
      <c r="Z52" s="49">
        <f t="shared" si="13"/>
        <v>0</v>
      </c>
      <c r="AA52" s="34"/>
      <c r="AB52" s="37" t="str">
        <f>IF(COUNT(ngay06!$E$21)&gt;0,ngay06!$E$21,"")</f>
        <v/>
      </c>
      <c r="AC52" s="34" t="str">
        <f t="shared" si="14"/>
        <v>x</v>
      </c>
      <c r="AD52" s="38">
        <f t="shared" si="15"/>
        <v>0</v>
      </c>
    </row>
    <row r="53" spans="1:32">
      <c r="A53" s="41"/>
      <c r="B53" s="139">
        <v>7</v>
      </c>
      <c r="C53" s="37" t="str">
        <f>IF(COUNT(ngay06!$R$31)&gt;0,ngay06!$R$31,"")</f>
        <v/>
      </c>
      <c r="D53" s="137" t="str">
        <f t="shared" si="0"/>
        <v>x</v>
      </c>
      <c r="E53" s="49">
        <f t="shared" si="1"/>
        <v>0</v>
      </c>
      <c r="F53" s="34"/>
      <c r="G53" s="37" t="str">
        <f>IF(COUNT(ngay06!$F$4)&gt;0,ngay06!$F$4,"")</f>
        <v/>
      </c>
      <c r="H53" s="34" t="str">
        <f t="shared" si="2"/>
        <v>x</v>
      </c>
      <c r="I53" s="38">
        <f t="shared" si="3"/>
        <v>0</v>
      </c>
      <c r="J53" s="37" t="str">
        <f>IF(COUNT(ngay06!$R$33)&gt;0,ngay06!$R$33,"")</f>
        <v/>
      </c>
      <c r="K53" s="137" t="str">
        <f t="shared" si="4"/>
        <v>x</v>
      </c>
      <c r="L53" s="49">
        <f t="shared" si="5"/>
        <v>0</v>
      </c>
      <c r="M53" s="34"/>
      <c r="N53" s="37" t="str">
        <f>IF(COUNT(ngay06!$F$6)&gt;0,ngay06!$F$6,"")</f>
        <v/>
      </c>
      <c r="O53" s="34" t="str">
        <f t="shared" si="6"/>
        <v>x</v>
      </c>
      <c r="P53" s="38">
        <f t="shared" si="7"/>
        <v>0</v>
      </c>
      <c r="Q53" s="37" t="str">
        <f>IF(COUNT(ngay06!$R$39)&gt;0,ngay06!$R$39,"")</f>
        <v/>
      </c>
      <c r="R53" s="137" t="str">
        <f t="shared" si="8"/>
        <v>x</v>
      </c>
      <c r="S53" s="49">
        <f t="shared" si="9"/>
        <v>0</v>
      </c>
      <c r="T53" s="34"/>
      <c r="U53" s="37" t="str">
        <f>IF(COUNT(ngay06!$F$12)&gt;0,ngay06!$F$12,"")</f>
        <v/>
      </c>
      <c r="V53" s="34" t="str">
        <f t="shared" si="10"/>
        <v>x</v>
      </c>
      <c r="W53" s="38">
        <f t="shared" si="11"/>
        <v>0</v>
      </c>
      <c r="X53" s="37" t="str">
        <f>IF(COUNT(ngay06!$R$48)&gt;0,ngay06!$R$48,"")</f>
        <v/>
      </c>
      <c r="Y53" s="137" t="str">
        <f t="shared" si="12"/>
        <v>x</v>
      </c>
      <c r="Z53" s="49">
        <f t="shared" si="13"/>
        <v>0</v>
      </c>
      <c r="AA53" s="34"/>
      <c r="AB53" s="37" t="str">
        <f>IF(COUNT(ngay06!$F$21)&gt;0,ngay06!$F$21,"")</f>
        <v/>
      </c>
      <c r="AC53" s="34" t="str">
        <f t="shared" si="14"/>
        <v>x</v>
      </c>
      <c r="AD53" s="38">
        <f t="shared" si="15"/>
        <v>0</v>
      </c>
    </row>
    <row r="54" spans="1:32">
      <c r="A54" s="41"/>
      <c r="B54" s="48">
        <v>10</v>
      </c>
      <c r="C54" s="37" t="str">
        <f>IF(COUNT(ngay06!$S$31)&gt;0,ngay06!$S$31,"")</f>
        <v/>
      </c>
      <c r="D54" s="137" t="str">
        <f t="shared" si="0"/>
        <v>x</v>
      </c>
      <c r="E54" s="49">
        <f t="shared" si="1"/>
        <v>0</v>
      </c>
      <c r="F54" s="34"/>
      <c r="G54" s="37" t="str">
        <f>IF(COUNT(ngay06!$G$4)&gt;0,ngay06!$G$4,"")</f>
        <v/>
      </c>
      <c r="H54" s="34" t="str">
        <f t="shared" si="2"/>
        <v>x</v>
      </c>
      <c r="I54" s="38">
        <f t="shared" si="3"/>
        <v>0</v>
      </c>
      <c r="J54" s="37" t="str">
        <f>IF(COUNT(ngay06!$S$33)&gt;0,ngay06!$S$33,"")</f>
        <v/>
      </c>
      <c r="K54" s="137" t="str">
        <f t="shared" si="4"/>
        <v>x</v>
      </c>
      <c r="L54" s="49">
        <f t="shared" si="5"/>
        <v>0</v>
      </c>
      <c r="M54" s="34"/>
      <c r="N54" s="37" t="str">
        <f>IF(COUNT(ngay06!$G$6)&gt;0,ngay06!$G$6,"")</f>
        <v/>
      </c>
      <c r="O54" s="34" t="str">
        <f t="shared" si="6"/>
        <v>x</v>
      </c>
      <c r="P54" s="38">
        <f t="shared" si="7"/>
        <v>0</v>
      </c>
      <c r="Q54" s="37" t="str">
        <f>IF(COUNT(ngay06!$S$39)&gt;0,ngay06!$S$39,"")</f>
        <v/>
      </c>
      <c r="R54" s="137" t="str">
        <f t="shared" si="8"/>
        <v>x</v>
      </c>
      <c r="S54" s="49">
        <f t="shared" si="9"/>
        <v>0</v>
      </c>
      <c r="T54" s="34"/>
      <c r="U54" s="37" t="str">
        <f>IF(COUNT(ngay06!$G$12)&gt;0,ngay06!$G$12,"")</f>
        <v/>
      </c>
      <c r="V54" s="34" t="str">
        <f t="shared" si="10"/>
        <v>x</v>
      </c>
      <c r="W54" s="38">
        <f t="shared" si="11"/>
        <v>0</v>
      </c>
      <c r="X54" s="37" t="str">
        <f>IF(COUNT(ngay06!$S$48)&gt;0,ngay06!$S$48,"")</f>
        <v/>
      </c>
      <c r="Y54" s="137" t="str">
        <f t="shared" si="12"/>
        <v>x</v>
      </c>
      <c r="Z54" s="49">
        <f t="shared" si="13"/>
        <v>0</v>
      </c>
      <c r="AA54" s="34"/>
      <c r="AB54" s="37" t="str">
        <f>IF(COUNT(ngay06!$G$21)&gt;0,ngay06!$G$21,"")</f>
        <v/>
      </c>
      <c r="AC54" s="34" t="str">
        <f t="shared" si="14"/>
        <v>x</v>
      </c>
      <c r="AD54" s="38">
        <f t="shared" si="15"/>
        <v>0</v>
      </c>
    </row>
    <row r="55" spans="1:32">
      <c r="A55" s="41"/>
      <c r="B55" s="48">
        <v>13</v>
      </c>
      <c r="C55" s="37" t="str">
        <f>IF(COUNT(ngay06!$T$31)&gt;0,ngay06!$T$31,"")</f>
        <v/>
      </c>
      <c r="D55" s="137" t="str">
        <f t="shared" si="0"/>
        <v>x</v>
      </c>
      <c r="E55" s="49">
        <f t="shared" si="1"/>
        <v>0</v>
      </c>
      <c r="F55" s="34"/>
      <c r="G55" s="37" t="str">
        <f>IF(COUNT(ngay06!$H$4)&gt;0,ngay06!$H$4,"")</f>
        <v/>
      </c>
      <c r="H55" s="34" t="str">
        <f t="shared" si="2"/>
        <v>x</v>
      </c>
      <c r="I55" s="38">
        <f t="shared" si="3"/>
        <v>0</v>
      </c>
      <c r="J55" s="37" t="str">
        <f>IF(COUNT(ngay06!$T$33)&gt;0,ngay06!$T$33,"")</f>
        <v/>
      </c>
      <c r="K55" s="137" t="str">
        <f t="shared" si="4"/>
        <v>x</v>
      </c>
      <c r="L55" s="49">
        <f t="shared" si="5"/>
        <v>0</v>
      </c>
      <c r="M55" s="34"/>
      <c r="N55" s="37" t="str">
        <f>IF(COUNT(ngay06!$H$6)&gt;0,ngay06!$H$6,"")</f>
        <v/>
      </c>
      <c r="O55" s="34" t="str">
        <f t="shared" si="6"/>
        <v>x</v>
      </c>
      <c r="P55" s="38">
        <f t="shared" si="7"/>
        <v>0</v>
      </c>
      <c r="Q55" s="37" t="str">
        <f>IF(COUNT(ngay06!$T$39)&gt;0,ngay06!$T$39,"")</f>
        <v/>
      </c>
      <c r="R55" s="137" t="str">
        <f t="shared" si="8"/>
        <v>x</v>
      </c>
      <c r="S55" s="49">
        <f t="shared" si="9"/>
        <v>0</v>
      </c>
      <c r="T55" s="34"/>
      <c r="U55" s="37" t="str">
        <f>IF(COUNT(ngay06!$H$12)&gt;0,ngay06!$H$12,"")</f>
        <v/>
      </c>
      <c r="V55" s="34" t="str">
        <f t="shared" si="10"/>
        <v>x</v>
      </c>
      <c r="W55" s="38">
        <f t="shared" si="11"/>
        <v>0</v>
      </c>
      <c r="X55" s="37" t="str">
        <f>IF(COUNT(ngay06!$T$48)&gt;0,ngay06!$T$48,"")</f>
        <v/>
      </c>
      <c r="Y55" s="137" t="str">
        <f t="shared" si="12"/>
        <v>x</v>
      </c>
      <c r="Z55" s="49">
        <f t="shared" si="13"/>
        <v>0</v>
      </c>
      <c r="AA55" s="34"/>
      <c r="AB55" s="37" t="str">
        <f>IF(COUNT(ngay06!$H$21)&gt;0,ngay06!$H$21,"")</f>
        <v/>
      </c>
      <c r="AC55" s="34" t="str">
        <f t="shared" si="14"/>
        <v>x</v>
      </c>
      <c r="AD55" s="38">
        <f t="shared" si="15"/>
        <v>0</v>
      </c>
    </row>
    <row r="56" spans="1:32">
      <c r="A56" s="41"/>
      <c r="B56" s="48">
        <v>16</v>
      </c>
      <c r="C56" s="37" t="str">
        <f>IF(COUNT(ngay06!$U$31)&gt;0,ngay06!$U$31,"")</f>
        <v/>
      </c>
      <c r="D56" s="137" t="str">
        <f t="shared" si="0"/>
        <v>x</v>
      </c>
      <c r="E56" s="49">
        <f t="shared" si="1"/>
        <v>0</v>
      </c>
      <c r="F56" s="34"/>
      <c r="G56" s="37" t="str">
        <f>IF(COUNT(ngay06!$I$4)&gt;0,ngay06!$I$4,"")</f>
        <v/>
      </c>
      <c r="H56" s="34" t="str">
        <f t="shared" si="2"/>
        <v>x</v>
      </c>
      <c r="I56" s="38">
        <f t="shared" si="3"/>
        <v>0</v>
      </c>
      <c r="J56" s="37" t="str">
        <f>IF(COUNT(ngay06!$U$33)&gt;0,ngay06!$U$33,"")</f>
        <v/>
      </c>
      <c r="K56" s="137" t="str">
        <f t="shared" si="4"/>
        <v>x</v>
      </c>
      <c r="L56" s="49">
        <f t="shared" si="5"/>
        <v>0</v>
      </c>
      <c r="M56" s="34"/>
      <c r="N56" s="37" t="str">
        <f>IF(COUNT(ngay06!$I$6)&gt;0,ngay06!$I$6,"")</f>
        <v/>
      </c>
      <c r="O56" s="34" t="str">
        <f t="shared" si="6"/>
        <v>x</v>
      </c>
      <c r="P56" s="38">
        <f t="shared" si="7"/>
        <v>0</v>
      </c>
      <c r="Q56" s="37" t="str">
        <f>IF(COUNT(ngay06!$U$39)&gt;0,ngay06!$U$39,"")</f>
        <v/>
      </c>
      <c r="R56" s="137" t="str">
        <f t="shared" si="8"/>
        <v>x</v>
      </c>
      <c r="S56" s="49">
        <f t="shared" si="9"/>
        <v>0</v>
      </c>
      <c r="T56" s="34"/>
      <c r="U56" s="37" t="str">
        <f>IF(COUNT(ngay06!$I$12)&gt;0,ngay06!$I$12,"")</f>
        <v/>
      </c>
      <c r="V56" s="34" t="str">
        <f t="shared" si="10"/>
        <v>x</v>
      </c>
      <c r="W56" s="38">
        <f t="shared" si="11"/>
        <v>0</v>
      </c>
      <c r="X56" s="37" t="str">
        <f>IF(COUNT(ngay06!$U$48)&gt;0,ngay06!$U$48,"")</f>
        <v/>
      </c>
      <c r="Y56" s="137" t="str">
        <f t="shared" si="12"/>
        <v>x</v>
      </c>
      <c r="Z56" s="49">
        <f t="shared" si="13"/>
        <v>0</v>
      </c>
      <c r="AA56" s="34"/>
      <c r="AB56" s="37" t="str">
        <f>IF(COUNT(ngay06!$I$21)&gt;0,ngay06!$I$21,"")</f>
        <v/>
      </c>
      <c r="AC56" s="34" t="str">
        <f t="shared" si="14"/>
        <v>x</v>
      </c>
      <c r="AD56" s="38">
        <f t="shared" si="15"/>
        <v>0</v>
      </c>
    </row>
    <row r="57" spans="1:32">
      <c r="A57" s="41"/>
      <c r="B57" s="48">
        <v>19</v>
      </c>
      <c r="C57" s="37" t="str">
        <f>IF(COUNT(ngay06!$V$31)&gt;0,ngay06!$V$31,"")</f>
        <v/>
      </c>
      <c r="D57" s="137" t="str">
        <f t="shared" si="0"/>
        <v>x</v>
      </c>
      <c r="E57" s="49">
        <f t="shared" si="1"/>
        <v>0</v>
      </c>
      <c r="F57" s="34"/>
      <c r="G57" s="37" t="str">
        <f>IF(COUNT(ngay06!$J$4)&gt;0,ngay06!$J$4,"")</f>
        <v/>
      </c>
      <c r="H57" s="34" t="str">
        <f t="shared" si="2"/>
        <v>x</v>
      </c>
      <c r="I57" s="38">
        <f t="shared" si="3"/>
        <v>0</v>
      </c>
      <c r="J57" s="37" t="str">
        <f>IF(COUNT(ngay06!$V$33)&gt;0,ngay06!$V$33,"")</f>
        <v/>
      </c>
      <c r="K57" s="137" t="str">
        <f t="shared" si="4"/>
        <v>x</v>
      </c>
      <c r="L57" s="49">
        <f t="shared" si="5"/>
        <v>0</v>
      </c>
      <c r="M57" s="34"/>
      <c r="N57" s="37" t="str">
        <f>IF(COUNT(ngay06!$J$6)&gt;0,ngay06!$J$6,"")</f>
        <v/>
      </c>
      <c r="O57" s="34" t="str">
        <f t="shared" si="6"/>
        <v>x</v>
      </c>
      <c r="P57" s="38">
        <f t="shared" si="7"/>
        <v>0</v>
      </c>
      <c r="Q57" s="37" t="str">
        <f>IF(COUNT(ngay06!$V$39)&gt;0,ngay06!$V$39,"")</f>
        <v/>
      </c>
      <c r="R57" s="137" t="str">
        <f t="shared" si="8"/>
        <v>x</v>
      </c>
      <c r="S57" s="49">
        <f t="shared" si="9"/>
        <v>0</v>
      </c>
      <c r="T57" s="34"/>
      <c r="U57" s="37" t="str">
        <f>IF(COUNT(ngay06!$J$12)&gt;0,ngay06!$J$12,"")</f>
        <v/>
      </c>
      <c r="V57" s="34" t="str">
        <f t="shared" si="10"/>
        <v>x</v>
      </c>
      <c r="W57" s="38">
        <f t="shared" si="11"/>
        <v>0</v>
      </c>
      <c r="X57" s="37" t="str">
        <f>IF(COUNT(ngay06!$V$48)&gt;0,ngay06!$V$48,"")</f>
        <v/>
      </c>
      <c r="Y57" s="137" t="str">
        <f t="shared" si="12"/>
        <v>x</v>
      </c>
      <c r="Z57" s="49">
        <f t="shared" si="13"/>
        <v>0</v>
      </c>
      <c r="AA57" s="34"/>
      <c r="AB57" s="37" t="str">
        <f>IF(COUNT(ngay06!$J$21)&gt;0,ngay06!$J$21,"")</f>
        <v/>
      </c>
      <c r="AC57" s="34" t="str">
        <f t="shared" si="14"/>
        <v>x</v>
      </c>
      <c r="AD57" s="38">
        <f t="shared" si="15"/>
        <v>0</v>
      </c>
    </row>
    <row r="58" spans="1:32">
      <c r="A58" s="41"/>
      <c r="B58" s="48">
        <v>22</v>
      </c>
      <c r="C58" s="37" t="str">
        <f>IF(COUNT(ngay07!$O$31)&gt;0,ngay07!$O$31,"")</f>
        <v/>
      </c>
      <c r="D58" s="137" t="str">
        <f t="shared" si="0"/>
        <v>x</v>
      </c>
      <c r="E58" s="49">
        <f t="shared" si="1"/>
        <v>0</v>
      </c>
      <c r="F58" s="34"/>
      <c r="G58" s="37" t="str">
        <f>IF(COUNT(ngay07!$C$4)&gt;0,ngay07!$C$4,"")</f>
        <v/>
      </c>
      <c r="H58" s="34" t="str">
        <f t="shared" si="2"/>
        <v>x</v>
      </c>
      <c r="I58" s="38">
        <f t="shared" si="3"/>
        <v>0</v>
      </c>
      <c r="J58" s="37" t="str">
        <f>IF(COUNT(ngay07!$O$33)&gt;0,ngay07!$O$33,"")</f>
        <v/>
      </c>
      <c r="K58" s="137" t="str">
        <f t="shared" si="4"/>
        <v>x</v>
      </c>
      <c r="L58" s="49">
        <f t="shared" si="5"/>
        <v>0</v>
      </c>
      <c r="M58" s="34"/>
      <c r="N58" s="37" t="str">
        <f>IF(COUNT(ngay07!$C$6)&gt;0,ngay07!$C$6,"")</f>
        <v/>
      </c>
      <c r="O58" s="34" t="str">
        <f t="shared" si="6"/>
        <v>x</v>
      </c>
      <c r="P58" s="38">
        <f t="shared" si="7"/>
        <v>0</v>
      </c>
      <c r="Q58" s="37" t="str">
        <f>IF(COUNT(ngay07!$O$39)&gt;0,ngay07!$O$39,"")</f>
        <v/>
      </c>
      <c r="R58" s="137" t="str">
        <f t="shared" si="8"/>
        <v>x</v>
      </c>
      <c r="S58" s="49">
        <f t="shared" si="9"/>
        <v>0</v>
      </c>
      <c r="T58" s="34"/>
      <c r="U58" s="37" t="str">
        <f>IF(COUNT(ngay07!$C$12)&gt;0,ngay07!$C$12,"")</f>
        <v/>
      </c>
      <c r="V58" s="34" t="str">
        <f t="shared" si="10"/>
        <v>x</v>
      </c>
      <c r="W58" s="38">
        <f t="shared" si="11"/>
        <v>0</v>
      </c>
      <c r="X58" s="37" t="str">
        <f>IF(COUNT(ngay07!$O$48)&gt;0,ngay07!$O$48,"")</f>
        <v/>
      </c>
      <c r="Y58" s="137" t="str">
        <f t="shared" si="12"/>
        <v>x</v>
      </c>
      <c r="Z58" s="49">
        <f t="shared" si="13"/>
        <v>0</v>
      </c>
      <c r="AA58" s="34"/>
      <c r="AB58" s="37" t="str">
        <f>IF(COUNT(ngay07!$C$21)&gt;0,ngay07!$C$21,"")</f>
        <v/>
      </c>
      <c r="AC58" s="34" t="str">
        <f t="shared" si="14"/>
        <v>x</v>
      </c>
      <c r="AD58" s="38">
        <f t="shared" si="15"/>
        <v>0</v>
      </c>
    </row>
    <row r="59" spans="1:32" s="145" customFormat="1">
      <c r="A59" s="146">
        <v>7</v>
      </c>
      <c r="B59" s="48">
        <v>1</v>
      </c>
      <c r="C59" s="141" t="str">
        <f>IF(COUNT(ngay07!$P$31)&gt;0,ngay07!$P$31,"")</f>
        <v/>
      </c>
      <c r="D59" s="144" t="str">
        <f t="shared" si="0"/>
        <v>x</v>
      </c>
      <c r="E59" s="142">
        <f t="shared" si="1"/>
        <v>0</v>
      </c>
      <c r="F59" s="140"/>
      <c r="G59" s="141" t="str">
        <f>IF(COUNT(ngay07!$D$4)&gt;0,ngay07!$D$4,"")</f>
        <v/>
      </c>
      <c r="H59" s="140" t="str">
        <f t="shared" si="2"/>
        <v>x</v>
      </c>
      <c r="I59" s="143">
        <f t="shared" si="3"/>
        <v>0</v>
      </c>
      <c r="J59" s="141" t="str">
        <f>IF(COUNT(ngay07!$P$33)&gt;0,ngay07!$P$33,"")</f>
        <v/>
      </c>
      <c r="K59" s="144" t="str">
        <f t="shared" si="4"/>
        <v>x</v>
      </c>
      <c r="L59" s="142">
        <f t="shared" si="5"/>
        <v>0</v>
      </c>
      <c r="M59" s="140"/>
      <c r="N59" s="141" t="str">
        <f>IF(COUNT(ngay07!$D$6)&gt;0,ngay07!$D$6,"")</f>
        <v/>
      </c>
      <c r="O59" s="140" t="str">
        <f t="shared" si="6"/>
        <v>x</v>
      </c>
      <c r="P59" s="143">
        <f t="shared" si="7"/>
        <v>0</v>
      </c>
      <c r="Q59" s="141" t="str">
        <f>IF(COUNT(ngay07!$P$39)&gt;0,ngay07!$P$39,"")</f>
        <v/>
      </c>
      <c r="R59" s="144" t="str">
        <f t="shared" si="8"/>
        <v>x</v>
      </c>
      <c r="S59" s="142">
        <f t="shared" si="9"/>
        <v>0</v>
      </c>
      <c r="T59" s="140"/>
      <c r="U59" s="141" t="str">
        <f>IF(COUNT(ngay07!$D$12)&gt;0,ngay07!$D$12,"")</f>
        <v/>
      </c>
      <c r="V59" s="140" t="str">
        <f t="shared" si="10"/>
        <v>x</v>
      </c>
      <c r="W59" s="143">
        <f t="shared" si="11"/>
        <v>0</v>
      </c>
      <c r="X59" s="141" t="str">
        <f>IF(COUNT(ngay07!$P$48)&gt;0,ngay07!$P$48,"")</f>
        <v/>
      </c>
      <c r="Y59" s="144" t="str">
        <f t="shared" si="12"/>
        <v>x</v>
      </c>
      <c r="Z59" s="142">
        <f t="shared" si="13"/>
        <v>0</v>
      </c>
      <c r="AA59" s="140"/>
      <c r="AB59" s="141" t="str">
        <f>IF(COUNT(ngay07!$D$21)&gt;0,ngay07!$D$21,"")</f>
        <v/>
      </c>
      <c r="AC59" s="140" t="str">
        <f t="shared" si="14"/>
        <v>x</v>
      </c>
      <c r="AD59" s="143">
        <f t="shared" si="15"/>
        <v>0</v>
      </c>
      <c r="AE59" s="147"/>
      <c r="AF59" s="147"/>
    </row>
    <row r="60" spans="1:32">
      <c r="A60" s="41"/>
      <c r="B60" s="48">
        <v>4</v>
      </c>
      <c r="C60" s="37" t="str">
        <f>IF(COUNT(ngay07!$Q$31)&gt;0,ngay07!$Q$31,"")</f>
        <v/>
      </c>
      <c r="D60" s="137" t="str">
        <f t="shared" si="0"/>
        <v>x</v>
      </c>
      <c r="E60" s="49">
        <f t="shared" si="1"/>
        <v>0</v>
      </c>
      <c r="F60" s="34"/>
      <c r="G60" s="37" t="str">
        <f>IF(COUNT(ngay07!$E$4)&gt;0,ngay07!$E$4,"")</f>
        <v/>
      </c>
      <c r="H60" s="34" t="str">
        <f t="shared" si="2"/>
        <v>x</v>
      </c>
      <c r="I60" s="38">
        <f t="shared" si="3"/>
        <v>0</v>
      </c>
      <c r="J60" s="37" t="str">
        <f>IF(COUNT(ngay07!$Q$33)&gt;0,ngay07!$Q$33,"")</f>
        <v/>
      </c>
      <c r="K60" s="137" t="str">
        <f t="shared" si="4"/>
        <v>x</v>
      </c>
      <c r="L60" s="49">
        <f t="shared" si="5"/>
        <v>0</v>
      </c>
      <c r="M60" s="34"/>
      <c r="N60" s="37" t="str">
        <f>IF(COUNT(ngay07!$E$6)&gt;0,ngay07!$E$6,"")</f>
        <v/>
      </c>
      <c r="O60" s="34" t="str">
        <f t="shared" si="6"/>
        <v>x</v>
      </c>
      <c r="P60" s="38">
        <f t="shared" si="7"/>
        <v>0</v>
      </c>
      <c r="Q60" s="37" t="str">
        <f>IF(COUNT(ngay07!$Q$39)&gt;0,ngay07!$Q$39,"")</f>
        <v/>
      </c>
      <c r="R60" s="137" t="str">
        <f t="shared" si="8"/>
        <v>x</v>
      </c>
      <c r="S60" s="49">
        <f t="shared" si="9"/>
        <v>0</v>
      </c>
      <c r="T60" s="34"/>
      <c r="U60" s="37" t="str">
        <f>IF(COUNT(ngay07!$E$12)&gt;0,ngay07!$E$12,"")</f>
        <v/>
      </c>
      <c r="V60" s="34" t="str">
        <f t="shared" si="10"/>
        <v>x</v>
      </c>
      <c r="W60" s="38">
        <f t="shared" si="11"/>
        <v>0</v>
      </c>
      <c r="X60" s="37" t="str">
        <f>IF(COUNT(ngay07!$Q$48)&gt;0,ngay07!$Q$48,"")</f>
        <v/>
      </c>
      <c r="Y60" s="137" t="str">
        <f t="shared" si="12"/>
        <v>x</v>
      </c>
      <c r="Z60" s="49">
        <f t="shared" si="13"/>
        <v>0</v>
      </c>
      <c r="AA60" s="34"/>
      <c r="AB60" s="37" t="str">
        <f>IF(COUNT(ngay07!$E$21)&gt;0,ngay07!$E$21,"")</f>
        <v/>
      </c>
      <c r="AC60" s="34" t="str">
        <f t="shared" si="14"/>
        <v>x</v>
      </c>
      <c r="AD60" s="38">
        <f t="shared" si="15"/>
        <v>0</v>
      </c>
    </row>
    <row r="61" spans="1:32">
      <c r="A61" s="41"/>
      <c r="B61" s="139">
        <v>7</v>
      </c>
      <c r="C61" s="37" t="str">
        <f>IF(COUNT(ngay07!$R$31)&gt;0,ngay07!$R$31,"")</f>
        <v/>
      </c>
      <c r="D61" s="137" t="str">
        <f t="shared" si="0"/>
        <v>x</v>
      </c>
      <c r="E61" s="49">
        <f t="shared" si="1"/>
        <v>0</v>
      </c>
      <c r="F61" s="34"/>
      <c r="G61" s="37" t="str">
        <f>IF(COUNT(ngay07!$F$4)&gt;0,ngay07!$F$4,"")</f>
        <v/>
      </c>
      <c r="H61" s="34" t="str">
        <f t="shared" si="2"/>
        <v>x</v>
      </c>
      <c r="I61" s="38">
        <f t="shared" si="3"/>
        <v>0</v>
      </c>
      <c r="J61" s="37" t="str">
        <f>IF(COUNT(ngay07!$R$33)&gt;0,ngay07!$R$33,"")</f>
        <v/>
      </c>
      <c r="K61" s="137" t="str">
        <f t="shared" si="4"/>
        <v>x</v>
      </c>
      <c r="L61" s="49">
        <f t="shared" si="5"/>
        <v>0</v>
      </c>
      <c r="M61" s="34"/>
      <c r="N61" s="37" t="str">
        <f>IF(COUNT(ngay07!$F$6)&gt;0,ngay07!$F$6,"")</f>
        <v/>
      </c>
      <c r="O61" s="34" t="str">
        <f t="shared" si="6"/>
        <v>x</v>
      </c>
      <c r="P61" s="38">
        <f t="shared" si="7"/>
        <v>0</v>
      </c>
      <c r="Q61" s="37" t="str">
        <f>IF(COUNT(ngay07!$R$39)&gt;0,ngay07!$R$39,"")</f>
        <v/>
      </c>
      <c r="R61" s="137" t="str">
        <f t="shared" si="8"/>
        <v>x</v>
      </c>
      <c r="S61" s="49">
        <f t="shared" si="9"/>
        <v>0</v>
      </c>
      <c r="T61" s="34"/>
      <c r="U61" s="37" t="str">
        <f>IF(COUNT(ngay07!$F$12)&gt;0,ngay07!$F$12,"")</f>
        <v/>
      </c>
      <c r="V61" s="34" t="str">
        <f t="shared" si="10"/>
        <v>x</v>
      </c>
      <c r="W61" s="38">
        <f t="shared" si="11"/>
        <v>0</v>
      </c>
      <c r="X61" s="37" t="str">
        <f>IF(COUNT(ngay07!$R$48)&gt;0,ngay07!$R$48,"")</f>
        <v/>
      </c>
      <c r="Y61" s="137" t="str">
        <f t="shared" si="12"/>
        <v>x</v>
      </c>
      <c r="Z61" s="49">
        <f t="shared" si="13"/>
        <v>0</v>
      </c>
      <c r="AA61" s="34"/>
      <c r="AB61" s="37" t="str">
        <f>IF(COUNT(ngay07!$F$21)&gt;0,ngay07!$F$21,"")</f>
        <v/>
      </c>
      <c r="AC61" s="34" t="str">
        <f t="shared" si="14"/>
        <v>x</v>
      </c>
      <c r="AD61" s="38">
        <f t="shared" si="15"/>
        <v>0</v>
      </c>
    </row>
    <row r="62" spans="1:32">
      <c r="A62" s="41"/>
      <c r="B62" s="48">
        <v>10</v>
      </c>
      <c r="C62" s="37" t="str">
        <f>IF(COUNT(ngay07!$S$31)&gt;0,ngay07!$S$31,"")</f>
        <v/>
      </c>
      <c r="D62" s="137" t="str">
        <f t="shared" si="0"/>
        <v>x</v>
      </c>
      <c r="E62" s="49">
        <f t="shared" si="1"/>
        <v>0</v>
      </c>
      <c r="F62" s="34"/>
      <c r="G62" s="37" t="str">
        <f>IF(COUNT(ngay07!$G$4)&gt;0,ngay07!$G$4,"")</f>
        <v/>
      </c>
      <c r="H62" s="34" t="str">
        <f t="shared" si="2"/>
        <v>x</v>
      </c>
      <c r="I62" s="38">
        <f t="shared" si="3"/>
        <v>0</v>
      </c>
      <c r="J62" s="37" t="str">
        <f>IF(COUNT(ngay07!$S$33)&gt;0,ngay07!$S$33,"")</f>
        <v/>
      </c>
      <c r="K62" s="137" t="str">
        <f t="shared" si="4"/>
        <v>x</v>
      </c>
      <c r="L62" s="49">
        <f t="shared" si="5"/>
        <v>0</v>
      </c>
      <c r="M62" s="34"/>
      <c r="N62" s="37" t="str">
        <f>IF(COUNT(ngay07!$G$6)&gt;0,ngay07!$G$6,"")</f>
        <v/>
      </c>
      <c r="O62" s="34" t="str">
        <f t="shared" si="6"/>
        <v>x</v>
      </c>
      <c r="P62" s="38">
        <f t="shared" si="7"/>
        <v>0</v>
      </c>
      <c r="Q62" s="37" t="str">
        <f>IF(COUNT(ngay07!$S$39)&gt;0,ngay07!$S$39,"")</f>
        <v/>
      </c>
      <c r="R62" s="137" t="str">
        <f t="shared" si="8"/>
        <v>x</v>
      </c>
      <c r="S62" s="49">
        <f t="shared" si="9"/>
        <v>0</v>
      </c>
      <c r="T62" s="34"/>
      <c r="U62" s="37" t="str">
        <f>IF(COUNT(ngay07!$G$12)&gt;0,ngay07!$G$12,"")</f>
        <v/>
      </c>
      <c r="V62" s="34" t="str">
        <f t="shared" si="10"/>
        <v>x</v>
      </c>
      <c r="W62" s="38">
        <f t="shared" si="11"/>
        <v>0</v>
      </c>
      <c r="X62" s="37" t="str">
        <f>IF(COUNT(ngay07!$S$48)&gt;0,ngay07!$S$48,"")</f>
        <v/>
      </c>
      <c r="Y62" s="137" t="str">
        <f t="shared" si="12"/>
        <v>x</v>
      </c>
      <c r="Z62" s="49">
        <f t="shared" si="13"/>
        <v>0</v>
      </c>
      <c r="AA62" s="34"/>
      <c r="AB62" s="37" t="str">
        <f>IF(COUNT(ngay07!$G$21)&gt;0,ngay07!$G$21,"")</f>
        <v/>
      </c>
      <c r="AC62" s="34" t="str">
        <f t="shared" si="14"/>
        <v>x</v>
      </c>
      <c r="AD62" s="38">
        <f t="shared" si="15"/>
        <v>0</v>
      </c>
    </row>
    <row r="63" spans="1:32">
      <c r="A63" s="41"/>
      <c r="B63" s="48">
        <v>13</v>
      </c>
      <c r="C63" s="37" t="str">
        <f>IF(COUNT(ngay07!$T$31)&gt;0,ngay07!$T$31,"")</f>
        <v/>
      </c>
      <c r="D63" s="137" t="str">
        <f t="shared" si="0"/>
        <v>x</v>
      </c>
      <c r="E63" s="49">
        <f t="shared" si="1"/>
        <v>0</v>
      </c>
      <c r="F63" s="34"/>
      <c r="G63" s="37" t="str">
        <f>IF(COUNT(ngay07!$H$4)&gt;0,ngay07!$H$4,"")</f>
        <v/>
      </c>
      <c r="H63" s="34" t="str">
        <f t="shared" si="2"/>
        <v>x</v>
      </c>
      <c r="I63" s="38">
        <f t="shared" si="3"/>
        <v>0</v>
      </c>
      <c r="J63" s="37" t="str">
        <f>IF(COUNT(ngay07!$T$33)&gt;0,ngay07!$T$33,"")</f>
        <v/>
      </c>
      <c r="K63" s="137" t="str">
        <f t="shared" si="4"/>
        <v>x</v>
      </c>
      <c r="L63" s="49">
        <f t="shared" si="5"/>
        <v>0</v>
      </c>
      <c r="M63" s="34"/>
      <c r="N63" s="37" t="str">
        <f>IF(COUNT(ngay07!$H$6)&gt;0,ngay07!$H$6,"")</f>
        <v/>
      </c>
      <c r="O63" s="34" t="str">
        <f t="shared" si="6"/>
        <v>x</v>
      </c>
      <c r="P63" s="38">
        <f t="shared" si="7"/>
        <v>0</v>
      </c>
      <c r="Q63" s="37" t="str">
        <f>IF(COUNT(ngay07!$T$39)&gt;0,ngay07!$T$39,"")</f>
        <v/>
      </c>
      <c r="R63" s="137" t="str">
        <f t="shared" si="8"/>
        <v>x</v>
      </c>
      <c r="S63" s="49">
        <f t="shared" si="9"/>
        <v>0</v>
      </c>
      <c r="T63" s="34"/>
      <c r="U63" s="37" t="str">
        <f>IF(COUNT(ngay07!$H$12)&gt;0,ngay07!$H$12,"")</f>
        <v/>
      </c>
      <c r="V63" s="34" t="str">
        <f t="shared" si="10"/>
        <v>x</v>
      </c>
      <c r="W63" s="38">
        <f t="shared" si="11"/>
        <v>0</v>
      </c>
      <c r="X63" s="37" t="str">
        <f>IF(COUNT(ngay07!$T$48)&gt;0,ngay07!$T$48,"")</f>
        <v/>
      </c>
      <c r="Y63" s="137" t="str">
        <f t="shared" si="12"/>
        <v>x</v>
      </c>
      <c r="Z63" s="49">
        <f t="shared" si="13"/>
        <v>0</v>
      </c>
      <c r="AA63" s="34"/>
      <c r="AB63" s="37" t="str">
        <f>IF(COUNT(ngay07!$H$21)&gt;0,ngay07!$H$21,"")</f>
        <v/>
      </c>
      <c r="AC63" s="34" t="str">
        <f t="shared" si="14"/>
        <v>x</v>
      </c>
      <c r="AD63" s="38">
        <f t="shared" si="15"/>
        <v>0</v>
      </c>
    </row>
    <row r="64" spans="1:32">
      <c r="A64" s="41"/>
      <c r="B64" s="48">
        <v>16</v>
      </c>
      <c r="C64" s="37" t="str">
        <f>IF(COUNT(ngay07!$U$31)&gt;0,ngay07!$U$31,"")</f>
        <v/>
      </c>
      <c r="D64" s="137" t="str">
        <f t="shared" si="0"/>
        <v>x</v>
      </c>
      <c r="E64" s="49">
        <f t="shared" si="1"/>
        <v>0</v>
      </c>
      <c r="F64" s="34"/>
      <c r="G64" s="37" t="str">
        <f>IF(COUNT(ngay07!$I$4)&gt;0,ngay07!$I$4,"")</f>
        <v/>
      </c>
      <c r="H64" s="34" t="str">
        <f t="shared" si="2"/>
        <v>x</v>
      </c>
      <c r="I64" s="38">
        <f t="shared" si="3"/>
        <v>0</v>
      </c>
      <c r="J64" s="37" t="str">
        <f>IF(COUNT(ngay07!$U$33)&gt;0,ngay07!$U$33,"")</f>
        <v/>
      </c>
      <c r="K64" s="137" t="str">
        <f t="shared" si="4"/>
        <v>x</v>
      </c>
      <c r="L64" s="49">
        <f t="shared" si="5"/>
        <v>0</v>
      </c>
      <c r="M64" s="34"/>
      <c r="N64" s="37" t="str">
        <f>IF(COUNT(ngay07!$I$6)&gt;0,ngay07!$I$6,"")</f>
        <v/>
      </c>
      <c r="O64" s="34" t="str">
        <f t="shared" si="6"/>
        <v>x</v>
      </c>
      <c r="P64" s="38">
        <f t="shared" si="7"/>
        <v>0</v>
      </c>
      <c r="Q64" s="37" t="str">
        <f>IF(COUNT(ngay07!$U$39)&gt;0,ngay07!$U$39,"")</f>
        <v/>
      </c>
      <c r="R64" s="137" t="str">
        <f t="shared" si="8"/>
        <v>x</v>
      </c>
      <c r="S64" s="49">
        <f t="shared" si="9"/>
        <v>0</v>
      </c>
      <c r="T64" s="34"/>
      <c r="U64" s="37" t="str">
        <f>IF(COUNT(ngay07!$I$12)&gt;0,ngay07!$I$12,"")</f>
        <v/>
      </c>
      <c r="V64" s="34" t="str">
        <f t="shared" si="10"/>
        <v>x</v>
      </c>
      <c r="W64" s="38">
        <f t="shared" si="11"/>
        <v>0</v>
      </c>
      <c r="X64" s="37" t="str">
        <f>IF(COUNT(ngay07!$U$48)&gt;0,ngay07!$U$48,"")</f>
        <v/>
      </c>
      <c r="Y64" s="137" t="str">
        <f t="shared" si="12"/>
        <v>x</v>
      </c>
      <c r="Z64" s="49">
        <f t="shared" si="13"/>
        <v>0</v>
      </c>
      <c r="AA64" s="34"/>
      <c r="AB64" s="37" t="str">
        <f>IF(COUNT(ngay07!$I$21)&gt;0,ngay07!$I$21,"")</f>
        <v/>
      </c>
      <c r="AC64" s="34" t="str">
        <f t="shared" si="14"/>
        <v>x</v>
      </c>
      <c r="AD64" s="38">
        <f t="shared" si="15"/>
        <v>0</v>
      </c>
    </row>
    <row r="65" spans="1:32">
      <c r="A65" s="41"/>
      <c r="B65" s="48">
        <v>19</v>
      </c>
      <c r="C65" s="37" t="str">
        <f>IF(COUNT(ngay07!$V$31)&gt;0,ngay07!$V$31,"")</f>
        <v/>
      </c>
      <c r="D65" s="137" t="str">
        <f t="shared" si="0"/>
        <v>x</v>
      </c>
      <c r="E65" s="49">
        <f t="shared" si="1"/>
        <v>0</v>
      </c>
      <c r="F65" s="34"/>
      <c r="G65" s="37" t="str">
        <f>IF(COUNT(ngay07!$J$4)&gt;0,ngay07!$J$4,"")</f>
        <v/>
      </c>
      <c r="H65" s="34" t="str">
        <f t="shared" si="2"/>
        <v>x</v>
      </c>
      <c r="I65" s="38">
        <f t="shared" si="3"/>
        <v>0</v>
      </c>
      <c r="J65" s="37" t="str">
        <f>IF(COUNT(ngay07!$V$33)&gt;0,ngay07!$V$33,"")</f>
        <v/>
      </c>
      <c r="K65" s="137" t="str">
        <f t="shared" si="4"/>
        <v>x</v>
      </c>
      <c r="L65" s="49">
        <f t="shared" si="5"/>
        <v>0</v>
      </c>
      <c r="M65" s="34"/>
      <c r="N65" s="37" t="str">
        <f>IF(COUNT(ngay07!$J$6)&gt;0,ngay07!$J$6,"")</f>
        <v/>
      </c>
      <c r="O65" s="34" t="str">
        <f t="shared" si="6"/>
        <v>x</v>
      </c>
      <c r="P65" s="38">
        <f t="shared" si="7"/>
        <v>0</v>
      </c>
      <c r="Q65" s="37" t="str">
        <f>IF(COUNT(ngay07!$V$39)&gt;0,ngay07!$V$39,"")</f>
        <v/>
      </c>
      <c r="R65" s="137" t="str">
        <f t="shared" si="8"/>
        <v>x</v>
      </c>
      <c r="S65" s="49">
        <f t="shared" si="9"/>
        <v>0</v>
      </c>
      <c r="T65" s="34"/>
      <c r="U65" s="37" t="str">
        <f>IF(COUNT(ngay07!$J$12)&gt;0,ngay07!$J$12,"")</f>
        <v/>
      </c>
      <c r="V65" s="34" t="str">
        <f t="shared" si="10"/>
        <v>x</v>
      </c>
      <c r="W65" s="38">
        <f t="shared" si="11"/>
        <v>0</v>
      </c>
      <c r="X65" s="37" t="str">
        <f>IF(COUNT(ngay07!$V$48)&gt;0,ngay07!$V$48,"")</f>
        <v/>
      </c>
      <c r="Y65" s="137" t="str">
        <f t="shared" si="12"/>
        <v>x</v>
      </c>
      <c r="Z65" s="49">
        <f t="shared" si="13"/>
        <v>0</v>
      </c>
      <c r="AA65" s="34"/>
      <c r="AB65" s="37" t="str">
        <f>IF(COUNT(ngay07!$J$21)&gt;0,ngay07!$J$21,"")</f>
        <v/>
      </c>
      <c r="AC65" s="34" t="str">
        <f t="shared" si="14"/>
        <v>x</v>
      </c>
      <c r="AD65" s="38">
        <f t="shared" si="15"/>
        <v>0</v>
      </c>
    </row>
    <row r="66" spans="1:32">
      <c r="A66" s="41"/>
      <c r="B66" s="48">
        <v>22</v>
      </c>
      <c r="C66" s="37" t="str">
        <f>IF(COUNT(ngay08!$O$31)&gt;0,ngay08!$O$31,"")</f>
        <v/>
      </c>
      <c r="D66" s="137" t="str">
        <f t="shared" si="0"/>
        <v>x</v>
      </c>
      <c r="E66" s="49">
        <f t="shared" si="1"/>
        <v>0</v>
      </c>
      <c r="F66" s="34"/>
      <c r="G66" s="37" t="str">
        <f>IF(COUNT(ngay08!$C$4)&gt;0,ngay08!$C$4,"")</f>
        <v/>
      </c>
      <c r="H66" s="34" t="str">
        <f t="shared" si="2"/>
        <v>x</v>
      </c>
      <c r="I66" s="38">
        <f t="shared" si="3"/>
        <v>0</v>
      </c>
      <c r="J66" s="37" t="str">
        <f>IF(COUNT(ngay08!$O$33)&gt;0,ngay08!$O$33,"")</f>
        <v/>
      </c>
      <c r="K66" s="137" t="str">
        <f t="shared" si="4"/>
        <v>x</v>
      </c>
      <c r="L66" s="49">
        <f t="shared" si="5"/>
        <v>0</v>
      </c>
      <c r="M66" s="34"/>
      <c r="N66" s="37" t="str">
        <f>IF(COUNT(ngay08!$C$6)&gt;0,ngay08!$C$6,"")</f>
        <v/>
      </c>
      <c r="O66" s="34" t="str">
        <f t="shared" si="6"/>
        <v>x</v>
      </c>
      <c r="P66" s="38">
        <f t="shared" si="7"/>
        <v>0</v>
      </c>
      <c r="Q66" s="37" t="str">
        <f>IF(COUNT(ngay08!$O$39)&gt;0,ngay08!$O$39,"")</f>
        <v/>
      </c>
      <c r="R66" s="137" t="str">
        <f t="shared" si="8"/>
        <v>x</v>
      </c>
      <c r="S66" s="49">
        <f t="shared" si="9"/>
        <v>0</v>
      </c>
      <c r="T66" s="34"/>
      <c r="U66" s="37" t="str">
        <f>IF(COUNT(ngay08!$C$12)&gt;0,ngay08!$C$12,"")</f>
        <v/>
      </c>
      <c r="V66" s="34" t="str">
        <f t="shared" si="10"/>
        <v>x</v>
      </c>
      <c r="W66" s="38">
        <f t="shared" si="11"/>
        <v>0</v>
      </c>
      <c r="X66" s="37" t="str">
        <f>IF(COUNT(ngay08!$O$48)&gt;0,ngay08!$O$48,"")</f>
        <v/>
      </c>
      <c r="Y66" s="137" t="str">
        <f t="shared" si="12"/>
        <v>x</v>
      </c>
      <c r="Z66" s="49">
        <f t="shared" si="13"/>
        <v>0</v>
      </c>
      <c r="AA66" s="34"/>
      <c r="AB66" s="37" t="str">
        <f>IF(COUNT(ngay08!$C$21)&gt;0,ngay08!$C$21,"")</f>
        <v/>
      </c>
      <c r="AC66" s="34" t="str">
        <f t="shared" si="14"/>
        <v>x</v>
      </c>
      <c r="AD66" s="38">
        <f t="shared" si="15"/>
        <v>0</v>
      </c>
    </row>
    <row r="67" spans="1:32" s="145" customFormat="1">
      <c r="A67" s="146">
        <v>8</v>
      </c>
      <c r="B67" s="48">
        <v>1</v>
      </c>
      <c r="C67" s="141" t="str">
        <f>IF(COUNT(ngay08!$P$31)&gt;0,ngay08!$P$31,"")</f>
        <v/>
      </c>
      <c r="D67" s="144" t="str">
        <f t="shared" si="0"/>
        <v>x</v>
      </c>
      <c r="E67" s="142">
        <f t="shared" si="1"/>
        <v>0</v>
      </c>
      <c r="F67" s="140"/>
      <c r="G67" s="141" t="str">
        <f>IF(COUNT(ngay08!$D$4)&gt;0,ngay08!$D$4,"")</f>
        <v/>
      </c>
      <c r="H67" s="140" t="str">
        <f t="shared" si="2"/>
        <v>x</v>
      </c>
      <c r="I67" s="143">
        <f t="shared" si="3"/>
        <v>0</v>
      </c>
      <c r="J67" s="141" t="str">
        <f>IF(COUNT(ngay08!$P$33)&gt;0,ngay08!$P$33,"")</f>
        <v/>
      </c>
      <c r="K67" s="144" t="str">
        <f t="shared" si="4"/>
        <v>x</v>
      </c>
      <c r="L67" s="142">
        <f t="shared" si="5"/>
        <v>0</v>
      </c>
      <c r="M67" s="140"/>
      <c r="N67" s="141" t="str">
        <f>IF(COUNT(ngay08!$D$6)&gt;0,ngay08!$D$6,"")</f>
        <v/>
      </c>
      <c r="O67" s="140" t="str">
        <f t="shared" si="6"/>
        <v>x</v>
      </c>
      <c r="P67" s="143">
        <f t="shared" si="7"/>
        <v>0</v>
      </c>
      <c r="Q67" s="141" t="str">
        <f>IF(COUNT(ngay08!$P$39)&gt;0,ngay08!$P$39,"")</f>
        <v/>
      </c>
      <c r="R67" s="144" t="str">
        <f t="shared" si="8"/>
        <v>x</v>
      </c>
      <c r="S67" s="142">
        <f t="shared" si="9"/>
        <v>0</v>
      </c>
      <c r="T67" s="140"/>
      <c r="U67" s="141" t="str">
        <f>IF(COUNT(ngay08!$D$12)&gt;0,ngay08!$D$12,"")</f>
        <v/>
      </c>
      <c r="V67" s="140" t="str">
        <f t="shared" si="10"/>
        <v>x</v>
      </c>
      <c r="W67" s="143">
        <f t="shared" si="11"/>
        <v>0</v>
      </c>
      <c r="X67" s="141" t="str">
        <f>IF(COUNT(ngay08!$P$48)&gt;0,ngay08!$P$48,"")</f>
        <v/>
      </c>
      <c r="Y67" s="144" t="str">
        <f t="shared" si="12"/>
        <v>x</v>
      </c>
      <c r="Z67" s="142">
        <f t="shared" si="13"/>
        <v>0</v>
      </c>
      <c r="AA67" s="140"/>
      <c r="AB67" s="141" t="str">
        <f>IF(COUNT(ngay08!$D$21)&gt;0,ngay08!$D$21,"")</f>
        <v/>
      </c>
      <c r="AC67" s="140" t="str">
        <f t="shared" si="14"/>
        <v>x</v>
      </c>
      <c r="AD67" s="143">
        <f t="shared" si="15"/>
        <v>0</v>
      </c>
      <c r="AE67" s="147"/>
      <c r="AF67" s="147"/>
    </row>
    <row r="68" spans="1:32">
      <c r="A68" s="41"/>
      <c r="B68" s="48">
        <v>4</v>
      </c>
      <c r="C68" s="37" t="str">
        <f>IF(COUNT(ngay08!$Q$31)&gt;0,ngay08!$Q$31,"")</f>
        <v/>
      </c>
      <c r="D68" s="137" t="str">
        <f t="shared" si="0"/>
        <v>x</v>
      </c>
      <c r="E68" s="49">
        <f t="shared" si="1"/>
        <v>0</v>
      </c>
      <c r="F68" s="34"/>
      <c r="G68" s="37" t="str">
        <f>IF(COUNT(ngay08!$E$4)&gt;0,ngay08!$E$4,"")</f>
        <v/>
      </c>
      <c r="H68" s="34" t="str">
        <f t="shared" si="2"/>
        <v>x</v>
      </c>
      <c r="I68" s="38">
        <f t="shared" si="3"/>
        <v>0</v>
      </c>
      <c r="J68" s="37" t="str">
        <f>IF(COUNT(ngay08!$Q$33)&gt;0,ngay08!$Q$33,"")</f>
        <v/>
      </c>
      <c r="K68" s="137" t="str">
        <f t="shared" si="4"/>
        <v>x</v>
      </c>
      <c r="L68" s="49">
        <f t="shared" si="5"/>
        <v>0</v>
      </c>
      <c r="M68" s="34"/>
      <c r="N68" s="37" t="str">
        <f>IF(COUNT(ngay08!$E$6)&gt;0,ngay08!$E$6,"")</f>
        <v/>
      </c>
      <c r="O68" s="34" t="str">
        <f t="shared" si="6"/>
        <v>x</v>
      </c>
      <c r="P68" s="38">
        <f t="shared" si="7"/>
        <v>0</v>
      </c>
      <c r="Q68" s="37" t="str">
        <f>IF(COUNT(ngay08!$Q$39)&gt;0,ngay08!$Q$39,"")</f>
        <v/>
      </c>
      <c r="R68" s="137" t="str">
        <f t="shared" si="8"/>
        <v>x</v>
      </c>
      <c r="S68" s="49">
        <f t="shared" si="9"/>
        <v>0</v>
      </c>
      <c r="T68" s="34"/>
      <c r="U68" s="37" t="str">
        <f>IF(COUNT(ngay08!$E$12)&gt;0,ngay08!$E$12,"")</f>
        <v/>
      </c>
      <c r="V68" s="34" t="str">
        <f t="shared" si="10"/>
        <v>x</v>
      </c>
      <c r="W68" s="38">
        <f t="shared" si="11"/>
        <v>0</v>
      </c>
      <c r="X68" s="37" t="str">
        <f>IF(COUNT(ngay08!$Q$48)&gt;0,ngay08!$Q$48,"")</f>
        <v/>
      </c>
      <c r="Y68" s="137" t="str">
        <f t="shared" si="12"/>
        <v>x</v>
      </c>
      <c r="Z68" s="49">
        <f t="shared" si="13"/>
        <v>0</v>
      </c>
      <c r="AA68" s="34"/>
      <c r="AB68" s="37" t="str">
        <f>IF(COUNT(ngay08!$E$21)&gt;0,ngay08!$E$21,"")</f>
        <v/>
      </c>
      <c r="AC68" s="34" t="str">
        <f t="shared" si="14"/>
        <v>x</v>
      </c>
      <c r="AD68" s="38">
        <f t="shared" si="15"/>
        <v>0</v>
      </c>
    </row>
    <row r="69" spans="1:32">
      <c r="A69" s="41"/>
      <c r="B69" s="139">
        <v>7</v>
      </c>
      <c r="C69" s="37" t="str">
        <f>IF(COUNT(ngay08!$R$31)&gt;0,ngay08!$R$31,"")</f>
        <v/>
      </c>
      <c r="D69" s="137" t="str">
        <f t="shared" si="0"/>
        <v>x</v>
      </c>
      <c r="E69" s="49">
        <f t="shared" si="1"/>
        <v>0</v>
      </c>
      <c r="F69" s="34"/>
      <c r="G69" s="37" t="str">
        <f>IF(COUNT(ngay08!$F$4)&gt;0,ngay08!$F$4,"")</f>
        <v/>
      </c>
      <c r="H69" s="34" t="str">
        <f t="shared" si="2"/>
        <v>x</v>
      </c>
      <c r="I69" s="38">
        <f t="shared" si="3"/>
        <v>0</v>
      </c>
      <c r="J69" s="37" t="str">
        <f>IF(COUNT(ngay08!$R$33)&gt;0,ngay08!$R$33,"")</f>
        <v/>
      </c>
      <c r="K69" s="137" t="str">
        <f t="shared" si="4"/>
        <v>x</v>
      </c>
      <c r="L69" s="49">
        <f t="shared" si="5"/>
        <v>0</v>
      </c>
      <c r="M69" s="34"/>
      <c r="N69" s="37" t="str">
        <f>IF(COUNT(ngay08!$F$6)&gt;0,ngay08!$F$6,"")</f>
        <v/>
      </c>
      <c r="O69" s="34" t="str">
        <f t="shared" si="6"/>
        <v>x</v>
      </c>
      <c r="P69" s="38">
        <f t="shared" si="7"/>
        <v>0</v>
      </c>
      <c r="Q69" s="37" t="str">
        <f>IF(COUNT(ngay08!$R$39)&gt;0,ngay08!$R$39,"")</f>
        <v/>
      </c>
      <c r="R69" s="137" t="str">
        <f t="shared" si="8"/>
        <v>x</v>
      </c>
      <c r="S69" s="49">
        <f t="shared" si="9"/>
        <v>0</v>
      </c>
      <c r="T69" s="34"/>
      <c r="U69" s="37" t="str">
        <f>IF(COUNT(ngay08!$F$12)&gt;0,ngay08!$F$12,"")</f>
        <v/>
      </c>
      <c r="V69" s="34" t="str">
        <f t="shared" si="10"/>
        <v>x</v>
      </c>
      <c r="W69" s="38">
        <f t="shared" si="11"/>
        <v>0</v>
      </c>
      <c r="X69" s="37" t="str">
        <f>IF(COUNT(ngay08!$R$48)&gt;0,ngay08!$R$48,"")</f>
        <v/>
      </c>
      <c r="Y69" s="137" t="str">
        <f t="shared" si="12"/>
        <v>x</v>
      </c>
      <c r="Z69" s="49">
        <f t="shared" si="13"/>
        <v>0</v>
      </c>
      <c r="AA69" s="34"/>
      <c r="AB69" s="37" t="str">
        <f>IF(COUNT(ngay08!$F$21)&gt;0,ngay08!$F$21,"")</f>
        <v/>
      </c>
      <c r="AC69" s="34" t="str">
        <f t="shared" si="14"/>
        <v>x</v>
      </c>
      <c r="AD69" s="38">
        <f t="shared" si="15"/>
        <v>0</v>
      </c>
    </row>
    <row r="70" spans="1:32">
      <c r="A70" s="41"/>
      <c r="B70" s="48">
        <v>10</v>
      </c>
      <c r="C70" s="37" t="str">
        <f>IF(COUNT(ngay08!$S$31)&gt;0,ngay08!$S$31,"")</f>
        <v/>
      </c>
      <c r="D70" s="137" t="str">
        <f t="shared" si="0"/>
        <v>x</v>
      </c>
      <c r="E70" s="49">
        <f t="shared" si="1"/>
        <v>0</v>
      </c>
      <c r="F70" s="34"/>
      <c r="G70" s="37" t="str">
        <f>IF(COUNT(ngay08!$G$4)&gt;0,ngay08!$G$4,"")</f>
        <v/>
      </c>
      <c r="H70" s="34" t="str">
        <f t="shared" si="2"/>
        <v>x</v>
      </c>
      <c r="I70" s="38">
        <f t="shared" si="3"/>
        <v>0</v>
      </c>
      <c r="J70" s="37" t="str">
        <f>IF(COUNT(ngay08!$S$33)&gt;0,ngay08!$S$33,"")</f>
        <v/>
      </c>
      <c r="K70" s="137" t="str">
        <f t="shared" si="4"/>
        <v>x</v>
      </c>
      <c r="L70" s="49">
        <f t="shared" si="5"/>
        <v>0</v>
      </c>
      <c r="M70" s="34"/>
      <c r="N70" s="37" t="str">
        <f>IF(COUNT(ngay08!$G$6)&gt;0,ngay08!$G$6,"")</f>
        <v/>
      </c>
      <c r="O70" s="34" t="str">
        <f t="shared" si="6"/>
        <v>x</v>
      </c>
      <c r="P70" s="38">
        <f t="shared" si="7"/>
        <v>0</v>
      </c>
      <c r="Q70" s="37" t="str">
        <f>IF(COUNT(ngay08!$S$39)&gt;0,ngay08!$S$39,"")</f>
        <v/>
      </c>
      <c r="R70" s="137" t="str">
        <f t="shared" si="8"/>
        <v>x</v>
      </c>
      <c r="S70" s="49">
        <f t="shared" si="9"/>
        <v>0</v>
      </c>
      <c r="T70" s="34"/>
      <c r="U70" s="37" t="str">
        <f>IF(COUNT(ngay08!$G$12)&gt;0,ngay08!$G$12,"")</f>
        <v/>
      </c>
      <c r="V70" s="34" t="str">
        <f t="shared" si="10"/>
        <v>x</v>
      </c>
      <c r="W70" s="38">
        <f t="shared" si="11"/>
        <v>0</v>
      </c>
      <c r="X70" s="37" t="str">
        <f>IF(COUNT(ngay08!$S$48)&gt;0,ngay08!$S$48,"")</f>
        <v/>
      </c>
      <c r="Y70" s="137" t="str">
        <f t="shared" si="12"/>
        <v>x</v>
      </c>
      <c r="Z70" s="49">
        <f t="shared" si="13"/>
        <v>0</v>
      </c>
      <c r="AA70" s="34"/>
      <c r="AB70" s="37" t="str">
        <f>IF(COUNT(ngay08!$G$21)&gt;0,ngay08!$G$21,"")</f>
        <v/>
      </c>
      <c r="AC70" s="34" t="str">
        <f t="shared" si="14"/>
        <v>x</v>
      </c>
      <c r="AD70" s="38">
        <f t="shared" si="15"/>
        <v>0</v>
      </c>
    </row>
    <row r="71" spans="1:32">
      <c r="A71" s="41"/>
      <c r="B71" s="48">
        <v>13</v>
      </c>
      <c r="C71" s="37" t="str">
        <f>IF(COUNT(ngay08!$T$31)&gt;0,ngay08!$T$31,"")</f>
        <v/>
      </c>
      <c r="D71" s="137" t="str">
        <f t="shared" si="0"/>
        <v>x</v>
      </c>
      <c r="E71" s="49">
        <f t="shared" si="1"/>
        <v>0</v>
      </c>
      <c r="F71" s="34"/>
      <c r="G71" s="37" t="str">
        <f>IF(COUNT(ngay08!$H$4)&gt;0,ngay08!$H$4,"")</f>
        <v/>
      </c>
      <c r="H71" s="34" t="str">
        <f t="shared" si="2"/>
        <v>x</v>
      </c>
      <c r="I71" s="38">
        <f t="shared" si="3"/>
        <v>0</v>
      </c>
      <c r="J71" s="37" t="str">
        <f>IF(COUNT(ngay08!$T$33)&gt;0,ngay08!$T$33,"")</f>
        <v/>
      </c>
      <c r="K71" s="137" t="str">
        <f t="shared" si="4"/>
        <v>x</v>
      </c>
      <c r="L71" s="49">
        <f t="shared" si="5"/>
        <v>0</v>
      </c>
      <c r="M71" s="34"/>
      <c r="N71" s="37" t="str">
        <f>IF(COUNT(ngay08!$H$6)&gt;0,ngay08!$H$6,"")</f>
        <v/>
      </c>
      <c r="O71" s="34" t="str">
        <f t="shared" si="6"/>
        <v>x</v>
      </c>
      <c r="P71" s="38">
        <f t="shared" si="7"/>
        <v>0</v>
      </c>
      <c r="Q71" s="37" t="str">
        <f>IF(COUNT(ngay08!$T$39)&gt;0,ngay08!$T$39,"")</f>
        <v/>
      </c>
      <c r="R71" s="137" t="str">
        <f t="shared" si="8"/>
        <v>x</v>
      </c>
      <c r="S71" s="49">
        <f t="shared" si="9"/>
        <v>0</v>
      </c>
      <c r="T71" s="34"/>
      <c r="U71" s="37" t="str">
        <f>IF(COUNT(ngay08!$H$12)&gt;0,ngay08!$H$12,"")</f>
        <v/>
      </c>
      <c r="V71" s="34" t="str">
        <f t="shared" si="10"/>
        <v>x</v>
      </c>
      <c r="W71" s="38">
        <f t="shared" si="11"/>
        <v>0</v>
      </c>
      <c r="X71" s="37" t="str">
        <f>IF(COUNT(ngay08!$T$48)&gt;0,ngay08!$T$48,"")</f>
        <v/>
      </c>
      <c r="Y71" s="137" t="str">
        <f t="shared" si="12"/>
        <v>x</v>
      </c>
      <c r="Z71" s="49">
        <f t="shared" si="13"/>
        <v>0</v>
      </c>
      <c r="AA71" s="34"/>
      <c r="AB71" s="37" t="str">
        <f>IF(COUNT(ngay08!$H$21)&gt;0,ngay08!$H$21,"")</f>
        <v/>
      </c>
      <c r="AC71" s="34" t="str">
        <f t="shared" si="14"/>
        <v>x</v>
      </c>
      <c r="AD71" s="38">
        <f t="shared" si="15"/>
        <v>0</v>
      </c>
    </row>
    <row r="72" spans="1:32">
      <c r="A72" s="41"/>
      <c r="B72" s="48">
        <v>16</v>
      </c>
      <c r="C72" s="37" t="str">
        <f>IF(COUNT(ngay08!$U$31)&gt;0,ngay08!$U$31,"")</f>
        <v/>
      </c>
      <c r="D72" s="137" t="str">
        <f t="shared" si="0"/>
        <v>x</v>
      </c>
      <c r="E72" s="49">
        <f t="shared" si="1"/>
        <v>0</v>
      </c>
      <c r="F72" s="34"/>
      <c r="G72" s="37" t="str">
        <f>IF(COUNT(ngay08!$I$4)&gt;0,ngay08!$I$4,"")</f>
        <v/>
      </c>
      <c r="H72" s="34" t="str">
        <f t="shared" si="2"/>
        <v>x</v>
      </c>
      <c r="I72" s="38">
        <f t="shared" si="3"/>
        <v>0</v>
      </c>
      <c r="J72" s="37" t="str">
        <f>IF(COUNT(ngay08!$U$33)&gt;0,ngay08!$U$33,"")</f>
        <v/>
      </c>
      <c r="K72" s="137" t="str">
        <f t="shared" si="4"/>
        <v>x</v>
      </c>
      <c r="L72" s="49">
        <f t="shared" si="5"/>
        <v>0</v>
      </c>
      <c r="M72" s="34"/>
      <c r="N72" s="37" t="str">
        <f>IF(COUNT(ngay08!$I$6)&gt;0,ngay08!$I$6,"")</f>
        <v/>
      </c>
      <c r="O72" s="34" t="str">
        <f t="shared" si="6"/>
        <v>x</v>
      </c>
      <c r="P72" s="38">
        <f t="shared" si="7"/>
        <v>0</v>
      </c>
      <c r="Q72" s="37" t="str">
        <f>IF(COUNT(ngay08!$U$39)&gt;0,ngay08!$U$39,"")</f>
        <v/>
      </c>
      <c r="R72" s="137" t="str">
        <f t="shared" si="8"/>
        <v>x</v>
      </c>
      <c r="S72" s="49">
        <f t="shared" si="9"/>
        <v>0</v>
      </c>
      <c r="T72" s="34"/>
      <c r="U72" s="37" t="str">
        <f>IF(COUNT(ngay08!$I$12)&gt;0,ngay08!$I$12,"")</f>
        <v/>
      </c>
      <c r="V72" s="34" t="str">
        <f t="shared" si="10"/>
        <v>x</v>
      </c>
      <c r="W72" s="38">
        <f t="shared" si="11"/>
        <v>0</v>
      </c>
      <c r="X72" s="37" t="str">
        <f>IF(COUNT(ngay08!$U$48)&gt;0,ngay08!$U$48,"")</f>
        <v/>
      </c>
      <c r="Y72" s="137" t="str">
        <f t="shared" si="12"/>
        <v>x</v>
      </c>
      <c r="Z72" s="49">
        <f t="shared" si="13"/>
        <v>0</v>
      </c>
      <c r="AA72" s="34"/>
      <c r="AB72" s="37" t="str">
        <f>IF(COUNT(ngay08!$I$21)&gt;0,ngay08!$I$21,"")</f>
        <v/>
      </c>
      <c r="AC72" s="34" t="str">
        <f t="shared" si="14"/>
        <v>x</v>
      </c>
      <c r="AD72" s="38">
        <f t="shared" si="15"/>
        <v>0</v>
      </c>
    </row>
    <row r="73" spans="1:32">
      <c r="A73" s="41"/>
      <c r="B73" s="48">
        <v>19</v>
      </c>
      <c r="C73" s="37" t="str">
        <f>IF(COUNT(ngay08!$V$31)&gt;0,ngay08!$V$31,"")</f>
        <v/>
      </c>
      <c r="D73" s="137" t="str">
        <f t="shared" si="0"/>
        <v>x</v>
      </c>
      <c r="E73" s="49">
        <f t="shared" si="1"/>
        <v>0</v>
      </c>
      <c r="F73" s="34"/>
      <c r="G73" s="37" t="str">
        <f>IF(COUNT(ngay08!$J$4)&gt;0,ngay08!$J$4,"")</f>
        <v/>
      </c>
      <c r="H73" s="34" t="str">
        <f t="shared" si="2"/>
        <v>x</v>
      </c>
      <c r="I73" s="38">
        <f t="shared" si="3"/>
        <v>0</v>
      </c>
      <c r="J73" s="37" t="str">
        <f>IF(COUNT(ngay08!$V$33)&gt;0,ngay08!$V$33,"")</f>
        <v/>
      </c>
      <c r="K73" s="137" t="str">
        <f t="shared" si="4"/>
        <v>x</v>
      </c>
      <c r="L73" s="49">
        <f t="shared" si="5"/>
        <v>0</v>
      </c>
      <c r="M73" s="34"/>
      <c r="N73" s="37" t="str">
        <f>IF(COUNT(ngay08!$J$6)&gt;0,ngay08!$J$6,"")</f>
        <v/>
      </c>
      <c r="O73" s="34" t="str">
        <f t="shared" si="6"/>
        <v>x</v>
      </c>
      <c r="P73" s="38">
        <f t="shared" si="7"/>
        <v>0</v>
      </c>
      <c r="Q73" s="37" t="str">
        <f>IF(COUNT(ngay08!$V$39)&gt;0,ngay08!$V$39,"")</f>
        <v/>
      </c>
      <c r="R73" s="137" t="str">
        <f t="shared" si="8"/>
        <v>x</v>
      </c>
      <c r="S73" s="49">
        <f t="shared" si="9"/>
        <v>0</v>
      </c>
      <c r="T73" s="34"/>
      <c r="U73" s="37" t="str">
        <f>IF(COUNT(ngay08!$J$12)&gt;0,ngay08!$J$12,"")</f>
        <v/>
      </c>
      <c r="V73" s="34" t="str">
        <f t="shared" si="10"/>
        <v>x</v>
      </c>
      <c r="W73" s="38">
        <f t="shared" si="11"/>
        <v>0</v>
      </c>
      <c r="X73" s="37" t="str">
        <f>IF(COUNT(ngay08!$V$48)&gt;0,ngay08!$V$48,"")</f>
        <v/>
      </c>
      <c r="Y73" s="137" t="str">
        <f t="shared" si="12"/>
        <v>x</v>
      </c>
      <c r="Z73" s="49">
        <f t="shared" si="13"/>
        <v>0</v>
      </c>
      <c r="AA73" s="34"/>
      <c r="AB73" s="37" t="str">
        <f>IF(COUNT(ngay08!$J$21)&gt;0,ngay08!$J$21,"")</f>
        <v/>
      </c>
      <c r="AC73" s="34" t="str">
        <f t="shared" si="14"/>
        <v>x</v>
      </c>
      <c r="AD73" s="38">
        <f t="shared" si="15"/>
        <v>0</v>
      </c>
    </row>
    <row r="74" spans="1:32">
      <c r="A74" s="41"/>
      <c r="B74" s="48">
        <v>22</v>
      </c>
      <c r="C74" s="37" t="str">
        <f>IF(COUNT(ngay09!$O$31)&gt;0,ngay09!$O$31,"")</f>
        <v/>
      </c>
      <c r="D74" s="137" t="str">
        <f t="shared" si="0"/>
        <v>x</v>
      </c>
      <c r="E74" s="49">
        <f t="shared" si="1"/>
        <v>0</v>
      </c>
      <c r="F74" s="34"/>
      <c r="G74" s="37" t="str">
        <f>IF(COUNT(ngay09!$C$4)&gt;0,ngay09!$C$4,"")</f>
        <v/>
      </c>
      <c r="H74" s="34" t="str">
        <f t="shared" si="2"/>
        <v>x</v>
      </c>
      <c r="I74" s="38">
        <f t="shared" si="3"/>
        <v>0</v>
      </c>
      <c r="J74" s="37" t="str">
        <f>IF(COUNT(ngay09!$O$33)&gt;0,ngay09!$O$33,"")</f>
        <v/>
      </c>
      <c r="K74" s="137" t="str">
        <f t="shared" si="4"/>
        <v>x</v>
      </c>
      <c r="L74" s="49">
        <f t="shared" si="5"/>
        <v>0</v>
      </c>
      <c r="M74" s="34"/>
      <c r="N74" s="37" t="str">
        <f>IF(COUNT(ngay09!$C$6)&gt;0,ngay09!$C$6,"")</f>
        <v/>
      </c>
      <c r="O74" s="34" t="str">
        <f t="shared" si="6"/>
        <v>x</v>
      </c>
      <c r="P74" s="38">
        <f t="shared" si="7"/>
        <v>0</v>
      </c>
      <c r="Q74" s="37" t="str">
        <f>IF(COUNT(ngay09!$O$39)&gt;0,ngay09!$O$39,"")</f>
        <v/>
      </c>
      <c r="R74" s="137" t="str">
        <f t="shared" si="8"/>
        <v>x</v>
      </c>
      <c r="S74" s="49">
        <f t="shared" si="9"/>
        <v>0</v>
      </c>
      <c r="T74" s="34"/>
      <c r="U74" s="37" t="str">
        <f>IF(COUNT(ngay09!$C$12)&gt;0,ngay09!$C$12,"")</f>
        <v/>
      </c>
      <c r="V74" s="34" t="str">
        <f t="shared" si="10"/>
        <v>x</v>
      </c>
      <c r="W74" s="38">
        <f t="shared" si="11"/>
        <v>0</v>
      </c>
      <c r="X74" s="37" t="str">
        <f>IF(COUNT(ngay09!$O$48)&gt;0,ngay09!$O$48,"")</f>
        <v/>
      </c>
      <c r="Y74" s="137" t="str">
        <f t="shared" si="12"/>
        <v>x</v>
      </c>
      <c r="Z74" s="49">
        <f t="shared" si="13"/>
        <v>0</v>
      </c>
      <c r="AA74" s="34"/>
      <c r="AB74" s="37" t="str">
        <f>IF(COUNT(ngay09!$C$21)&gt;0,ngay09!$C$21,"")</f>
        <v/>
      </c>
      <c r="AC74" s="34" t="str">
        <f t="shared" si="14"/>
        <v>x</v>
      </c>
      <c r="AD74" s="38">
        <f t="shared" si="15"/>
        <v>0</v>
      </c>
    </row>
    <row r="75" spans="1:32" s="145" customFormat="1">
      <c r="A75" s="146">
        <v>9</v>
      </c>
      <c r="B75" s="48">
        <v>1</v>
      </c>
      <c r="C75" s="141" t="str">
        <f>IF(COUNT(ngay09!$P$31)&gt;0,ngay09!$P$31,"")</f>
        <v/>
      </c>
      <c r="D75" s="144" t="str">
        <f t="shared" ref="D75:D138" si="16">IF(COUNT(C67,C75)=2,C75-C67,"x")</f>
        <v>x</v>
      </c>
      <c r="E75" s="142">
        <f t="shared" ref="E75:E138" si="17">IF(COUNT(D75,E74)=2,D75+E74,E74)</f>
        <v>0</v>
      </c>
      <c r="F75" s="140"/>
      <c r="G75" s="141" t="str">
        <f>IF(COUNT(ngay09!$D$4)&gt;0,ngay09!$D$4,"")</f>
        <v/>
      </c>
      <c r="H75" s="140" t="str">
        <f t="shared" ref="H75:H138" si="18">IF(COUNT(G67,G75)=2,G75-G67,"x")</f>
        <v>x</v>
      </c>
      <c r="I75" s="143">
        <f t="shared" ref="I75:I138" si="19">IF(COUNT(H75,I74)=2,H75+I74,I74)</f>
        <v>0</v>
      </c>
      <c r="J75" s="141" t="str">
        <f>IF(COUNT(ngay09!$P$33)&gt;0,ngay09!$P$33,"")</f>
        <v/>
      </c>
      <c r="K75" s="144" t="str">
        <f t="shared" ref="K75:K138" si="20">IF(COUNT(J67,J75)=2,J75-J67,"x")</f>
        <v>x</v>
      </c>
      <c r="L75" s="142">
        <f t="shared" ref="L75:L138" si="21">IF(COUNT(K75,L74)=2,K75+L74,L74)</f>
        <v>0</v>
      </c>
      <c r="M75" s="140"/>
      <c r="N75" s="141" t="str">
        <f>IF(COUNT(ngay09!$D$6)&gt;0,ngay09!$D$6,"")</f>
        <v/>
      </c>
      <c r="O75" s="140" t="str">
        <f t="shared" ref="O75:O138" si="22">IF(COUNT(N67,N75)=2,N75-N67,"x")</f>
        <v>x</v>
      </c>
      <c r="P75" s="143">
        <f t="shared" ref="P75:P138" si="23">IF(COUNT(O75,P74)=2,O75+P74,P74)</f>
        <v>0</v>
      </c>
      <c r="Q75" s="141" t="str">
        <f>IF(COUNT(ngay09!$P$39)&gt;0,ngay09!$P$39,"")</f>
        <v/>
      </c>
      <c r="R75" s="144" t="str">
        <f t="shared" ref="R75:R138" si="24">IF(COUNT(Q67,Q75)=2,Q75-Q67,"x")</f>
        <v>x</v>
      </c>
      <c r="S75" s="142">
        <f t="shared" ref="S75:S138" si="25">IF(COUNT(R75,S74)=2,R75+S74,S74)</f>
        <v>0</v>
      </c>
      <c r="T75" s="140"/>
      <c r="U75" s="141" t="str">
        <f>IF(COUNT(ngay09!$D$12)&gt;0,ngay09!$D$12,"")</f>
        <v/>
      </c>
      <c r="V75" s="140" t="str">
        <f t="shared" ref="V75:V138" si="26">IF(COUNT(U67,U75)=2,U75-U67,"x")</f>
        <v>x</v>
      </c>
      <c r="W75" s="143">
        <f t="shared" ref="W75:W138" si="27">IF(COUNT(V75,W74)=2,V75+W74,W74)</f>
        <v>0</v>
      </c>
      <c r="X75" s="141" t="str">
        <f>IF(COUNT(ngay09!$P$48)&gt;0,ngay09!$P$48,"")</f>
        <v/>
      </c>
      <c r="Y75" s="144" t="str">
        <f t="shared" ref="Y75:Y138" si="28">IF(COUNT(X67,X75)=2,X75-X67,"x")</f>
        <v>x</v>
      </c>
      <c r="Z75" s="142">
        <f t="shared" ref="Z75:Z138" si="29">IF(COUNT(Y75,Z74)=2,Y75+Z74,Z74)</f>
        <v>0</v>
      </c>
      <c r="AA75" s="140"/>
      <c r="AB75" s="141" t="str">
        <f>IF(COUNT(ngay09!$D$21)&gt;0,ngay09!$D$21,"")</f>
        <v/>
      </c>
      <c r="AC75" s="140" t="str">
        <f t="shared" ref="AC75:AC138" si="30">IF(COUNT(AB67,AB75)=2,AB75-AB67,"x")</f>
        <v>x</v>
      </c>
      <c r="AD75" s="143">
        <f t="shared" ref="AD75:AD138" si="31">IF(COUNT(AC75,AD74)=2,AC75+AD74,AD74)</f>
        <v>0</v>
      </c>
      <c r="AE75" s="147"/>
      <c r="AF75" s="147"/>
    </row>
    <row r="76" spans="1:32">
      <c r="A76" s="41"/>
      <c r="B76" s="48">
        <v>4</v>
      </c>
      <c r="C76" s="37" t="str">
        <f>IF(COUNT(ngay09!$Q$31)&gt;0,ngay09!$Q$31,"")</f>
        <v/>
      </c>
      <c r="D76" s="137" t="str">
        <f t="shared" si="16"/>
        <v>x</v>
      </c>
      <c r="E76" s="49">
        <f t="shared" si="17"/>
        <v>0</v>
      </c>
      <c r="F76" s="34"/>
      <c r="G76" s="37" t="str">
        <f>IF(COUNT(ngay09!$E$4)&gt;0,ngay09!$E$4,"")</f>
        <v/>
      </c>
      <c r="H76" s="34" t="str">
        <f t="shared" si="18"/>
        <v>x</v>
      </c>
      <c r="I76" s="38">
        <f t="shared" si="19"/>
        <v>0</v>
      </c>
      <c r="J76" s="37" t="str">
        <f>IF(COUNT(ngay09!$Q$33)&gt;0,ngay09!$Q$33,"")</f>
        <v/>
      </c>
      <c r="K76" s="137" t="str">
        <f t="shared" si="20"/>
        <v>x</v>
      </c>
      <c r="L76" s="49">
        <f t="shared" si="21"/>
        <v>0</v>
      </c>
      <c r="M76" s="34"/>
      <c r="N76" s="37" t="str">
        <f>IF(COUNT(ngay09!$E$6)&gt;0,ngay09!$E$6,"")</f>
        <v/>
      </c>
      <c r="O76" s="34" t="str">
        <f t="shared" si="22"/>
        <v>x</v>
      </c>
      <c r="P76" s="38">
        <f t="shared" si="23"/>
        <v>0</v>
      </c>
      <c r="Q76" s="37" t="str">
        <f>IF(COUNT(ngay09!$Q$39)&gt;0,ngay09!$Q$39,"")</f>
        <v/>
      </c>
      <c r="R76" s="137" t="str">
        <f t="shared" si="24"/>
        <v>x</v>
      </c>
      <c r="S76" s="49">
        <f t="shared" si="25"/>
        <v>0</v>
      </c>
      <c r="T76" s="34"/>
      <c r="U76" s="37" t="str">
        <f>IF(COUNT(ngay09!$E$12)&gt;0,ngay09!$E$12,"")</f>
        <v/>
      </c>
      <c r="V76" s="34" t="str">
        <f t="shared" si="26"/>
        <v>x</v>
      </c>
      <c r="W76" s="38">
        <f t="shared" si="27"/>
        <v>0</v>
      </c>
      <c r="X76" s="37" t="str">
        <f>IF(COUNT(ngay09!$Q$48)&gt;0,ngay09!$Q$48,"")</f>
        <v/>
      </c>
      <c r="Y76" s="137" t="str">
        <f t="shared" si="28"/>
        <v>x</v>
      </c>
      <c r="Z76" s="49">
        <f t="shared" si="29"/>
        <v>0</v>
      </c>
      <c r="AA76" s="34"/>
      <c r="AB76" s="37" t="str">
        <f>IF(COUNT(ngay09!$E$21)&gt;0,ngay09!$E$21,"")</f>
        <v/>
      </c>
      <c r="AC76" s="34" t="str">
        <f t="shared" si="30"/>
        <v>x</v>
      </c>
      <c r="AD76" s="38">
        <f t="shared" si="31"/>
        <v>0</v>
      </c>
    </row>
    <row r="77" spans="1:32">
      <c r="A77" s="41"/>
      <c r="B77" s="139">
        <v>7</v>
      </c>
      <c r="C77" s="37" t="str">
        <f>IF(COUNT(ngay09!$R$31)&gt;0,ngay09!$R$31,"")</f>
        <v/>
      </c>
      <c r="D77" s="137" t="str">
        <f t="shared" si="16"/>
        <v>x</v>
      </c>
      <c r="E77" s="49">
        <f t="shared" si="17"/>
        <v>0</v>
      </c>
      <c r="F77" s="34"/>
      <c r="G77" s="37" t="str">
        <f>IF(COUNT(ngay09!$F$4)&gt;0,ngay09!$F$4,"")</f>
        <v/>
      </c>
      <c r="H77" s="34" t="str">
        <f t="shared" si="18"/>
        <v>x</v>
      </c>
      <c r="I77" s="38">
        <f t="shared" si="19"/>
        <v>0</v>
      </c>
      <c r="J77" s="37" t="str">
        <f>IF(COUNT(ngay09!$R$33)&gt;0,ngay09!$R$33,"")</f>
        <v/>
      </c>
      <c r="K77" s="137" t="str">
        <f t="shared" si="20"/>
        <v>x</v>
      </c>
      <c r="L77" s="49">
        <f t="shared" si="21"/>
        <v>0</v>
      </c>
      <c r="M77" s="34"/>
      <c r="N77" s="37" t="str">
        <f>IF(COUNT(ngay09!$F$6)&gt;0,ngay09!$F$6,"")</f>
        <v/>
      </c>
      <c r="O77" s="34" t="str">
        <f t="shared" si="22"/>
        <v>x</v>
      </c>
      <c r="P77" s="38">
        <f t="shared" si="23"/>
        <v>0</v>
      </c>
      <c r="Q77" s="37" t="str">
        <f>IF(COUNT(ngay09!$R$39)&gt;0,ngay09!$R$39,"")</f>
        <v/>
      </c>
      <c r="R77" s="137" t="str">
        <f t="shared" si="24"/>
        <v>x</v>
      </c>
      <c r="S77" s="49">
        <f t="shared" si="25"/>
        <v>0</v>
      </c>
      <c r="T77" s="34"/>
      <c r="U77" s="37" t="str">
        <f>IF(COUNT(ngay09!$F$12)&gt;0,ngay09!$F$12,"")</f>
        <v/>
      </c>
      <c r="V77" s="34" t="str">
        <f t="shared" si="26"/>
        <v>x</v>
      </c>
      <c r="W77" s="38">
        <f t="shared" si="27"/>
        <v>0</v>
      </c>
      <c r="X77" s="37" t="str">
        <f>IF(COUNT(ngay09!$R$48)&gt;0,ngay09!$R$48,"")</f>
        <v/>
      </c>
      <c r="Y77" s="137" t="str">
        <f t="shared" si="28"/>
        <v>x</v>
      </c>
      <c r="Z77" s="49">
        <f t="shared" si="29"/>
        <v>0</v>
      </c>
      <c r="AA77" s="34"/>
      <c r="AB77" s="37" t="str">
        <f>IF(COUNT(ngay09!$F$21)&gt;0,ngay09!$F$21,"")</f>
        <v/>
      </c>
      <c r="AC77" s="34" t="str">
        <f t="shared" si="30"/>
        <v>x</v>
      </c>
      <c r="AD77" s="38">
        <f t="shared" si="31"/>
        <v>0</v>
      </c>
    </row>
    <row r="78" spans="1:32">
      <c r="A78" s="41"/>
      <c r="B78" s="48">
        <v>10</v>
      </c>
      <c r="C78" s="37" t="str">
        <f>IF(COUNT(ngay09!$S$31)&gt;0,ngay09!$S$31,"")</f>
        <v/>
      </c>
      <c r="D78" s="137" t="str">
        <f t="shared" si="16"/>
        <v>x</v>
      </c>
      <c r="E78" s="49">
        <f t="shared" si="17"/>
        <v>0</v>
      </c>
      <c r="F78" s="34"/>
      <c r="G78" s="37" t="str">
        <f>IF(COUNT(ngay09!$G$4)&gt;0,ngay09!$G$4,"")</f>
        <v/>
      </c>
      <c r="H78" s="34" t="str">
        <f t="shared" si="18"/>
        <v>x</v>
      </c>
      <c r="I78" s="38">
        <f t="shared" si="19"/>
        <v>0</v>
      </c>
      <c r="J78" s="37" t="str">
        <f>IF(COUNT(ngay09!$S$33)&gt;0,ngay09!$S$33,"")</f>
        <v/>
      </c>
      <c r="K78" s="137" t="str">
        <f t="shared" si="20"/>
        <v>x</v>
      </c>
      <c r="L78" s="49">
        <f t="shared" si="21"/>
        <v>0</v>
      </c>
      <c r="M78" s="34"/>
      <c r="N78" s="37" t="str">
        <f>IF(COUNT(ngay09!$G$6)&gt;0,ngay09!$G$6,"")</f>
        <v/>
      </c>
      <c r="O78" s="34" t="str">
        <f t="shared" si="22"/>
        <v>x</v>
      </c>
      <c r="P78" s="38">
        <f t="shared" si="23"/>
        <v>0</v>
      </c>
      <c r="Q78" s="37" t="str">
        <f>IF(COUNT(ngay09!$S$39)&gt;0,ngay09!$S$39,"")</f>
        <v/>
      </c>
      <c r="R78" s="137" t="str">
        <f t="shared" si="24"/>
        <v>x</v>
      </c>
      <c r="S78" s="49">
        <f t="shared" si="25"/>
        <v>0</v>
      </c>
      <c r="T78" s="34"/>
      <c r="U78" s="37" t="str">
        <f>IF(COUNT(ngay09!$G$12)&gt;0,ngay09!$G$12,"")</f>
        <v/>
      </c>
      <c r="V78" s="34" t="str">
        <f t="shared" si="26"/>
        <v>x</v>
      </c>
      <c r="W78" s="38">
        <f t="shared" si="27"/>
        <v>0</v>
      </c>
      <c r="X78" s="37" t="str">
        <f>IF(COUNT(ngay09!$S$48)&gt;0,ngay09!$S$48,"")</f>
        <v/>
      </c>
      <c r="Y78" s="137" t="str">
        <f t="shared" si="28"/>
        <v>x</v>
      </c>
      <c r="Z78" s="49">
        <f t="shared" si="29"/>
        <v>0</v>
      </c>
      <c r="AA78" s="34"/>
      <c r="AB78" s="37" t="str">
        <f>IF(COUNT(ngay09!$G$21)&gt;0,ngay09!$G$21,"")</f>
        <v/>
      </c>
      <c r="AC78" s="34" t="str">
        <f t="shared" si="30"/>
        <v>x</v>
      </c>
      <c r="AD78" s="38">
        <f t="shared" si="31"/>
        <v>0</v>
      </c>
    </row>
    <row r="79" spans="1:32">
      <c r="A79" s="41"/>
      <c r="B79" s="48">
        <v>13</v>
      </c>
      <c r="C79" s="37" t="str">
        <f>IF(COUNT(ngay09!$T$31)&gt;0,ngay09!$T$31,"")</f>
        <v/>
      </c>
      <c r="D79" s="137" t="str">
        <f t="shared" si="16"/>
        <v>x</v>
      </c>
      <c r="E79" s="49">
        <f t="shared" si="17"/>
        <v>0</v>
      </c>
      <c r="F79" s="34"/>
      <c r="G79" s="37" t="str">
        <f>IF(COUNT(ngay09!$H$4)&gt;0,ngay09!$H$4,"")</f>
        <v/>
      </c>
      <c r="H79" s="34" t="str">
        <f t="shared" si="18"/>
        <v>x</v>
      </c>
      <c r="I79" s="38">
        <f t="shared" si="19"/>
        <v>0</v>
      </c>
      <c r="J79" s="37" t="str">
        <f>IF(COUNT(ngay09!$T$33)&gt;0,ngay09!$T$33,"")</f>
        <v/>
      </c>
      <c r="K79" s="137" t="str">
        <f t="shared" si="20"/>
        <v>x</v>
      </c>
      <c r="L79" s="49">
        <f t="shared" si="21"/>
        <v>0</v>
      </c>
      <c r="M79" s="34"/>
      <c r="N79" s="37" t="str">
        <f>IF(COUNT(ngay09!$H$6)&gt;0,ngay09!$H$6,"")</f>
        <v/>
      </c>
      <c r="O79" s="34" t="str">
        <f t="shared" si="22"/>
        <v>x</v>
      </c>
      <c r="P79" s="38">
        <f t="shared" si="23"/>
        <v>0</v>
      </c>
      <c r="Q79" s="37" t="str">
        <f>IF(COUNT(ngay09!$T$39)&gt;0,ngay09!$T$39,"")</f>
        <v/>
      </c>
      <c r="R79" s="137" t="str">
        <f t="shared" si="24"/>
        <v>x</v>
      </c>
      <c r="S79" s="49">
        <f t="shared" si="25"/>
        <v>0</v>
      </c>
      <c r="T79" s="34"/>
      <c r="U79" s="37" t="str">
        <f>IF(COUNT(ngay09!$H$12)&gt;0,ngay09!$H$12,"")</f>
        <v/>
      </c>
      <c r="V79" s="34" t="str">
        <f t="shared" si="26"/>
        <v>x</v>
      </c>
      <c r="W79" s="38">
        <f t="shared" si="27"/>
        <v>0</v>
      </c>
      <c r="X79" s="37" t="str">
        <f>IF(COUNT(ngay09!$T$48)&gt;0,ngay09!$T$48,"")</f>
        <v/>
      </c>
      <c r="Y79" s="137" t="str">
        <f t="shared" si="28"/>
        <v>x</v>
      </c>
      <c r="Z79" s="49">
        <f t="shared" si="29"/>
        <v>0</v>
      </c>
      <c r="AA79" s="34"/>
      <c r="AB79" s="37" t="str">
        <f>IF(COUNT(ngay09!$H$21)&gt;0,ngay09!$H$21,"")</f>
        <v/>
      </c>
      <c r="AC79" s="34" t="str">
        <f t="shared" si="30"/>
        <v>x</v>
      </c>
      <c r="AD79" s="38">
        <f t="shared" si="31"/>
        <v>0</v>
      </c>
    </row>
    <row r="80" spans="1:32">
      <c r="A80" s="41"/>
      <c r="B80" s="48">
        <v>16</v>
      </c>
      <c r="C80" s="37" t="str">
        <f>IF(COUNT(ngay09!$U$31)&gt;0,ngay09!$U$31,"")</f>
        <v/>
      </c>
      <c r="D80" s="137" t="str">
        <f t="shared" si="16"/>
        <v>x</v>
      </c>
      <c r="E80" s="49">
        <f t="shared" si="17"/>
        <v>0</v>
      </c>
      <c r="F80" s="34"/>
      <c r="G80" s="37" t="str">
        <f>IF(COUNT(ngay09!$I$4)&gt;0,ngay09!$I$4,"")</f>
        <v/>
      </c>
      <c r="H80" s="34" t="str">
        <f t="shared" si="18"/>
        <v>x</v>
      </c>
      <c r="I80" s="38">
        <f t="shared" si="19"/>
        <v>0</v>
      </c>
      <c r="J80" s="37" t="str">
        <f>IF(COUNT(ngay09!$U$33)&gt;0,ngay09!$U$33,"")</f>
        <v/>
      </c>
      <c r="K80" s="137" t="str">
        <f t="shared" si="20"/>
        <v>x</v>
      </c>
      <c r="L80" s="49">
        <f t="shared" si="21"/>
        <v>0</v>
      </c>
      <c r="M80" s="34"/>
      <c r="N80" s="37" t="str">
        <f>IF(COUNT(ngay09!$I$6)&gt;0,ngay09!$I$6,"")</f>
        <v/>
      </c>
      <c r="O80" s="34" t="str">
        <f t="shared" si="22"/>
        <v>x</v>
      </c>
      <c r="P80" s="38">
        <f t="shared" si="23"/>
        <v>0</v>
      </c>
      <c r="Q80" s="37" t="str">
        <f>IF(COUNT(ngay09!$U$39)&gt;0,ngay09!$U$39,"")</f>
        <v/>
      </c>
      <c r="R80" s="137" t="str">
        <f t="shared" si="24"/>
        <v>x</v>
      </c>
      <c r="S80" s="49">
        <f t="shared" si="25"/>
        <v>0</v>
      </c>
      <c r="T80" s="34"/>
      <c r="U80" s="37" t="str">
        <f>IF(COUNT(ngay09!$I$12)&gt;0,ngay09!$I$12,"")</f>
        <v/>
      </c>
      <c r="V80" s="34" t="str">
        <f t="shared" si="26"/>
        <v>x</v>
      </c>
      <c r="W80" s="38">
        <f t="shared" si="27"/>
        <v>0</v>
      </c>
      <c r="X80" s="37" t="str">
        <f>IF(COUNT(ngay09!$U$48)&gt;0,ngay09!$U$48,"")</f>
        <v/>
      </c>
      <c r="Y80" s="137" t="str">
        <f t="shared" si="28"/>
        <v>x</v>
      </c>
      <c r="Z80" s="49">
        <f t="shared" si="29"/>
        <v>0</v>
      </c>
      <c r="AA80" s="34"/>
      <c r="AB80" s="37" t="str">
        <f>IF(COUNT(ngay09!$I$21)&gt;0,ngay09!$I$21,"")</f>
        <v/>
      </c>
      <c r="AC80" s="34" t="str">
        <f t="shared" si="30"/>
        <v>x</v>
      </c>
      <c r="AD80" s="38">
        <f t="shared" si="31"/>
        <v>0</v>
      </c>
    </row>
    <row r="81" spans="1:32">
      <c r="A81" s="41"/>
      <c r="B81" s="48">
        <v>19</v>
      </c>
      <c r="C81" s="37" t="str">
        <f>IF(COUNT(ngay09!$V$31)&gt;0,ngay09!$V$31,"")</f>
        <v/>
      </c>
      <c r="D81" s="137" t="str">
        <f t="shared" si="16"/>
        <v>x</v>
      </c>
      <c r="E81" s="49">
        <f t="shared" si="17"/>
        <v>0</v>
      </c>
      <c r="F81" s="34"/>
      <c r="G81" s="37" t="str">
        <f>IF(COUNT(ngay09!$J$4)&gt;0,ngay09!$J$4,"")</f>
        <v/>
      </c>
      <c r="H81" s="34" t="str">
        <f t="shared" si="18"/>
        <v>x</v>
      </c>
      <c r="I81" s="38">
        <f t="shared" si="19"/>
        <v>0</v>
      </c>
      <c r="J81" s="37" t="str">
        <f>IF(COUNT(ngay09!$V$33)&gt;0,ngay09!$V$33,"")</f>
        <v/>
      </c>
      <c r="K81" s="137" t="str">
        <f t="shared" si="20"/>
        <v>x</v>
      </c>
      <c r="L81" s="49">
        <f t="shared" si="21"/>
        <v>0</v>
      </c>
      <c r="M81" s="34"/>
      <c r="N81" s="37" t="str">
        <f>IF(COUNT(ngay09!$J$6)&gt;0,ngay09!$J$6,"")</f>
        <v/>
      </c>
      <c r="O81" s="34" t="str">
        <f t="shared" si="22"/>
        <v>x</v>
      </c>
      <c r="P81" s="38">
        <f t="shared" si="23"/>
        <v>0</v>
      </c>
      <c r="Q81" s="37" t="str">
        <f>IF(COUNT(ngay09!$V$39)&gt;0,ngay09!$V$39,"")</f>
        <v/>
      </c>
      <c r="R81" s="137" t="str">
        <f t="shared" si="24"/>
        <v>x</v>
      </c>
      <c r="S81" s="49">
        <f t="shared" si="25"/>
        <v>0</v>
      </c>
      <c r="T81" s="34"/>
      <c r="U81" s="37" t="str">
        <f>IF(COUNT(ngay09!$J$12)&gt;0,ngay09!$J$12,"")</f>
        <v/>
      </c>
      <c r="V81" s="34" t="str">
        <f t="shared" si="26"/>
        <v>x</v>
      </c>
      <c r="W81" s="38">
        <f t="shared" si="27"/>
        <v>0</v>
      </c>
      <c r="X81" s="37" t="str">
        <f>IF(COUNT(ngay09!$V$48)&gt;0,ngay09!$V$48,"")</f>
        <v/>
      </c>
      <c r="Y81" s="137" t="str">
        <f t="shared" si="28"/>
        <v>x</v>
      </c>
      <c r="Z81" s="49">
        <f t="shared" si="29"/>
        <v>0</v>
      </c>
      <c r="AA81" s="34"/>
      <c r="AB81" s="37" t="str">
        <f>IF(COUNT(ngay09!$J$21)&gt;0,ngay09!$J$21,"")</f>
        <v/>
      </c>
      <c r="AC81" s="34" t="str">
        <f t="shared" si="30"/>
        <v>x</v>
      </c>
      <c r="AD81" s="38">
        <f t="shared" si="31"/>
        <v>0</v>
      </c>
    </row>
    <row r="82" spans="1:32">
      <c r="A82" s="41"/>
      <c r="B82" s="48">
        <v>22</v>
      </c>
      <c r="C82" s="296" t="str">
        <f>IF(COUNT(ngay10!$O$31)&gt;0,ngay10!$O$31,"")</f>
        <v/>
      </c>
      <c r="D82" s="137" t="str">
        <f t="shared" si="16"/>
        <v>x</v>
      </c>
      <c r="E82" s="49">
        <f t="shared" si="17"/>
        <v>0</v>
      </c>
      <c r="F82" s="34"/>
      <c r="G82" s="296" t="str">
        <f>IF(COUNT(ngay10!$C$4)&gt;0,ngay10!$C$4,"")</f>
        <v/>
      </c>
      <c r="H82" s="34" t="str">
        <f t="shared" si="18"/>
        <v>x</v>
      </c>
      <c r="I82" s="38">
        <f t="shared" si="19"/>
        <v>0</v>
      </c>
      <c r="J82" s="296" t="str">
        <f>IF(COUNT(ngay10!$O$33)&gt;0,ngay10!$O$33,"")</f>
        <v/>
      </c>
      <c r="K82" s="137" t="str">
        <f t="shared" si="20"/>
        <v>x</v>
      </c>
      <c r="L82" s="49">
        <f t="shared" si="21"/>
        <v>0</v>
      </c>
      <c r="M82" s="34"/>
      <c r="N82" s="296" t="str">
        <f>IF(COUNT(ngay10!$C$6)&gt;0,ngay10!$C$6,"")</f>
        <v/>
      </c>
      <c r="O82" s="34" t="str">
        <f t="shared" si="22"/>
        <v>x</v>
      </c>
      <c r="P82" s="38">
        <f t="shared" si="23"/>
        <v>0</v>
      </c>
      <c r="Q82" s="296" t="str">
        <f>IF(COUNT(ngay10!$O$39)&gt;0,ngay10!$O$39,"")</f>
        <v/>
      </c>
      <c r="R82" s="137" t="str">
        <f t="shared" si="24"/>
        <v>x</v>
      </c>
      <c r="S82" s="49">
        <f t="shared" si="25"/>
        <v>0</v>
      </c>
      <c r="T82" s="34"/>
      <c r="U82" s="296" t="str">
        <f>IF(COUNT(ngay10!$C$12)&gt;0,ngay10!$C$12,"")</f>
        <v/>
      </c>
      <c r="V82" s="34" t="str">
        <f t="shared" si="26"/>
        <v>x</v>
      </c>
      <c r="W82" s="38">
        <f t="shared" si="27"/>
        <v>0</v>
      </c>
      <c r="X82" s="296" t="str">
        <f>IF(COUNT(ngay10!$O$48)&gt;0,ngay10!$O$48,"")</f>
        <v/>
      </c>
      <c r="Y82" s="137" t="str">
        <f t="shared" si="28"/>
        <v>x</v>
      </c>
      <c r="Z82" s="49">
        <f t="shared" si="29"/>
        <v>0</v>
      </c>
      <c r="AA82" s="34"/>
      <c r="AB82" s="296" t="str">
        <f>IF(COUNT(ngay10!$C$21)&gt;0,ngay10!$C$21,"")</f>
        <v/>
      </c>
      <c r="AC82" s="34" t="str">
        <f t="shared" si="30"/>
        <v>x</v>
      </c>
      <c r="AD82" s="38">
        <f t="shared" si="31"/>
        <v>0</v>
      </c>
    </row>
    <row r="83" spans="1:32" s="145" customFormat="1">
      <c r="A83" s="146">
        <v>10</v>
      </c>
      <c r="B83" s="48">
        <v>1</v>
      </c>
      <c r="C83" s="141" t="str">
        <f>IF(COUNT(ngay10!$P$31)&gt;0,ngay10!$P$31,"")</f>
        <v/>
      </c>
      <c r="D83" s="144" t="str">
        <f t="shared" si="16"/>
        <v>x</v>
      </c>
      <c r="E83" s="142">
        <f t="shared" si="17"/>
        <v>0</v>
      </c>
      <c r="F83" s="140"/>
      <c r="G83" s="141" t="str">
        <f>IF(COUNT(ngay10!$D$4)&gt;0,ngay10!$D$4,"")</f>
        <v/>
      </c>
      <c r="H83" s="140" t="str">
        <f t="shared" si="18"/>
        <v>x</v>
      </c>
      <c r="I83" s="143">
        <f t="shared" si="19"/>
        <v>0</v>
      </c>
      <c r="J83" s="141" t="str">
        <f>IF(COUNT(ngay10!$P$33)&gt;0,ngay10!$P$33,"")</f>
        <v/>
      </c>
      <c r="K83" s="144" t="str">
        <f t="shared" si="20"/>
        <v>x</v>
      </c>
      <c r="L83" s="142">
        <f t="shared" si="21"/>
        <v>0</v>
      </c>
      <c r="M83" s="140"/>
      <c r="N83" s="141" t="str">
        <f>IF(COUNT(ngay10!$D$6)&gt;0,ngay10!$D$6,"")</f>
        <v/>
      </c>
      <c r="O83" s="140" t="str">
        <f t="shared" si="22"/>
        <v>x</v>
      </c>
      <c r="P83" s="143">
        <f t="shared" si="23"/>
        <v>0</v>
      </c>
      <c r="Q83" s="141" t="str">
        <f>IF(COUNT(ngay10!$P$39)&gt;0,ngay10!$P$39,"")</f>
        <v/>
      </c>
      <c r="R83" s="144" t="str">
        <f t="shared" si="24"/>
        <v>x</v>
      </c>
      <c r="S83" s="142">
        <f t="shared" si="25"/>
        <v>0</v>
      </c>
      <c r="T83" s="140"/>
      <c r="U83" s="141" t="str">
        <f>IF(COUNT(ngay10!$D$12)&gt;0,ngay10!$D$12,"")</f>
        <v/>
      </c>
      <c r="V83" s="140" t="str">
        <f t="shared" si="26"/>
        <v>x</v>
      </c>
      <c r="W83" s="143">
        <f t="shared" si="27"/>
        <v>0</v>
      </c>
      <c r="X83" s="141" t="str">
        <f>IF(COUNT(ngay10!$P$48)&gt;0,ngay10!$P$48,"")</f>
        <v/>
      </c>
      <c r="Y83" s="144" t="str">
        <f t="shared" si="28"/>
        <v>x</v>
      </c>
      <c r="Z83" s="142">
        <f t="shared" si="29"/>
        <v>0</v>
      </c>
      <c r="AA83" s="140"/>
      <c r="AB83" s="141" t="str">
        <f>IF(COUNT(ngay10!$D$21)&gt;0,ngay10!$D$21,"")</f>
        <v/>
      </c>
      <c r="AC83" s="140" t="str">
        <f t="shared" si="30"/>
        <v>x</v>
      </c>
      <c r="AD83" s="143">
        <f t="shared" si="31"/>
        <v>0</v>
      </c>
      <c r="AE83" s="147"/>
      <c r="AF83" s="147"/>
    </row>
    <row r="84" spans="1:32">
      <c r="A84" s="41"/>
      <c r="B84" s="48">
        <v>4</v>
      </c>
      <c r="C84" s="37" t="str">
        <f>IF(COUNT(ngay10!$Q$31)&gt;0,ngay10!$Q$31,"")</f>
        <v/>
      </c>
      <c r="D84" s="137" t="str">
        <f t="shared" si="16"/>
        <v>x</v>
      </c>
      <c r="E84" s="49">
        <f t="shared" si="17"/>
        <v>0</v>
      </c>
      <c r="F84" s="34"/>
      <c r="G84" s="37" t="str">
        <f>IF(COUNT(ngay10!$E$4)&gt;0,ngay10!$E$4,"")</f>
        <v/>
      </c>
      <c r="H84" s="34" t="str">
        <f t="shared" si="18"/>
        <v>x</v>
      </c>
      <c r="I84" s="38">
        <f t="shared" si="19"/>
        <v>0</v>
      </c>
      <c r="J84" s="37" t="str">
        <f>IF(COUNT(ngay10!$Q$33)&gt;0,ngay10!$Q$33,"")</f>
        <v/>
      </c>
      <c r="K84" s="137" t="str">
        <f t="shared" si="20"/>
        <v>x</v>
      </c>
      <c r="L84" s="49">
        <f t="shared" si="21"/>
        <v>0</v>
      </c>
      <c r="M84" s="34"/>
      <c r="N84" s="37" t="str">
        <f>IF(COUNT(ngay10!$E$6)&gt;0,ngay10!$E$6,"")</f>
        <v/>
      </c>
      <c r="O84" s="34" t="str">
        <f t="shared" si="22"/>
        <v>x</v>
      </c>
      <c r="P84" s="38">
        <f t="shared" si="23"/>
        <v>0</v>
      </c>
      <c r="Q84" s="37" t="str">
        <f>IF(COUNT(ngay10!$Q$39)&gt;0,ngay10!$Q$39,"")</f>
        <v/>
      </c>
      <c r="R84" s="137" t="str">
        <f t="shared" si="24"/>
        <v>x</v>
      </c>
      <c r="S84" s="49">
        <f t="shared" si="25"/>
        <v>0</v>
      </c>
      <c r="T84" s="34"/>
      <c r="U84" s="37" t="str">
        <f>IF(COUNT(ngay10!$E$12)&gt;0,ngay10!$E$12,"")</f>
        <v/>
      </c>
      <c r="V84" s="34" t="str">
        <f t="shared" si="26"/>
        <v>x</v>
      </c>
      <c r="W84" s="38">
        <f t="shared" si="27"/>
        <v>0</v>
      </c>
      <c r="X84" s="37" t="str">
        <f>IF(COUNT(ngay10!$Q$48)&gt;0,ngay10!$Q$48,"")</f>
        <v/>
      </c>
      <c r="Y84" s="137" t="str">
        <f t="shared" si="28"/>
        <v>x</v>
      </c>
      <c r="Z84" s="49">
        <f t="shared" si="29"/>
        <v>0</v>
      </c>
      <c r="AA84" s="34"/>
      <c r="AB84" s="37" t="str">
        <f>IF(COUNT(ngay10!$E$21)&gt;0,ngay10!$E$21,"")</f>
        <v/>
      </c>
      <c r="AC84" s="34" t="str">
        <f t="shared" si="30"/>
        <v>x</v>
      </c>
      <c r="AD84" s="38">
        <f t="shared" si="31"/>
        <v>0</v>
      </c>
    </row>
    <row r="85" spans="1:32">
      <c r="A85" s="41"/>
      <c r="B85" s="139">
        <v>7</v>
      </c>
      <c r="C85" s="37" t="str">
        <f>IF(COUNT(ngay10!$R$31)&gt;0,ngay10!$R$31,"")</f>
        <v/>
      </c>
      <c r="D85" s="137" t="str">
        <f t="shared" si="16"/>
        <v>x</v>
      </c>
      <c r="E85" s="49">
        <f t="shared" si="17"/>
        <v>0</v>
      </c>
      <c r="F85" s="34"/>
      <c r="G85" s="37" t="str">
        <f>IF(COUNT(ngay10!$F$4)&gt;0,ngay10!$F$4,"")</f>
        <v/>
      </c>
      <c r="H85" s="34" t="str">
        <f t="shared" si="18"/>
        <v>x</v>
      </c>
      <c r="I85" s="38">
        <f t="shared" si="19"/>
        <v>0</v>
      </c>
      <c r="J85" s="37" t="str">
        <f>IF(COUNT(ngay10!$R$33)&gt;0,ngay10!$R$33,"")</f>
        <v/>
      </c>
      <c r="K85" s="137" t="str">
        <f t="shared" si="20"/>
        <v>x</v>
      </c>
      <c r="L85" s="49">
        <f t="shared" si="21"/>
        <v>0</v>
      </c>
      <c r="M85" s="34"/>
      <c r="N85" s="37" t="str">
        <f>IF(COUNT(ngay10!$F$6)&gt;0,ngay10!$F$6,"")</f>
        <v/>
      </c>
      <c r="O85" s="34" t="str">
        <f t="shared" si="22"/>
        <v>x</v>
      </c>
      <c r="P85" s="38">
        <f t="shared" si="23"/>
        <v>0</v>
      </c>
      <c r="Q85" s="37" t="str">
        <f>IF(COUNT(ngay10!$R$39)&gt;0,ngay10!$R$39,"")</f>
        <v/>
      </c>
      <c r="R85" s="137" t="str">
        <f t="shared" si="24"/>
        <v>x</v>
      </c>
      <c r="S85" s="49">
        <f t="shared" si="25"/>
        <v>0</v>
      </c>
      <c r="T85" s="34"/>
      <c r="U85" s="37" t="str">
        <f>IF(COUNT(ngay10!$F$12)&gt;0,ngay10!$F$12,"")</f>
        <v/>
      </c>
      <c r="V85" s="34" t="str">
        <f t="shared" si="26"/>
        <v>x</v>
      </c>
      <c r="W85" s="38">
        <f t="shared" si="27"/>
        <v>0</v>
      </c>
      <c r="X85" s="37" t="str">
        <f>IF(COUNT(ngay10!$R$48)&gt;0,ngay10!$R$48,"")</f>
        <v/>
      </c>
      <c r="Y85" s="137" t="str">
        <f t="shared" si="28"/>
        <v>x</v>
      </c>
      <c r="Z85" s="49">
        <f t="shared" si="29"/>
        <v>0</v>
      </c>
      <c r="AA85" s="34"/>
      <c r="AB85" s="37" t="str">
        <f>IF(COUNT(ngay10!$F$21)&gt;0,ngay10!$F$21,"")</f>
        <v/>
      </c>
      <c r="AC85" s="34" t="str">
        <f t="shared" si="30"/>
        <v>x</v>
      </c>
      <c r="AD85" s="38">
        <f t="shared" si="31"/>
        <v>0</v>
      </c>
    </row>
    <row r="86" spans="1:32">
      <c r="A86" s="41"/>
      <c r="B86" s="48">
        <v>10</v>
      </c>
      <c r="C86" s="37" t="str">
        <f>IF(COUNT(ngay10!$S$31)&gt;0,ngay10!$S$31,"")</f>
        <v/>
      </c>
      <c r="D86" s="137" t="str">
        <f t="shared" si="16"/>
        <v>x</v>
      </c>
      <c r="E86" s="49">
        <f t="shared" si="17"/>
        <v>0</v>
      </c>
      <c r="F86" s="34"/>
      <c r="G86" s="37" t="str">
        <f>IF(COUNT(ngay10!$G$4)&gt;0,ngay10!$G$4,"")</f>
        <v/>
      </c>
      <c r="H86" s="34" t="str">
        <f t="shared" si="18"/>
        <v>x</v>
      </c>
      <c r="I86" s="38">
        <f t="shared" si="19"/>
        <v>0</v>
      </c>
      <c r="J86" s="37" t="str">
        <f>IF(COUNT(ngay10!$S$33)&gt;0,ngay10!$S$33,"")</f>
        <v/>
      </c>
      <c r="K86" s="137" t="str">
        <f t="shared" si="20"/>
        <v>x</v>
      </c>
      <c r="L86" s="49">
        <f t="shared" si="21"/>
        <v>0</v>
      </c>
      <c r="M86" s="34"/>
      <c r="N86" s="37" t="str">
        <f>IF(COUNT(ngay10!$G$6)&gt;0,ngay10!$G$6,"")</f>
        <v/>
      </c>
      <c r="O86" s="34" t="str">
        <f t="shared" si="22"/>
        <v>x</v>
      </c>
      <c r="P86" s="38">
        <f t="shared" si="23"/>
        <v>0</v>
      </c>
      <c r="Q86" s="37" t="str">
        <f>IF(COUNT(ngay10!$S$39)&gt;0,ngay10!$S$39,"")</f>
        <v/>
      </c>
      <c r="R86" s="137" t="str">
        <f t="shared" si="24"/>
        <v>x</v>
      </c>
      <c r="S86" s="49">
        <f t="shared" si="25"/>
        <v>0</v>
      </c>
      <c r="T86" s="34"/>
      <c r="U86" s="37" t="str">
        <f>IF(COUNT(ngay10!$G$12)&gt;0,ngay10!$G$12,"")</f>
        <v/>
      </c>
      <c r="V86" s="34" t="str">
        <f t="shared" si="26"/>
        <v>x</v>
      </c>
      <c r="W86" s="38">
        <f t="shared" si="27"/>
        <v>0</v>
      </c>
      <c r="X86" s="37" t="str">
        <f>IF(COUNT(ngay10!$S$48)&gt;0,ngay10!$S$48,"")</f>
        <v/>
      </c>
      <c r="Y86" s="137" t="str">
        <f t="shared" si="28"/>
        <v>x</v>
      </c>
      <c r="Z86" s="49">
        <f t="shared" si="29"/>
        <v>0</v>
      </c>
      <c r="AA86" s="34"/>
      <c r="AB86" s="37" t="str">
        <f>IF(COUNT(ngay10!$G$21)&gt;0,ngay10!$G$21,"")</f>
        <v/>
      </c>
      <c r="AC86" s="34" t="str">
        <f t="shared" si="30"/>
        <v>x</v>
      </c>
      <c r="AD86" s="38">
        <f t="shared" si="31"/>
        <v>0</v>
      </c>
    </row>
    <row r="87" spans="1:32">
      <c r="A87" s="41"/>
      <c r="B87" s="48">
        <v>13</v>
      </c>
      <c r="C87" s="37" t="str">
        <f>IF(COUNT(ngay10!$T$31)&gt;0,ngay10!$T$31,"")</f>
        <v/>
      </c>
      <c r="D87" s="137" t="str">
        <f t="shared" si="16"/>
        <v>x</v>
      </c>
      <c r="E87" s="49">
        <f t="shared" si="17"/>
        <v>0</v>
      </c>
      <c r="F87" s="34"/>
      <c r="G87" s="37" t="str">
        <f>IF(COUNT(ngay10!$H$4)&gt;0,ngay10!$H$4,"")</f>
        <v/>
      </c>
      <c r="H87" s="34" t="str">
        <f t="shared" si="18"/>
        <v>x</v>
      </c>
      <c r="I87" s="38">
        <f t="shared" si="19"/>
        <v>0</v>
      </c>
      <c r="J87" s="37" t="str">
        <f>IF(COUNT(ngay10!$T$33)&gt;0,ngay10!$T$33,"")</f>
        <v/>
      </c>
      <c r="K87" s="137" t="str">
        <f t="shared" si="20"/>
        <v>x</v>
      </c>
      <c r="L87" s="49">
        <f t="shared" si="21"/>
        <v>0</v>
      </c>
      <c r="M87" s="34"/>
      <c r="N87" s="37" t="str">
        <f>IF(COUNT(ngay10!$H$6)&gt;0,ngay10!$H$6,"")</f>
        <v/>
      </c>
      <c r="O87" s="34" t="str">
        <f t="shared" si="22"/>
        <v>x</v>
      </c>
      <c r="P87" s="38">
        <f t="shared" si="23"/>
        <v>0</v>
      </c>
      <c r="Q87" s="37" t="str">
        <f>IF(COUNT(ngay10!$T$39)&gt;0,ngay10!$T$39,"")</f>
        <v/>
      </c>
      <c r="R87" s="137" t="str">
        <f t="shared" si="24"/>
        <v>x</v>
      </c>
      <c r="S87" s="49">
        <f t="shared" si="25"/>
        <v>0</v>
      </c>
      <c r="T87" s="34"/>
      <c r="U87" s="37" t="str">
        <f>IF(COUNT(ngay10!$H$12)&gt;0,ngay10!$H$12,"")</f>
        <v/>
      </c>
      <c r="V87" s="34" t="str">
        <f t="shared" si="26"/>
        <v>x</v>
      </c>
      <c r="W87" s="38">
        <f t="shared" si="27"/>
        <v>0</v>
      </c>
      <c r="X87" s="37" t="str">
        <f>IF(COUNT(ngay10!$T$48)&gt;0,ngay10!$T$48,"")</f>
        <v/>
      </c>
      <c r="Y87" s="137" t="str">
        <f t="shared" si="28"/>
        <v>x</v>
      </c>
      <c r="Z87" s="49">
        <f t="shared" si="29"/>
        <v>0</v>
      </c>
      <c r="AA87" s="34"/>
      <c r="AB87" s="37" t="str">
        <f>IF(COUNT(ngay10!$H$21)&gt;0,ngay10!$H$21,"")</f>
        <v/>
      </c>
      <c r="AC87" s="34" t="str">
        <f t="shared" si="30"/>
        <v>x</v>
      </c>
      <c r="AD87" s="38">
        <f t="shared" si="31"/>
        <v>0</v>
      </c>
    </row>
    <row r="88" spans="1:32">
      <c r="A88" s="41"/>
      <c r="B88" s="48">
        <v>16</v>
      </c>
      <c r="C88" s="37" t="str">
        <f>IF(COUNT(ngay10!$U$31)&gt;0,ngay10!$U$31,"")</f>
        <v/>
      </c>
      <c r="D88" s="137" t="str">
        <f t="shared" si="16"/>
        <v>x</v>
      </c>
      <c r="E88" s="49">
        <f t="shared" si="17"/>
        <v>0</v>
      </c>
      <c r="F88" s="34"/>
      <c r="G88" s="37" t="str">
        <f>IF(COUNT(ngay10!$I$4)&gt;0,ngay10!$I$4,"")</f>
        <v/>
      </c>
      <c r="H88" s="34" t="str">
        <f t="shared" si="18"/>
        <v>x</v>
      </c>
      <c r="I88" s="38">
        <f t="shared" si="19"/>
        <v>0</v>
      </c>
      <c r="J88" s="37" t="str">
        <f>IF(COUNT(ngay10!$U$33)&gt;0,ngay10!$U$33,"")</f>
        <v/>
      </c>
      <c r="K88" s="137" t="str">
        <f t="shared" si="20"/>
        <v>x</v>
      </c>
      <c r="L88" s="49">
        <f t="shared" si="21"/>
        <v>0</v>
      </c>
      <c r="M88" s="34"/>
      <c r="N88" s="37" t="str">
        <f>IF(COUNT(ngay10!$I$6)&gt;0,ngay10!$I$6,"")</f>
        <v/>
      </c>
      <c r="O88" s="34" t="str">
        <f t="shared" si="22"/>
        <v>x</v>
      </c>
      <c r="P88" s="38">
        <f t="shared" si="23"/>
        <v>0</v>
      </c>
      <c r="Q88" s="37" t="str">
        <f>IF(COUNT(ngay10!$U$39)&gt;0,ngay10!$U$39,"")</f>
        <v/>
      </c>
      <c r="R88" s="137" t="str">
        <f t="shared" si="24"/>
        <v>x</v>
      </c>
      <c r="S88" s="49">
        <f t="shared" si="25"/>
        <v>0</v>
      </c>
      <c r="T88" s="34"/>
      <c r="U88" s="37" t="str">
        <f>IF(COUNT(ngay10!$I$12)&gt;0,ngay10!$I$12,"")</f>
        <v/>
      </c>
      <c r="V88" s="34" t="str">
        <f t="shared" si="26"/>
        <v>x</v>
      </c>
      <c r="W88" s="38">
        <f t="shared" si="27"/>
        <v>0</v>
      </c>
      <c r="X88" s="37" t="str">
        <f>IF(COUNT(ngay10!$U$48)&gt;0,ngay10!$U$48,"")</f>
        <v/>
      </c>
      <c r="Y88" s="137" t="str">
        <f t="shared" si="28"/>
        <v>x</v>
      </c>
      <c r="Z88" s="49">
        <f t="shared" si="29"/>
        <v>0</v>
      </c>
      <c r="AA88" s="34"/>
      <c r="AB88" s="37" t="str">
        <f>IF(COUNT(ngay10!$I$21)&gt;0,ngay10!$I$21,"")</f>
        <v/>
      </c>
      <c r="AC88" s="34" t="str">
        <f t="shared" si="30"/>
        <v>x</v>
      </c>
      <c r="AD88" s="38">
        <f t="shared" si="31"/>
        <v>0</v>
      </c>
    </row>
    <row r="89" spans="1:32">
      <c r="A89" s="41"/>
      <c r="B89" s="48">
        <v>19</v>
      </c>
      <c r="C89" s="37" t="str">
        <f>IF(COUNT(ngay10!$V$31)&gt;0,ngay10!$V$31,"")</f>
        <v/>
      </c>
      <c r="D89" s="137" t="str">
        <f t="shared" si="16"/>
        <v>x</v>
      </c>
      <c r="E89" s="49">
        <f t="shared" si="17"/>
        <v>0</v>
      </c>
      <c r="F89" s="34"/>
      <c r="G89" s="37" t="str">
        <f>IF(COUNT(ngay10!$J$4)&gt;0,ngay10!$J$4,"")</f>
        <v/>
      </c>
      <c r="H89" s="34" t="str">
        <f t="shared" si="18"/>
        <v>x</v>
      </c>
      <c r="I89" s="38">
        <f t="shared" si="19"/>
        <v>0</v>
      </c>
      <c r="J89" s="37" t="str">
        <f>IF(COUNT(ngay10!$V$33)&gt;0,ngay10!$V$33,"")</f>
        <v/>
      </c>
      <c r="K89" s="137" t="str">
        <f t="shared" si="20"/>
        <v>x</v>
      </c>
      <c r="L89" s="49">
        <f t="shared" si="21"/>
        <v>0</v>
      </c>
      <c r="M89" s="34"/>
      <c r="N89" s="37" t="str">
        <f>IF(COUNT(ngay10!$J$6)&gt;0,ngay10!$J$6,"")</f>
        <v/>
      </c>
      <c r="O89" s="34" t="str">
        <f t="shared" si="22"/>
        <v>x</v>
      </c>
      <c r="P89" s="38">
        <f t="shared" si="23"/>
        <v>0</v>
      </c>
      <c r="Q89" s="37" t="str">
        <f>IF(COUNT(ngay10!$V$39)&gt;0,ngay10!$V$39,"")</f>
        <v/>
      </c>
      <c r="R89" s="137" t="str">
        <f t="shared" si="24"/>
        <v>x</v>
      </c>
      <c r="S89" s="49">
        <f t="shared" si="25"/>
        <v>0</v>
      </c>
      <c r="T89" s="34"/>
      <c r="U89" s="37" t="str">
        <f>IF(COUNT(ngay10!$J$12)&gt;0,ngay10!$J$12,"")</f>
        <v/>
      </c>
      <c r="V89" s="34" t="str">
        <f t="shared" si="26"/>
        <v>x</v>
      </c>
      <c r="W89" s="38">
        <f t="shared" si="27"/>
        <v>0</v>
      </c>
      <c r="X89" s="37" t="str">
        <f>IF(COUNT(ngay10!$V$48)&gt;0,ngay10!$V$48,"")</f>
        <v/>
      </c>
      <c r="Y89" s="137" t="str">
        <f t="shared" si="28"/>
        <v>x</v>
      </c>
      <c r="Z89" s="49">
        <f t="shared" si="29"/>
        <v>0</v>
      </c>
      <c r="AA89" s="34"/>
      <c r="AB89" s="37" t="str">
        <f>IF(COUNT(ngay10!$J$21)&gt;0,ngay10!$J$21,"")</f>
        <v/>
      </c>
      <c r="AC89" s="34" t="str">
        <f t="shared" si="30"/>
        <v>x</v>
      </c>
      <c r="AD89" s="38">
        <f t="shared" si="31"/>
        <v>0</v>
      </c>
    </row>
    <row r="90" spans="1:32">
      <c r="A90" s="41"/>
      <c r="B90" s="48">
        <v>22</v>
      </c>
      <c r="C90" s="37" t="str">
        <f>IF(COUNT(ngay11!$O$31)&gt;0,ngay11!$O$31,"")</f>
        <v/>
      </c>
      <c r="D90" s="137" t="str">
        <f t="shared" si="16"/>
        <v>x</v>
      </c>
      <c r="E90" s="49">
        <f t="shared" si="17"/>
        <v>0</v>
      </c>
      <c r="F90" s="34"/>
      <c r="G90" s="37" t="str">
        <f>IF(COUNT(ngay11!$C$4)&gt;0,ngay11!$C$4,"")</f>
        <v/>
      </c>
      <c r="H90" s="34" t="str">
        <f t="shared" si="18"/>
        <v>x</v>
      </c>
      <c r="I90" s="38">
        <f t="shared" si="19"/>
        <v>0</v>
      </c>
      <c r="J90" s="37" t="str">
        <f>IF(COUNT(ngay11!$O$33)&gt;0,ngay11!$O$33,"")</f>
        <v/>
      </c>
      <c r="K90" s="137" t="str">
        <f t="shared" si="20"/>
        <v>x</v>
      </c>
      <c r="L90" s="49">
        <f t="shared" si="21"/>
        <v>0</v>
      </c>
      <c r="M90" s="34"/>
      <c r="N90" s="37" t="str">
        <f>IF(COUNT(ngay11!$C$6)&gt;0,ngay11!$C$6,"")</f>
        <v/>
      </c>
      <c r="O90" s="34" t="str">
        <f t="shared" si="22"/>
        <v>x</v>
      </c>
      <c r="P90" s="38">
        <f t="shared" si="23"/>
        <v>0</v>
      </c>
      <c r="Q90" s="37" t="str">
        <f>IF(COUNT(ngay11!$O$39)&gt;0,ngay11!$O$39,"")</f>
        <v/>
      </c>
      <c r="R90" s="137" t="str">
        <f t="shared" si="24"/>
        <v>x</v>
      </c>
      <c r="S90" s="49">
        <f t="shared" si="25"/>
        <v>0</v>
      </c>
      <c r="T90" s="34"/>
      <c r="U90" s="37" t="str">
        <f>IF(COUNT(ngay11!$C$12)&gt;0,ngay11!$C$12,"")</f>
        <v/>
      </c>
      <c r="V90" s="34" t="str">
        <f t="shared" si="26"/>
        <v>x</v>
      </c>
      <c r="W90" s="38">
        <f t="shared" si="27"/>
        <v>0</v>
      </c>
      <c r="X90" s="37" t="str">
        <f>IF(COUNT(ngay11!$O$48)&gt;0,ngay11!$O$48,"")</f>
        <v/>
      </c>
      <c r="Y90" s="137" t="str">
        <f t="shared" si="28"/>
        <v>x</v>
      </c>
      <c r="Z90" s="49">
        <f t="shared" si="29"/>
        <v>0</v>
      </c>
      <c r="AA90" s="34"/>
      <c r="AB90" s="37" t="str">
        <f>IF(COUNT(ngay11!$C$21)&gt;0,ngay11!$C$21,"")</f>
        <v/>
      </c>
      <c r="AC90" s="34" t="str">
        <f t="shared" si="30"/>
        <v>x</v>
      </c>
      <c r="AD90" s="38">
        <f t="shared" si="31"/>
        <v>0</v>
      </c>
    </row>
    <row r="91" spans="1:32" s="145" customFormat="1">
      <c r="A91" s="146">
        <v>11</v>
      </c>
      <c r="B91" s="48">
        <v>1</v>
      </c>
      <c r="C91" s="141" t="str">
        <f>IF(COUNT(ngay11!$P$31)&gt;0,ngay11!$P$31,"")</f>
        <v/>
      </c>
      <c r="D91" s="144" t="str">
        <f t="shared" si="16"/>
        <v>x</v>
      </c>
      <c r="E91" s="142">
        <f t="shared" si="17"/>
        <v>0</v>
      </c>
      <c r="F91" s="140"/>
      <c r="G91" s="141" t="str">
        <f>IF(COUNT(ngay11!$D$4)&gt;0,ngay11!$D$4,"")</f>
        <v/>
      </c>
      <c r="H91" s="140" t="str">
        <f t="shared" si="18"/>
        <v>x</v>
      </c>
      <c r="I91" s="143">
        <f t="shared" si="19"/>
        <v>0</v>
      </c>
      <c r="J91" s="141" t="str">
        <f>IF(COUNT(ngay11!$P$33)&gt;0,ngay11!$P$33,"")</f>
        <v/>
      </c>
      <c r="K91" s="144" t="str">
        <f t="shared" si="20"/>
        <v>x</v>
      </c>
      <c r="L91" s="142">
        <f t="shared" si="21"/>
        <v>0</v>
      </c>
      <c r="M91" s="140"/>
      <c r="N91" s="141" t="str">
        <f>IF(COUNT(ngay11!$D$6)&gt;0,ngay11!$D$6,"")</f>
        <v/>
      </c>
      <c r="O91" s="140" t="str">
        <f t="shared" si="22"/>
        <v>x</v>
      </c>
      <c r="P91" s="143">
        <f t="shared" si="23"/>
        <v>0</v>
      </c>
      <c r="Q91" s="141" t="str">
        <f>IF(COUNT(ngay11!$P$39)&gt;0,ngay11!$P$39,"")</f>
        <v/>
      </c>
      <c r="R91" s="144" t="str">
        <f t="shared" si="24"/>
        <v>x</v>
      </c>
      <c r="S91" s="142">
        <f t="shared" si="25"/>
        <v>0</v>
      </c>
      <c r="T91" s="140"/>
      <c r="U91" s="141" t="str">
        <f>IF(COUNT(ngay11!$D$12)&gt;0,ngay11!$D$12,"")</f>
        <v/>
      </c>
      <c r="V91" s="140" t="str">
        <f t="shared" si="26"/>
        <v>x</v>
      </c>
      <c r="W91" s="143">
        <f t="shared" si="27"/>
        <v>0</v>
      </c>
      <c r="X91" s="141" t="str">
        <f>IF(COUNT(ngay11!$P$48)&gt;0,ngay11!$P$48,"")</f>
        <v/>
      </c>
      <c r="Y91" s="144" t="str">
        <f t="shared" si="28"/>
        <v>x</v>
      </c>
      <c r="Z91" s="142">
        <f t="shared" si="29"/>
        <v>0</v>
      </c>
      <c r="AA91" s="140"/>
      <c r="AB91" s="141" t="str">
        <f>IF(COUNT(ngay11!$D$21)&gt;0,ngay11!$D$21,"")</f>
        <v/>
      </c>
      <c r="AC91" s="140" t="str">
        <f t="shared" si="30"/>
        <v>x</v>
      </c>
      <c r="AD91" s="143">
        <f t="shared" si="31"/>
        <v>0</v>
      </c>
      <c r="AE91" s="147"/>
      <c r="AF91" s="147"/>
    </row>
    <row r="92" spans="1:32">
      <c r="A92" s="41"/>
      <c r="B92" s="48">
        <v>4</v>
      </c>
      <c r="C92" s="37" t="str">
        <f>IF(COUNT(ngay11!$Q$31)&gt;0,ngay11!$Q$31,"")</f>
        <v/>
      </c>
      <c r="D92" s="137" t="str">
        <f t="shared" si="16"/>
        <v>x</v>
      </c>
      <c r="E92" s="49">
        <f t="shared" si="17"/>
        <v>0</v>
      </c>
      <c r="F92" s="34"/>
      <c r="G92" s="37" t="str">
        <f>IF(COUNT(ngay11!$E$4)&gt;0,ngay11!$E$4,"")</f>
        <v/>
      </c>
      <c r="H92" s="34" t="str">
        <f t="shared" si="18"/>
        <v>x</v>
      </c>
      <c r="I92" s="38">
        <f t="shared" si="19"/>
        <v>0</v>
      </c>
      <c r="J92" s="37" t="str">
        <f>IF(COUNT(ngay11!$Q$33)&gt;0,ngay11!$Q$33,"")</f>
        <v/>
      </c>
      <c r="K92" s="137" t="str">
        <f t="shared" si="20"/>
        <v>x</v>
      </c>
      <c r="L92" s="49">
        <f t="shared" si="21"/>
        <v>0</v>
      </c>
      <c r="M92" s="34"/>
      <c r="N92" s="37" t="str">
        <f>IF(COUNT(ngay11!$E$6)&gt;0,ngay11!$E$6,"")</f>
        <v/>
      </c>
      <c r="O92" s="34" t="str">
        <f t="shared" si="22"/>
        <v>x</v>
      </c>
      <c r="P92" s="38">
        <f t="shared" si="23"/>
        <v>0</v>
      </c>
      <c r="Q92" s="37" t="str">
        <f>IF(COUNT(ngay11!$Q$39)&gt;0,ngay11!$Q$39,"")</f>
        <v/>
      </c>
      <c r="R92" s="137" t="str">
        <f t="shared" si="24"/>
        <v>x</v>
      </c>
      <c r="S92" s="49">
        <f t="shared" si="25"/>
        <v>0</v>
      </c>
      <c r="T92" s="34"/>
      <c r="U92" s="37" t="str">
        <f>IF(COUNT(ngay11!$E$12)&gt;0,ngay11!$E$12,"")</f>
        <v/>
      </c>
      <c r="V92" s="34" t="str">
        <f t="shared" si="26"/>
        <v>x</v>
      </c>
      <c r="W92" s="38">
        <f t="shared" si="27"/>
        <v>0</v>
      </c>
      <c r="X92" s="37" t="str">
        <f>IF(COUNT(ngay11!$Q$48)&gt;0,ngay11!$Q$48,"")</f>
        <v/>
      </c>
      <c r="Y92" s="137" t="str">
        <f t="shared" si="28"/>
        <v>x</v>
      </c>
      <c r="Z92" s="49">
        <f t="shared" si="29"/>
        <v>0</v>
      </c>
      <c r="AA92" s="34"/>
      <c r="AB92" s="37" t="str">
        <f>IF(COUNT(ngay11!$E$21)&gt;0,ngay11!$E$21,"")</f>
        <v/>
      </c>
      <c r="AC92" s="34" t="str">
        <f t="shared" si="30"/>
        <v>x</v>
      </c>
      <c r="AD92" s="38">
        <f t="shared" si="31"/>
        <v>0</v>
      </c>
    </row>
    <row r="93" spans="1:32">
      <c r="A93" s="41"/>
      <c r="B93" s="139">
        <v>7</v>
      </c>
      <c r="C93" s="37" t="str">
        <f>IF(COUNT(ngay11!$R$31)&gt;0,ngay11!$R$31,"")</f>
        <v/>
      </c>
      <c r="D93" s="137" t="str">
        <f t="shared" si="16"/>
        <v>x</v>
      </c>
      <c r="E93" s="49">
        <f t="shared" si="17"/>
        <v>0</v>
      </c>
      <c r="F93" s="34"/>
      <c r="G93" s="37" t="str">
        <f>IF(COUNT(ngay11!$F$4)&gt;0,ngay11!$F$4,"")</f>
        <v/>
      </c>
      <c r="H93" s="34" t="str">
        <f t="shared" si="18"/>
        <v>x</v>
      </c>
      <c r="I93" s="38">
        <f t="shared" si="19"/>
        <v>0</v>
      </c>
      <c r="J93" s="37" t="str">
        <f>IF(COUNT(ngay11!$R$33)&gt;0,ngay11!$R$33,"")</f>
        <v/>
      </c>
      <c r="K93" s="137" t="str">
        <f t="shared" si="20"/>
        <v>x</v>
      </c>
      <c r="L93" s="49">
        <f t="shared" si="21"/>
        <v>0</v>
      </c>
      <c r="M93" s="34"/>
      <c r="N93" s="37" t="str">
        <f>IF(COUNT(ngay11!$F$6)&gt;0,ngay11!$F$6,"")</f>
        <v/>
      </c>
      <c r="O93" s="34" t="str">
        <f t="shared" si="22"/>
        <v>x</v>
      </c>
      <c r="P93" s="38">
        <f t="shared" si="23"/>
        <v>0</v>
      </c>
      <c r="Q93" s="37" t="str">
        <f>IF(COUNT(ngay11!$R$39)&gt;0,ngay11!$R$39,"")</f>
        <v/>
      </c>
      <c r="R93" s="137" t="str">
        <f t="shared" si="24"/>
        <v>x</v>
      </c>
      <c r="S93" s="49">
        <f t="shared" si="25"/>
        <v>0</v>
      </c>
      <c r="T93" s="34"/>
      <c r="U93" s="37" t="str">
        <f>IF(COUNT(ngay11!$F$12)&gt;0,ngay11!$F$12,"")</f>
        <v/>
      </c>
      <c r="V93" s="34" t="str">
        <f t="shared" si="26"/>
        <v>x</v>
      </c>
      <c r="W93" s="38">
        <f t="shared" si="27"/>
        <v>0</v>
      </c>
      <c r="X93" s="37" t="str">
        <f>IF(COUNT(ngay11!$R$48)&gt;0,ngay11!$R$48,"")</f>
        <v/>
      </c>
      <c r="Y93" s="137" t="str">
        <f t="shared" si="28"/>
        <v>x</v>
      </c>
      <c r="Z93" s="49">
        <f t="shared" si="29"/>
        <v>0</v>
      </c>
      <c r="AA93" s="34"/>
      <c r="AB93" s="37" t="str">
        <f>IF(COUNT(ngay11!$F$21)&gt;0,ngay11!$F$21,"")</f>
        <v/>
      </c>
      <c r="AC93" s="34" t="str">
        <f t="shared" si="30"/>
        <v>x</v>
      </c>
      <c r="AD93" s="38">
        <f t="shared" si="31"/>
        <v>0</v>
      </c>
    </row>
    <row r="94" spans="1:32">
      <c r="A94" s="41"/>
      <c r="B94" s="48">
        <v>10</v>
      </c>
      <c r="C94" s="37" t="str">
        <f>IF(COUNT(ngay11!$S$31)&gt;0,ngay11!$S$31,"")</f>
        <v/>
      </c>
      <c r="D94" s="137" t="str">
        <f t="shared" si="16"/>
        <v>x</v>
      </c>
      <c r="E94" s="49">
        <f t="shared" si="17"/>
        <v>0</v>
      </c>
      <c r="F94" s="34"/>
      <c r="G94" s="37" t="str">
        <f>IF(COUNT(ngay11!$G$4)&gt;0,ngay11!$G$4,"")</f>
        <v/>
      </c>
      <c r="H94" s="34" t="str">
        <f t="shared" si="18"/>
        <v>x</v>
      </c>
      <c r="I94" s="38">
        <f t="shared" si="19"/>
        <v>0</v>
      </c>
      <c r="J94" s="37" t="str">
        <f>IF(COUNT(ngay11!$S$33)&gt;0,ngay11!$S$33,"")</f>
        <v/>
      </c>
      <c r="K94" s="137" t="str">
        <f t="shared" si="20"/>
        <v>x</v>
      </c>
      <c r="L94" s="49">
        <f t="shared" si="21"/>
        <v>0</v>
      </c>
      <c r="M94" s="34"/>
      <c r="N94" s="37" t="str">
        <f>IF(COUNT(ngay11!$G$6)&gt;0,ngay11!$G$6,"")</f>
        <v/>
      </c>
      <c r="O94" s="34" t="str">
        <f t="shared" si="22"/>
        <v>x</v>
      </c>
      <c r="P94" s="38">
        <f t="shared" si="23"/>
        <v>0</v>
      </c>
      <c r="Q94" s="37" t="str">
        <f>IF(COUNT(ngay11!$S$39)&gt;0,ngay11!$S$39,"")</f>
        <v/>
      </c>
      <c r="R94" s="137" t="str">
        <f t="shared" si="24"/>
        <v>x</v>
      </c>
      <c r="S94" s="49">
        <f t="shared" si="25"/>
        <v>0</v>
      </c>
      <c r="T94" s="34"/>
      <c r="U94" s="37" t="str">
        <f>IF(COUNT(ngay11!$G$12)&gt;0,ngay11!$G$12,"")</f>
        <v/>
      </c>
      <c r="V94" s="34" t="str">
        <f t="shared" si="26"/>
        <v>x</v>
      </c>
      <c r="W94" s="38">
        <f t="shared" si="27"/>
        <v>0</v>
      </c>
      <c r="X94" s="37" t="str">
        <f>IF(COUNT(ngay11!$S$48)&gt;0,ngay11!$S$48,"")</f>
        <v/>
      </c>
      <c r="Y94" s="137" t="str">
        <f t="shared" si="28"/>
        <v>x</v>
      </c>
      <c r="Z94" s="49">
        <f t="shared" si="29"/>
        <v>0</v>
      </c>
      <c r="AA94" s="34"/>
      <c r="AB94" s="37" t="str">
        <f>IF(COUNT(ngay11!$G$21)&gt;0,ngay11!$G$21,"")</f>
        <v/>
      </c>
      <c r="AC94" s="34" t="str">
        <f t="shared" si="30"/>
        <v>x</v>
      </c>
      <c r="AD94" s="38">
        <f t="shared" si="31"/>
        <v>0</v>
      </c>
    </row>
    <row r="95" spans="1:32">
      <c r="A95" s="41"/>
      <c r="B95" s="48">
        <v>13</v>
      </c>
      <c r="C95" s="37" t="str">
        <f>IF(COUNT(ngay11!$T$31)&gt;0,ngay11!$T$31,"")</f>
        <v/>
      </c>
      <c r="D95" s="137" t="str">
        <f t="shared" si="16"/>
        <v>x</v>
      </c>
      <c r="E95" s="49">
        <f t="shared" si="17"/>
        <v>0</v>
      </c>
      <c r="F95" s="34"/>
      <c r="G95" s="37" t="str">
        <f>IF(COUNT(ngay11!$H$4)&gt;0,ngay11!$H$4,"")</f>
        <v/>
      </c>
      <c r="H95" s="34" t="str">
        <f t="shared" si="18"/>
        <v>x</v>
      </c>
      <c r="I95" s="38">
        <f t="shared" si="19"/>
        <v>0</v>
      </c>
      <c r="J95" s="37" t="str">
        <f>IF(COUNT(ngay11!$T$33)&gt;0,ngay11!$T$33,"")</f>
        <v/>
      </c>
      <c r="K95" s="137" t="str">
        <f t="shared" si="20"/>
        <v>x</v>
      </c>
      <c r="L95" s="49">
        <f t="shared" si="21"/>
        <v>0</v>
      </c>
      <c r="M95" s="34"/>
      <c r="N95" s="37" t="str">
        <f>IF(COUNT(ngay11!$H$6)&gt;0,ngay11!$H$6,"")</f>
        <v/>
      </c>
      <c r="O95" s="34" t="str">
        <f t="shared" si="22"/>
        <v>x</v>
      </c>
      <c r="P95" s="38">
        <f t="shared" si="23"/>
        <v>0</v>
      </c>
      <c r="Q95" s="37" t="str">
        <f>IF(COUNT(ngay11!$T$39)&gt;0,ngay11!$T$39,"")</f>
        <v/>
      </c>
      <c r="R95" s="137" t="str">
        <f t="shared" si="24"/>
        <v>x</v>
      </c>
      <c r="S95" s="49">
        <f t="shared" si="25"/>
        <v>0</v>
      </c>
      <c r="T95" s="34"/>
      <c r="U95" s="37" t="str">
        <f>IF(COUNT(ngay11!$H$12)&gt;0,ngay11!$H$12,"")</f>
        <v/>
      </c>
      <c r="V95" s="34" t="str">
        <f t="shared" si="26"/>
        <v>x</v>
      </c>
      <c r="W95" s="38">
        <f t="shared" si="27"/>
        <v>0</v>
      </c>
      <c r="X95" s="37" t="str">
        <f>IF(COUNT(ngay11!$T$48)&gt;0,ngay11!$T$48,"")</f>
        <v/>
      </c>
      <c r="Y95" s="137" t="str">
        <f t="shared" si="28"/>
        <v>x</v>
      </c>
      <c r="Z95" s="49">
        <f t="shared" si="29"/>
        <v>0</v>
      </c>
      <c r="AA95" s="34"/>
      <c r="AB95" s="37" t="str">
        <f>IF(COUNT(ngay11!$H$21)&gt;0,ngay11!$H$21,"")</f>
        <v/>
      </c>
      <c r="AC95" s="34" t="str">
        <f t="shared" si="30"/>
        <v>x</v>
      </c>
      <c r="AD95" s="38">
        <f t="shared" si="31"/>
        <v>0</v>
      </c>
    </row>
    <row r="96" spans="1:32">
      <c r="A96" s="41"/>
      <c r="B96" s="48">
        <v>16</v>
      </c>
      <c r="C96" s="37" t="str">
        <f>IF(COUNT(ngay11!$U$31)&gt;0,ngay11!$U$31,"")</f>
        <v/>
      </c>
      <c r="D96" s="137" t="str">
        <f t="shared" si="16"/>
        <v>x</v>
      </c>
      <c r="E96" s="49">
        <f t="shared" si="17"/>
        <v>0</v>
      </c>
      <c r="F96" s="34"/>
      <c r="G96" s="37" t="str">
        <f>IF(COUNT(ngay11!$I$4)&gt;0,ngay11!$I$4,"")</f>
        <v/>
      </c>
      <c r="H96" s="34" t="str">
        <f t="shared" si="18"/>
        <v>x</v>
      </c>
      <c r="I96" s="38">
        <f t="shared" si="19"/>
        <v>0</v>
      </c>
      <c r="J96" s="37" t="str">
        <f>IF(COUNT(ngay11!$U$33)&gt;0,ngay11!$U$33,"")</f>
        <v/>
      </c>
      <c r="K96" s="137" t="str">
        <f t="shared" si="20"/>
        <v>x</v>
      </c>
      <c r="L96" s="49">
        <f t="shared" si="21"/>
        <v>0</v>
      </c>
      <c r="M96" s="34"/>
      <c r="N96" s="37" t="str">
        <f>IF(COUNT(ngay11!$I$6)&gt;0,ngay11!$I$6,"")</f>
        <v/>
      </c>
      <c r="O96" s="34" t="str">
        <f t="shared" si="22"/>
        <v>x</v>
      </c>
      <c r="P96" s="38">
        <f t="shared" si="23"/>
        <v>0</v>
      </c>
      <c r="Q96" s="37" t="str">
        <f>IF(COUNT(ngay11!$U$39)&gt;0,ngay11!$U$39,"")</f>
        <v/>
      </c>
      <c r="R96" s="137" t="str">
        <f t="shared" si="24"/>
        <v>x</v>
      </c>
      <c r="S96" s="49">
        <f t="shared" si="25"/>
        <v>0</v>
      </c>
      <c r="T96" s="34"/>
      <c r="U96" s="37" t="str">
        <f>IF(COUNT(ngay11!$I$12)&gt;0,ngay11!$I$12,"")</f>
        <v/>
      </c>
      <c r="V96" s="34" t="str">
        <f t="shared" si="26"/>
        <v>x</v>
      </c>
      <c r="W96" s="38">
        <f t="shared" si="27"/>
        <v>0</v>
      </c>
      <c r="X96" s="37" t="str">
        <f>IF(COUNT(ngay11!$U$48)&gt;0,ngay11!$U$48,"")</f>
        <v/>
      </c>
      <c r="Y96" s="137" t="str">
        <f t="shared" si="28"/>
        <v>x</v>
      </c>
      <c r="Z96" s="49">
        <f t="shared" si="29"/>
        <v>0</v>
      </c>
      <c r="AA96" s="34"/>
      <c r="AB96" s="37" t="str">
        <f>IF(COUNT(ngay11!$I$21)&gt;0,ngay11!$I$21,"")</f>
        <v/>
      </c>
      <c r="AC96" s="34" t="str">
        <f t="shared" si="30"/>
        <v>x</v>
      </c>
      <c r="AD96" s="38">
        <f t="shared" si="31"/>
        <v>0</v>
      </c>
    </row>
    <row r="97" spans="1:32">
      <c r="A97" s="41"/>
      <c r="B97" s="48">
        <v>19</v>
      </c>
      <c r="C97" s="37" t="str">
        <f>IF(COUNT(ngay11!$V$31)&gt;0,ngay11!$V$31,"")</f>
        <v/>
      </c>
      <c r="D97" s="137" t="str">
        <f t="shared" si="16"/>
        <v>x</v>
      </c>
      <c r="E97" s="49">
        <f t="shared" si="17"/>
        <v>0</v>
      </c>
      <c r="F97" s="34"/>
      <c r="G97" s="37" t="str">
        <f>IF(COUNT(ngay11!$J$4)&gt;0,ngay11!$J$4,"")</f>
        <v/>
      </c>
      <c r="H97" s="34" t="str">
        <f t="shared" si="18"/>
        <v>x</v>
      </c>
      <c r="I97" s="38">
        <f t="shared" si="19"/>
        <v>0</v>
      </c>
      <c r="J97" s="37" t="str">
        <f>IF(COUNT(ngay11!$V$33)&gt;0,ngay11!$V$33,"")</f>
        <v/>
      </c>
      <c r="K97" s="137" t="str">
        <f t="shared" si="20"/>
        <v>x</v>
      </c>
      <c r="L97" s="49">
        <f t="shared" si="21"/>
        <v>0</v>
      </c>
      <c r="M97" s="34"/>
      <c r="N97" s="37" t="str">
        <f>IF(COUNT(ngay11!$J$6)&gt;0,ngay11!$J$6,"")</f>
        <v/>
      </c>
      <c r="O97" s="34" t="str">
        <f t="shared" si="22"/>
        <v>x</v>
      </c>
      <c r="P97" s="38">
        <f t="shared" si="23"/>
        <v>0</v>
      </c>
      <c r="Q97" s="37" t="str">
        <f>IF(COUNT(ngay11!$V$39)&gt;0,ngay11!$V$39,"")</f>
        <v/>
      </c>
      <c r="R97" s="137" t="str">
        <f t="shared" si="24"/>
        <v>x</v>
      </c>
      <c r="S97" s="49">
        <f t="shared" si="25"/>
        <v>0</v>
      </c>
      <c r="T97" s="34"/>
      <c r="U97" s="37" t="str">
        <f>IF(COUNT(ngay11!$J$12)&gt;0,ngay11!$J$12,"")</f>
        <v/>
      </c>
      <c r="V97" s="34" t="str">
        <f t="shared" si="26"/>
        <v>x</v>
      </c>
      <c r="W97" s="38">
        <f t="shared" si="27"/>
        <v>0</v>
      </c>
      <c r="X97" s="37" t="str">
        <f>IF(COUNT(ngay11!$V$48)&gt;0,ngay11!$V$48,"")</f>
        <v/>
      </c>
      <c r="Y97" s="137" t="str">
        <f t="shared" si="28"/>
        <v>x</v>
      </c>
      <c r="Z97" s="49">
        <f t="shared" si="29"/>
        <v>0</v>
      </c>
      <c r="AA97" s="34"/>
      <c r="AB97" s="37" t="str">
        <f>IF(COUNT(ngay11!$J$21)&gt;0,ngay11!$J$21,"")</f>
        <v/>
      </c>
      <c r="AC97" s="34" t="str">
        <f t="shared" si="30"/>
        <v>x</v>
      </c>
      <c r="AD97" s="38">
        <f t="shared" si="31"/>
        <v>0</v>
      </c>
    </row>
    <row r="98" spans="1:32">
      <c r="A98" s="41"/>
      <c r="B98" s="48">
        <v>22</v>
      </c>
      <c r="C98" s="37" t="str">
        <f>IF(COUNT(ngay12!$O$31)&gt;0,ngay12!$O$31,"")</f>
        <v/>
      </c>
      <c r="D98" s="137" t="str">
        <f t="shared" si="16"/>
        <v>x</v>
      </c>
      <c r="E98" s="49">
        <f t="shared" si="17"/>
        <v>0</v>
      </c>
      <c r="F98" s="34"/>
      <c r="G98" s="37" t="str">
        <f>IF(COUNT(ngay12!$C$4)&gt;0,ngay12!$C$4,"")</f>
        <v/>
      </c>
      <c r="H98" s="34" t="str">
        <f t="shared" si="18"/>
        <v>x</v>
      </c>
      <c r="I98" s="38">
        <f t="shared" si="19"/>
        <v>0</v>
      </c>
      <c r="J98" s="37" t="str">
        <f>IF(COUNT(ngay12!$O$33)&gt;0,ngay12!$O$33,"")</f>
        <v/>
      </c>
      <c r="K98" s="137" t="str">
        <f t="shared" si="20"/>
        <v>x</v>
      </c>
      <c r="L98" s="49">
        <f t="shared" si="21"/>
        <v>0</v>
      </c>
      <c r="M98" s="34"/>
      <c r="N98" s="37" t="str">
        <f>IF(COUNT(ngay12!$C$6)&gt;0,ngay12!$C$6,"")</f>
        <v/>
      </c>
      <c r="O98" s="34" t="str">
        <f t="shared" si="22"/>
        <v>x</v>
      </c>
      <c r="P98" s="38">
        <f t="shared" si="23"/>
        <v>0</v>
      </c>
      <c r="Q98" s="37" t="str">
        <f>IF(COUNT(ngay12!$O$39)&gt;0,ngay12!$O$39,"")</f>
        <v/>
      </c>
      <c r="R98" s="137" t="str">
        <f t="shared" si="24"/>
        <v>x</v>
      </c>
      <c r="S98" s="49">
        <f t="shared" si="25"/>
        <v>0</v>
      </c>
      <c r="T98" s="34"/>
      <c r="U98" s="37" t="str">
        <f>IF(COUNT(ngay12!$C$12)&gt;0,ngay12!$C$12,"")</f>
        <v/>
      </c>
      <c r="V98" s="34" t="str">
        <f t="shared" si="26"/>
        <v>x</v>
      </c>
      <c r="W98" s="38">
        <f t="shared" si="27"/>
        <v>0</v>
      </c>
      <c r="X98" s="37" t="str">
        <f>IF(COUNT(ngay12!$O$48)&gt;0,ngay12!$O$48,"")</f>
        <v/>
      </c>
      <c r="Y98" s="137" t="str">
        <f t="shared" si="28"/>
        <v>x</v>
      </c>
      <c r="Z98" s="49">
        <f t="shared" si="29"/>
        <v>0</v>
      </c>
      <c r="AA98" s="34"/>
      <c r="AB98" s="37" t="str">
        <f>IF(COUNT(ngay12!$C$21)&gt;0,ngay12!$C$21,"")</f>
        <v/>
      </c>
      <c r="AC98" s="34" t="str">
        <f t="shared" si="30"/>
        <v>x</v>
      </c>
      <c r="AD98" s="38">
        <f t="shared" si="31"/>
        <v>0</v>
      </c>
    </row>
    <row r="99" spans="1:32" s="145" customFormat="1">
      <c r="A99" s="146">
        <v>12</v>
      </c>
      <c r="B99" s="48">
        <v>1</v>
      </c>
      <c r="C99" s="141" t="str">
        <f>IF(COUNT(ngay12!$P$31)&gt;0,ngay12!$P$31,"")</f>
        <v/>
      </c>
      <c r="D99" s="144" t="str">
        <f t="shared" si="16"/>
        <v>x</v>
      </c>
      <c r="E99" s="142">
        <f t="shared" si="17"/>
        <v>0</v>
      </c>
      <c r="F99" s="140"/>
      <c r="G99" s="141" t="str">
        <f>IF(COUNT(ngay12!$D$4)&gt;0,ngay12!$D$4,"")</f>
        <v/>
      </c>
      <c r="H99" s="140" t="str">
        <f t="shared" si="18"/>
        <v>x</v>
      </c>
      <c r="I99" s="143">
        <f t="shared" si="19"/>
        <v>0</v>
      </c>
      <c r="J99" s="141" t="str">
        <f>IF(COUNT(ngay12!$P$33)&gt;0,ngay12!$P$33,"")</f>
        <v/>
      </c>
      <c r="K99" s="144" t="str">
        <f t="shared" si="20"/>
        <v>x</v>
      </c>
      <c r="L99" s="142">
        <f t="shared" si="21"/>
        <v>0</v>
      </c>
      <c r="M99" s="140"/>
      <c r="N99" s="141" t="str">
        <f>IF(COUNT(ngay12!$D$6)&gt;0,ngay12!$D$6,"")</f>
        <v/>
      </c>
      <c r="O99" s="140" t="str">
        <f t="shared" si="22"/>
        <v>x</v>
      </c>
      <c r="P99" s="143">
        <f t="shared" si="23"/>
        <v>0</v>
      </c>
      <c r="Q99" s="141" t="str">
        <f>IF(COUNT(ngay12!$P$39)&gt;0,ngay12!$P$39,"")</f>
        <v/>
      </c>
      <c r="R99" s="144" t="str">
        <f t="shared" si="24"/>
        <v>x</v>
      </c>
      <c r="S99" s="142">
        <f t="shared" si="25"/>
        <v>0</v>
      </c>
      <c r="T99" s="140"/>
      <c r="U99" s="141" t="str">
        <f>IF(COUNT(ngay12!$D$12)&gt;0,ngay12!$D$12,"")</f>
        <v/>
      </c>
      <c r="V99" s="140" t="str">
        <f t="shared" si="26"/>
        <v>x</v>
      </c>
      <c r="W99" s="143">
        <f t="shared" si="27"/>
        <v>0</v>
      </c>
      <c r="X99" s="141" t="str">
        <f>IF(COUNT(ngay12!$P$48)&gt;0,ngay12!$P$48,"")</f>
        <v/>
      </c>
      <c r="Y99" s="144" t="str">
        <f t="shared" si="28"/>
        <v>x</v>
      </c>
      <c r="Z99" s="142">
        <f t="shared" si="29"/>
        <v>0</v>
      </c>
      <c r="AA99" s="140"/>
      <c r="AB99" s="141" t="str">
        <f>IF(COUNT(ngay12!$D$21)&gt;0,ngay12!$D$21,"")</f>
        <v/>
      </c>
      <c r="AC99" s="140" t="str">
        <f t="shared" si="30"/>
        <v>x</v>
      </c>
      <c r="AD99" s="143">
        <f t="shared" si="31"/>
        <v>0</v>
      </c>
      <c r="AE99" s="147"/>
      <c r="AF99" s="147"/>
    </row>
    <row r="100" spans="1:32">
      <c r="A100" s="41"/>
      <c r="B100" s="48">
        <v>4</v>
      </c>
      <c r="C100" s="37" t="str">
        <f>IF(COUNT(ngay12!$Q$31)&gt;0,ngay12!$Q$31,"")</f>
        <v/>
      </c>
      <c r="D100" s="137" t="str">
        <f t="shared" si="16"/>
        <v>x</v>
      </c>
      <c r="E100" s="49">
        <f t="shared" si="17"/>
        <v>0</v>
      </c>
      <c r="F100" s="34"/>
      <c r="G100" s="37" t="str">
        <f>IF(COUNT(ngay12!$E$4)&gt;0,ngay12!$E$4,"")</f>
        <v/>
      </c>
      <c r="H100" s="34" t="str">
        <f t="shared" si="18"/>
        <v>x</v>
      </c>
      <c r="I100" s="38">
        <f t="shared" si="19"/>
        <v>0</v>
      </c>
      <c r="J100" s="37" t="str">
        <f>IF(COUNT(ngay12!$Q$33)&gt;0,ngay12!$Q$33,"")</f>
        <v/>
      </c>
      <c r="K100" s="137" t="str">
        <f t="shared" si="20"/>
        <v>x</v>
      </c>
      <c r="L100" s="49">
        <f t="shared" si="21"/>
        <v>0</v>
      </c>
      <c r="M100" s="34"/>
      <c r="N100" s="37" t="str">
        <f>IF(COUNT(ngay12!$E$6)&gt;0,ngay12!$E$6,"")</f>
        <v/>
      </c>
      <c r="O100" s="34" t="str">
        <f t="shared" si="22"/>
        <v>x</v>
      </c>
      <c r="P100" s="38">
        <f t="shared" si="23"/>
        <v>0</v>
      </c>
      <c r="Q100" s="37" t="str">
        <f>IF(COUNT(ngay12!$Q$39)&gt;0,ngay12!$Q$39,"")</f>
        <v/>
      </c>
      <c r="R100" s="137" t="str">
        <f t="shared" si="24"/>
        <v>x</v>
      </c>
      <c r="S100" s="49">
        <f t="shared" si="25"/>
        <v>0</v>
      </c>
      <c r="T100" s="34"/>
      <c r="U100" s="37" t="str">
        <f>IF(COUNT(ngay12!$E$12)&gt;0,ngay12!$E$12,"")</f>
        <v/>
      </c>
      <c r="V100" s="34" t="str">
        <f t="shared" si="26"/>
        <v>x</v>
      </c>
      <c r="W100" s="38">
        <f t="shared" si="27"/>
        <v>0</v>
      </c>
      <c r="X100" s="37" t="str">
        <f>IF(COUNT(ngay12!$Q$48)&gt;0,ngay12!$Q$48,"")</f>
        <v/>
      </c>
      <c r="Y100" s="137" t="str">
        <f t="shared" si="28"/>
        <v>x</v>
      </c>
      <c r="Z100" s="49">
        <f t="shared" si="29"/>
        <v>0</v>
      </c>
      <c r="AA100" s="34"/>
      <c r="AB100" s="37" t="str">
        <f>IF(COUNT(ngay12!$E$21)&gt;0,ngay12!$E$21,"")</f>
        <v/>
      </c>
      <c r="AC100" s="34" t="str">
        <f t="shared" si="30"/>
        <v>x</v>
      </c>
      <c r="AD100" s="38">
        <f t="shared" si="31"/>
        <v>0</v>
      </c>
    </row>
    <row r="101" spans="1:32">
      <c r="A101" s="41"/>
      <c r="B101" s="139">
        <v>7</v>
      </c>
      <c r="C101" s="37" t="str">
        <f>IF(COUNT(ngay12!$R$31)&gt;0,ngay12!$R$31,"")</f>
        <v/>
      </c>
      <c r="D101" s="137" t="str">
        <f t="shared" si="16"/>
        <v>x</v>
      </c>
      <c r="E101" s="49">
        <f t="shared" si="17"/>
        <v>0</v>
      </c>
      <c r="F101" s="34"/>
      <c r="G101" s="37" t="str">
        <f>IF(COUNT(ngay12!$F$4)&gt;0,ngay12!$F$4,"")</f>
        <v/>
      </c>
      <c r="H101" s="34" t="str">
        <f t="shared" si="18"/>
        <v>x</v>
      </c>
      <c r="I101" s="38">
        <f t="shared" si="19"/>
        <v>0</v>
      </c>
      <c r="J101" s="37" t="str">
        <f>IF(COUNT(ngay12!$R$33)&gt;0,ngay12!$R$33,"")</f>
        <v/>
      </c>
      <c r="K101" s="137" t="str">
        <f t="shared" si="20"/>
        <v>x</v>
      </c>
      <c r="L101" s="49">
        <f t="shared" si="21"/>
        <v>0</v>
      </c>
      <c r="M101" s="34"/>
      <c r="N101" s="37" t="str">
        <f>IF(COUNT(ngay12!$F$6)&gt;0,ngay12!$F$6,"")</f>
        <v/>
      </c>
      <c r="O101" s="34" t="str">
        <f t="shared" si="22"/>
        <v>x</v>
      </c>
      <c r="P101" s="38">
        <f t="shared" si="23"/>
        <v>0</v>
      </c>
      <c r="Q101" s="37" t="str">
        <f>IF(COUNT(ngay12!$R$39)&gt;0,ngay12!$R$39,"")</f>
        <v/>
      </c>
      <c r="R101" s="137" t="str">
        <f t="shared" si="24"/>
        <v>x</v>
      </c>
      <c r="S101" s="49">
        <f t="shared" si="25"/>
        <v>0</v>
      </c>
      <c r="T101" s="34"/>
      <c r="U101" s="37" t="str">
        <f>IF(COUNT(ngay12!$F$12)&gt;0,ngay12!$F$12,"")</f>
        <v/>
      </c>
      <c r="V101" s="34" t="str">
        <f t="shared" si="26"/>
        <v>x</v>
      </c>
      <c r="W101" s="38">
        <f t="shared" si="27"/>
        <v>0</v>
      </c>
      <c r="X101" s="37" t="str">
        <f>IF(COUNT(ngay12!$R$48)&gt;0,ngay12!$R$48,"")</f>
        <v/>
      </c>
      <c r="Y101" s="137" t="str">
        <f t="shared" si="28"/>
        <v>x</v>
      </c>
      <c r="Z101" s="49">
        <f t="shared" si="29"/>
        <v>0</v>
      </c>
      <c r="AA101" s="34"/>
      <c r="AB101" s="37" t="str">
        <f>IF(COUNT(ngay12!$F$21)&gt;0,ngay12!$F$21,"")</f>
        <v/>
      </c>
      <c r="AC101" s="34" t="str">
        <f t="shared" si="30"/>
        <v>x</v>
      </c>
      <c r="AD101" s="38">
        <f t="shared" si="31"/>
        <v>0</v>
      </c>
    </row>
    <row r="102" spans="1:32">
      <c r="A102" s="41"/>
      <c r="B102" s="48">
        <v>10</v>
      </c>
      <c r="C102" s="37" t="str">
        <f>IF(COUNT(ngay12!$S$31)&gt;0,ngay12!$S$31,"")</f>
        <v/>
      </c>
      <c r="D102" s="137" t="str">
        <f t="shared" si="16"/>
        <v>x</v>
      </c>
      <c r="E102" s="49">
        <f t="shared" si="17"/>
        <v>0</v>
      </c>
      <c r="F102" s="34"/>
      <c r="G102" s="37" t="str">
        <f>IF(COUNT(ngay12!$G$4)&gt;0,ngay12!$G$4,"")</f>
        <v/>
      </c>
      <c r="H102" s="34" t="str">
        <f t="shared" si="18"/>
        <v>x</v>
      </c>
      <c r="I102" s="38">
        <f t="shared" si="19"/>
        <v>0</v>
      </c>
      <c r="J102" s="37" t="str">
        <f>IF(COUNT(ngay12!$S$33)&gt;0,ngay12!$S$33,"")</f>
        <v/>
      </c>
      <c r="K102" s="137" t="str">
        <f t="shared" si="20"/>
        <v>x</v>
      </c>
      <c r="L102" s="49">
        <f t="shared" si="21"/>
        <v>0</v>
      </c>
      <c r="M102" s="34"/>
      <c r="N102" s="37" t="str">
        <f>IF(COUNT(ngay12!$G$6)&gt;0,ngay12!$G$6,"")</f>
        <v/>
      </c>
      <c r="O102" s="34" t="str">
        <f t="shared" si="22"/>
        <v>x</v>
      </c>
      <c r="P102" s="38">
        <f t="shared" si="23"/>
        <v>0</v>
      </c>
      <c r="Q102" s="37" t="str">
        <f>IF(COUNT(ngay12!$S$39)&gt;0,ngay12!$S$39,"")</f>
        <v/>
      </c>
      <c r="R102" s="137" t="str">
        <f t="shared" si="24"/>
        <v>x</v>
      </c>
      <c r="S102" s="49">
        <f t="shared" si="25"/>
        <v>0</v>
      </c>
      <c r="T102" s="34"/>
      <c r="U102" s="37" t="str">
        <f>IF(COUNT(ngay12!$G$12)&gt;0,ngay12!$G$12,"")</f>
        <v/>
      </c>
      <c r="V102" s="34" t="str">
        <f t="shared" si="26"/>
        <v>x</v>
      </c>
      <c r="W102" s="38">
        <f t="shared" si="27"/>
        <v>0</v>
      </c>
      <c r="X102" s="37" t="str">
        <f>IF(COUNT(ngay12!$S$48)&gt;0,ngay12!$S$48,"")</f>
        <v/>
      </c>
      <c r="Y102" s="137" t="str">
        <f t="shared" si="28"/>
        <v>x</v>
      </c>
      <c r="Z102" s="49">
        <f t="shared" si="29"/>
        <v>0</v>
      </c>
      <c r="AA102" s="34"/>
      <c r="AB102" s="37" t="str">
        <f>IF(COUNT(ngay12!$G$21)&gt;0,ngay12!$G$21,"")</f>
        <v/>
      </c>
      <c r="AC102" s="34" t="str">
        <f t="shared" si="30"/>
        <v>x</v>
      </c>
      <c r="AD102" s="38">
        <f t="shared" si="31"/>
        <v>0</v>
      </c>
    </row>
    <row r="103" spans="1:32">
      <c r="A103" s="41"/>
      <c r="B103" s="48">
        <v>13</v>
      </c>
      <c r="C103" s="37" t="str">
        <f>IF(COUNT(ngay12!$T$31)&gt;0,ngay12!$T$31,"")</f>
        <v/>
      </c>
      <c r="D103" s="137" t="str">
        <f t="shared" si="16"/>
        <v>x</v>
      </c>
      <c r="E103" s="49">
        <f t="shared" si="17"/>
        <v>0</v>
      </c>
      <c r="F103" s="34"/>
      <c r="G103" s="37" t="str">
        <f>IF(COUNT(ngay12!$H$4)&gt;0,ngay12!$H$4,"")</f>
        <v/>
      </c>
      <c r="H103" s="34" t="str">
        <f t="shared" si="18"/>
        <v>x</v>
      </c>
      <c r="I103" s="38">
        <f t="shared" si="19"/>
        <v>0</v>
      </c>
      <c r="J103" s="37" t="str">
        <f>IF(COUNT(ngay12!$T$33)&gt;0,ngay12!$T$33,"")</f>
        <v/>
      </c>
      <c r="K103" s="137" t="str">
        <f t="shared" si="20"/>
        <v>x</v>
      </c>
      <c r="L103" s="49">
        <f t="shared" si="21"/>
        <v>0</v>
      </c>
      <c r="M103" s="34"/>
      <c r="N103" s="37" t="str">
        <f>IF(COUNT(ngay12!$H$6)&gt;0,ngay12!$H$6,"")</f>
        <v/>
      </c>
      <c r="O103" s="34" t="str">
        <f t="shared" si="22"/>
        <v>x</v>
      </c>
      <c r="P103" s="38">
        <f t="shared" si="23"/>
        <v>0</v>
      </c>
      <c r="Q103" s="37" t="str">
        <f>IF(COUNT(ngay12!$T$39)&gt;0,ngay12!$T$39,"")</f>
        <v/>
      </c>
      <c r="R103" s="137" t="str">
        <f t="shared" si="24"/>
        <v>x</v>
      </c>
      <c r="S103" s="49">
        <f t="shared" si="25"/>
        <v>0</v>
      </c>
      <c r="T103" s="34"/>
      <c r="U103" s="37" t="str">
        <f>IF(COUNT(ngay12!$H$12)&gt;0,ngay12!$H$12,"")</f>
        <v/>
      </c>
      <c r="V103" s="34" t="str">
        <f t="shared" si="26"/>
        <v>x</v>
      </c>
      <c r="W103" s="38">
        <f t="shared" si="27"/>
        <v>0</v>
      </c>
      <c r="X103" s="37" t="str">
        <f>IF(COUNT(ngay12!$T$48)&gt;0,ngay12!$T$48,"")</f>
        <v/>
      </c>
      <c r="Y103" s="137" t="str">
        <f t="shared" si="28"/>
        <v>x</v>
      </c>
      <c r="Z103" s="49">
        <f t="shared" si="29"/>
        <v>0</v>
      </c>
      <c r="AA103" s="34"/>
      <c r="AB103" s="37" t="str">
        <f>IF(COUNT(ngay12!$H$21)&gt;0,ngay12!$H$21,"")</f>
        <v/>
      </c>
      <c r="AC103" s="34" t="str">
        <f t="shared" si="30"/>
        <v>x</v>
      </c>
      <c r="AD103" s="38">
        <f t="shared" si="31"/>
        <v>0</v>
      </c>
    </row>
    <row r="104" spans="1:32">
      <c r="A104" s="41"/>
      <c r="B104" s="48">
        <v>16</v>
      </c>
      <c r="C104" s="37" t="str">
        <f>IF(COUNT(ngay12!$U$31)&gt;0,ngay12!$U$31,"")</f>
        <v/>
      </c>
      <c r="D104" s="137" t="str">
        <f t="shared" si="16"/>
        <v>x</v>
      </c>
      <c r="E104" s="49">
        <f t="shared" si="17"/>
        <v>0</v>
      </c>
      <c r="F104" s="34"/>
      <c r="G104" s="37" t="str">
        <f>IF(COUNT(ngay12!$I$4)&gt;0,ngay12!$I$4,"")</f>
        <v/>
      </c>
      <c r="H104" s="34" t="str">
        <f t="shared" si="18"/>
        <v>x</v>
      </c>
      <c r="I104" s="38">
        <f t="shared" si="19"/>
        <v>0</v>
      </c>
      <c r="J104" s="37" t="str">
        <f>IF(COUNT(ngay12!$U$33)&gt;0,ngay12!$U$33,"")</f>
        <v/>
      </c>
      <c r="K104" s="137" t="str">
        <f t="shared" si="20"/>
        <v>x</v>
      </c>
      <c r="L104" s="49">
        <f t="shared" si="21"/>
        <v>0</v>
      </c>
      <c r="M104" s="34"/>
      <c r="N104" s="37" t="str">
        <f>IF(COUNT(ngay12!$I$6)&gt;0,ngay12!$I$6,"")</f>
        <v/>
      </c>
      <c r="O104" s="34" t="str">
        <f t="shared" si="22"/>
        <v>x</v>
      </c>
      <c r="P104" s="38">
        <f t="shared" si="23"/>
        <v>0</v>
      </c>
      <c r="Q104" s="37" t="str">
        <f>IF(COUNT(ngay12!$U$39)&gt;0,ngay12!$U$39,"")</f>
        <v/>
      </c>
      <c r="R104" s="137" t="str">
        <f t="shared" si="24"/>
        <v>x</v>
      </c>
      <c r="S104" s="49">
        <f t="shared" si="25"/>
        <v>0</v>
      </c>
      <c r="T104" s="34"/>
      <c r="U104" s="37" t="str">
        <f>IF(COUNT(ngay12!$I$12)&gt;0,ngay12!$I$12,"")</f>
        <v/>
      </c>
      <c r="V104" s="34" t="str">
        <f t="shared" si="26"/>
        <v>x</v>
      </c>
      <c r="W104" s="38">
        <f t="shared" si="27"/>
        <v>0</v>
      </c>
      <c r="X104" s="37" t="str">
        <f>IF(COUNT(ngay12!$U$48)&gt;0,ngay12!$U$48,"")</f>
        <v/>
      </c>
      <c r="Y104" s="137" t="str">
        <f t="shared" si="28"/>
        <v>x</v>
      </c>
      <c r="Z104" s="49">
        <f t="shared" si="29"/>
        <v>0</v>
      </c>
      <c r="AA104" s="34"/>
      <c r="AB104" s="37" t="str">
        <f>IF(COUNT(ngay12!$I$21)&gt;0,ngay12!$I$21,"")</f>
        <v/>
      </c>
      <c r="AC104" s="34" t="str">
        <f t="shared" si="30"/>
        <v>x</v>
      </c>
      <c r="AD104" s="38">
        <f t="shared" si="31"/>
        <v>0</v>
      </c>
    </row>
    <row r="105" spans="1:32">
      <c r="A105" s="41"/>
      <c r="B105" s="48">
        <v>19</v>
      </c>
      <c r="C105" s="37" t="str">
        <f>IF(COUNT(ngay12!$V$31)&gt;0,ngay12!$V$31,"")</f>
        <v/>
      </c>
      <c r="D105" s="137" t="str">
        <f t="shared" si="16"/>
        <v>x</v>
      </c>
      <c r="E105" s="49">
        <f t="shared" si="17"/>
        <v>0</v>
      </c>
      <c r="F105" s="34"/>
      <c r="G105" s="37" t="str">
        <f>IF(COUNT(ngay12!$J$4)&gt;0,ngay12!$J$4,"")</f>
        <v/>
      </c>
      <c r="H105" s="34" t="str">
        <f t="shared" si="18"/>
        <v>x</v>
      </c>
      <c r="I105" s="38">
        <f t="shared" si="19"/>
        <v>0</v>
      </c>
      <c r="J105" s="37" t="str">
        <f>IF(COUNT(ngay12!$V$33)&gt;0,ngay12!$V$33,"")</f>
        <v/>
      </c>
      <c r="K105" s="137" t="str">
        <f t="shared" si="20"/>
        <v>x</v>
      </c>
      <c r="L105" s="49">
        <f t="shared" si="21"/>
        <v>0</v>
      </c>
      <c r="M105" s="34"/>
      <c r="N105" s="37" t="str">
        <f>IF(COUNT(ngay12!$J$6)&gt;0,ngay12!$J$6,"")</f>
        <v/>
      </c>
      <c r="O105" s="34" t="str">
        <f t="shared" si="22"/>
        <v>x</v>
      </c>
      <c r="P105" s="38">
        <f t="shared" si="23"/>
        <v>0</v>
      </c>
      <c r="Q105" s="37" t="str">
        <f>IF(COUNT(ngay12!$V$39)&gt;0,ngay12!$V$39,"")</f>
        <v/>
      </c>
      <c r="R105" s="137" t="str">
        <f t="shared" si="24"/>
        <v>x</v>
      </c>
      <c r="S105" s="49">
        <f t="shared" si="25"/>
        <v>0</v>
      </c>
      <c r="T105" s="34"/>
      <c r="U105" s="37" t="str">
        <f>IF(COUNT(ngay12!$J$12)&gt;0,ngay12!$J$12,"")</f>
        <v/>
      </c>
      <c r="V105" s="34" t="str">
        <f t="shared" si="26"/>
        <v>x</v>
      </c>
      <c r="W105" s="38">
        <f t="shared" si="27"/>
        <v>0</v>
      </c>
      <c r="X105" s="37" t="str">
        <f>IF(COUNT(ngay12!$V$48)&gt;0,ngay12!$V$48,"")</f>
        <v/>
      </c>
      <c r="Y105" s="137" t="str">
        <f t="shared" si="28"/>
        <v>x</v>
      </c>
      <c r="Z105" s="49">
        <f t="shared" si="29"/>
        <v>0</v>
      </c>
      <c r="AA105" s="34"/>
      <c r="AB105" s="37" t="str">
        <f>IF(COUNT(ngay12!$J$21)&gt;0,ngay12!$J$21,"")</f>
        <v/>
      </c>
      <c r="AC105" s="34" t="str">
        <f t="shared" si="30"/>
        <v>x</v>
      </c>
      <c r="AD105" s="38">
        <f t="shared" si="31"/>
        <v>0</v>
      </c>
    </row>
    <row r="106" spans="1:32">
      <c r="A106" s="41"/>
      <c r="B106" s="48">
        <v>22</v>
      </c>
      <c r="C106" s="37" t="str">
        <f>IF(COUNT(ngay13!$O$31)&gt;0,ngay13!$O$31,"")</f>
        <v/>
      </c>
      <c r="D106" s="137" t="str">
        <f t="shared" si="16"/>
        <v>x</v>
      </c>
      <c r="E106" s="49">
        <f t="shared" si="17"/>
        <v>0</v>
      </c>
      <c r="F106" s="34"/>
      <c r="G106" s="37" t="str">
        <f>IF(COUNT(ngay13!$C$4)&gt;0,ngay13!$C$4,"")</f>
        <v/>
      </c>
      <c r="H106" s="34" t="str">
        <f t="shared" si="18"/>
        <v>x</v>
      </c>
      <c r="I106" s="38">
        <f t="shared" si="19"/>
        <v>0</v>
      </c>
      <c r="J106" s="37" t="str">
        <f>IF(COUNT(ngay13!$O$33)&gt;0,ngay13!$O$33,"")</f>
        <v/>
      </c>
      <c r="K106" s="137" t="str">
        <f t="shared" si="20"/>
        <v>x</v>
      </c>
      <c r="L106" s="49">
        <f t="shared" si="21"/>
        <v>0</v>
      </c>
      <c r="M106" s="34"/>
      <c r="N106" s="37" t="str">
        <f>IF(COUNT(ngay13!$C$6)&gt;0,ngay13!$C$6,"")</f>
        <v/>
      </c>
      <c r="O106" s="34" t="str">
        <f t="shared" si="22"/>
        <v>x</v>
      </c>
      <c r="P106" s="38">
        <f t="shared" si="23"/>
        <v>0</v>
      </c>
      <c r="Q106" s="37" t="str">
        <f>IF(COUNT(ngay13!$O$39)&gt;0,ngay13!$O$39,"")</f>
        <v/>
      </c>
      <c r="R106" s="137" t="str">
        <f t="shared" si="24"/>
        <v>x</v>
      </c>
      <c r="S106" s="49">
        <f t="shared" si="25"/>
        <v>0</v>
      </c>
      <c r="T106" s="34"/>
      <c r="U106" s="37" t="str">
        <f>IF(COUNT(ngay13!$C$12)&gt;0,ngay13!$C$12,"")</f>
        <v/>
      </c>
      <c r="V106" s="34" t="str">
        <f t="shared" si="26"/>
        <v>x</v>
      </c>
      <c r="W106" s="38">
        <f t="shared" si="27"/>
        <v>0</v>
      </c>
      <c r="X106" s="37" t="str">
        <f>IF(COUNT(ngay13!$O$48)&gt;0,ngay13!$O$48,"")</f>
        <v/>
      </c>
      <c r="Y106" s="137" t="str">
        <f t="shared" si="28"/>
        <v>x</v>
      </c>
      <c r="Z106" s="49">
        <f t="shared" si="29"/>
        <v>0</v>
      </c>
      <c r="AA106" s="34"/>
      <c r="AB106" s="37" t="str">
        <f>IF(COUNT(ngay13!$C$21)&gt;0,ngay13!$C$21,"")</f>
        <v/>
      </c>
      <c r="AC106" s="34" t="str">
        <f t="shared" si="30"/>
        <v>x</v>
      </c>
      <c r="AD106" s="38">
        <f t="shared" si="31"/>
        <v>0</v>
      </c>
    </row>
    <row r="107" spans="1:32" s="145" customFormat="1">
      <c r="A107" s="146">
        <v>13</v>
      </c>
      <c r="B107" s="48">
        <v>1</v>
      </c>
      <c r="C107" s="141" t="str">
        <f>IF(COUNT(ngay13!$P$31)&gt;0,ngay13!$P$31,"")</f>
        <v/>
      </c>
      <c r="D107" s="144" t="str">
        <f t="shared" si="16"/>
        <v>x</v>
      </c>
      <c r="E107" s="142">
        <f t="shared" si="17"/>
        <v>0</v>
      </c>
      <c r="F107" s="140"/>
      <c r="G107" s="141" t="str">
        <f>IF(COUNT(ngay13!$D$4)&gt;0,ngay13!$D$4,"")</f>
        <v/>
      </c>
      <c r="H107" s="140" t="str">
        <f t="shared" si="18"/>
        <v>x</v>
      </c>
      <c r="I107" s="143">
        <f t="shared" si="19"/>
        <v>0</v>
      </c>
      <c r="J107" s="141" t="str">
        <f>IF(COUNT(ngay13!$P$33)&gt;0,ngay13!$P$33,"")</f>
        <v/>
      </c>
      <c r="K107" s="144" t="str">
        <f t="shared" si="20"/>
        <v>x</v>
      </c>
      <c r="L107" s="142">
        <f t="shared" si="21"/>
        <v>0</v>
      </c>
      <c r="M107" s="140"/>
      <c r="N107" s="141" t="str">
        <f>IF(COUNT(ngay13!$D$6)&gt;0,ngay13!$D$6,"")</f>
        <v/>
      </c>
      <c r="O107" s="140" t="str">
        <f t="shared" si="22"/>
        <v>x</v>
      </c>
      <c r="P107" s="143">
        <f t="shared" si="23"/>
        <v>0</v>
      </c>
      <c r="Q107" s="141" t="str">
        <f>IF(COUNT(ngay13!$P$39)&gt;0,ngay13!$P$39,"")</f>
        <v/>
      </c>
      <c r="R107" s="144" t="str">
        <f t="shared" si="24"/>
        <v>x</v>
      </c>
      <c r="S107" s="142">
        <f t="shared" si="25"/>
        <v>0</v>
      </c>
      <c r="T107" s="140"/>
      <c r="U107" s="141" t="str">
        <f>IF(COUNT(ngay13!$D$12)&gt;0,ngay13!$D$12,"")</f>
        <v/>
      </c>
      <c r="V107" s="140" t="str">
        <f t="shared" si="26"/>
        <v>x</v>
      </c>
      <c r="W107" s="143">
        <f t="shared" si="27"/>
        <v>0</v>
      </c>
      <c r="X107" s="141" t="str">
        <f>IF(COUNT(ngay13!$P$48)&gt;0,ngay13!$P$48,"")</f>
        <v/>
      </c>
      <c r="Y107" s="144" t="str">
        <f t="shared" si="28"/>
        <v>x</v>
      </c>
      <c r="Z107" s="142">
        <f t="shared" si="29"/>
        <v>0</v>
      </c>
      <c r="AA107" s="140"/>
      <c r="AB107" s="141" t="str">
        <f>IF(COUNT(ngay13!$D$21)&gt;0,ngay13!$D$21,"")</f>
        <v/>
      </c>
      <c r="AC107" s="140" t="str">
        <f t="shared" si="30"/>
        <v>x</v>
      </c>
      <c r="AD107" s="143">
        <f t="shared" si="31"/>
        <v>0</v>
      </c>
      <c r="AE107" s="147"/>
      <c r="AF107" s="147"/>
    </row>
    <row r="108" spans="1:32">
      <c r="A108" s="41"/>
      <c r="B108" s="48">
        <v>4</v>
      </c>
      <c r="C108" s="37" t="str">
        <f>IF(COUNT(ngay13!$Q$31)&gt;0,ngay13!$Q$31,"")</f>
        <v/>
      </c>
      <c r="D108" s="137" t="str">
        <f t="shared" si="16"/>
        <v>x</v>
      </c>
      <c r="E108" s="49">
        <f t="shared" si="17"/>
        <v>0</v>
      </c>
      <c r="F108" s="34"/>
      <c r="G108" s="37" t="str">
        <f>IF(COUNT(ngay13!$E$4)&gt;0,ngay13!$E$4,"")</f>
        <v/>
      </c>
      <c r="H108" s="34" t="str">
        <f t="shared" si="18"/>
        <v>x</v>
      </c>
      <c r="I108" s="38">
        <f t="shared" si="19"/>
        <v>0</v>
      </c>
      <c r="J108" s="37" t="str">
        <f>IF(COUNT(ngay13!$Q$33)&gt;0,ngay13!$Q$33,"")</f>
        <v/>
      </c>
      <c r="K108" s="137" t="str">
        <f t="shared" si="20"/>
        <v>x</v>
      </c>
      <c r="L108" s="49">
        <f t="shared" si="21"/>
        <v>0</v>
      </c>
      <c r="M108" s="34"/>
      <c r="N108" s="37" t="str">
        <f>IF(COUNT(ngay13!$E$6)&gt;0,ngay13!$E$6,"")</f>
        <v/>
      </c>
      <c r="O108" s="34" t="str">
        <f t="shared" si="22"/>
        <v>x</v>
      </c>
      <c r="P108" s="38">
        <f t="shared" si="23"/>
        <v>0</v>
      </c>
      <c r="Q108" s="37" t="str">
        <f>IF(COUNT(ngay13!$Q$39)&gt;0,ngay13!$Q$39,"")</f>
        <v/>
      </c>
      <c r="R108" s="137" t="str">
        <f t="shared" si="24"/>
        <v>x</v>
      </c>
      <c r="S108" s="49">
        <f t="shared" si="25"/>
        <v>0</v>
      </c>
      <c r="T108" s="34"/>
      <c r="U108" s="37" t="str">
        <f>IF(COUNT(ngay13!$E$12)&gt;0,ngay13!$E$12,"")</f>
        <v/>
      </c>
      <c r="V108" s="34" t="str">
        <f t="shared" si="26"/>
        <v>x</v>
      </c>
      <c r="W108" s="38">
        <f t="shared" si="27"/>
        <v>0</v>
      </c>
      <c r="X108" s="37" t="str">
        <f>IF(COUNT(ngay13!$Q$48)&gt;0,ngay13!$Q$48,"")</f>
        <v/>
      </c>
      <c r="Y108" s="137" t="str">
        <f t="shared" si="28"/>
        <v>x</v>
      </c>
      <c r="Z108" s="49">
        <f t="shared" si="29"/>
        <v>0</v>
      </c>
      <c r="AA108" s="34"/>
      <c r="AB108" s="37" t="str">
        <f>IF(COUNT(ngay13!$E$21)&gt;0,ngay13!$E$21,"")</f>
        <v/>
      </c>
      <c r="AC108" s="34" t="str">
        <f t="shared" si="30"/>
        <v>x</v>
      </c>
      <c r="AD108" s="38">
        <f t="shared" si="31"/>
        <v>0</v>
      </c>
    </row>
    <row r="109" spans="1:32">
      <c r="A109" s="41"/>
      <c r="B109" s="139">
        <v>7</v>
      </c>
      <c r="C109" s="37" t="str">
        <f>IF(COUNT(ngay13!$R$31)&gt;0,ngay13!$R$31,"")</f>
        <v/>
      </c>
      <c r="D109" s="137" t="str">
        <f t="shared" si="16"/>
        <v>x</v>
      </c>
      <c r="E109" s="49">
        <f t="shared" si="17"/>
        <v>0</v>
      </c>
      <c r="F109" s="34"/>
      <c r="G109" s="37" t="str">
        <f>IF(COUNT(ngay13!$F$4)&gt;0,ngay13!$F$4,"")</f>
        <v/>
      </c>
      <c r="H109" s="34" t="str">
        <f t="shared" si="18"/>
        <v>x</v>
      </c>
      <c r="I109" s="38">
        <f t="shared" si="19"/>
        <v>0</v>
      </c>
      <c r="J109" s="37" t="str">
        <f>IF(COUNT(ngay13!$R$33)&gt;0,ngay13!$R$33,"")</f>
        <v/>
      </c>
      <c r="K109" s="137" t="str">
        <f t="shared" si="20"/>
        <v>x</v>
      </c>
      <c r="L109" s="49">
        <f t="shared" si="21"/>
        <v>0</v>
      </c>
      <c r="M109" s="34"/>
      <c r="N109" s="37" t="str">
        <f>IF(COUNT(ngay13!$F$6)&gt;0,ngay13!$F$6,"")</f>
        <v/>
      </c>
      <c r="O109" s="34" t="str">
        <f t="shared" si="22"/>
        <v>x</v>
      </c>
      <c r="P109" s="38">
        <f t="shared" si="23"/>
        <v>0</v>
      </c>
      <c r="Q109" s="37" t="str">
        <f>IF(COUNT(ngay13!$R$39)&gt;0,ngay13!$R$39,"")</f>
        <v/>
      </c>
      <c r="R109" s="137" t="str">
        <f t="shared" si="24"/>
        <v>x</v>
      </c>
      <c r="S109" s="49">
        <f t="shared" si="25"/>
        <v>0</v>
      </c>
      <c r="T109" s="34"/>
      <c r="U109" s="37" t="str">
        <f>IF(COUNT(ngay13!$F$12)&gt;0,ngay13!$F$12,"")</f>
        <v/>
      </c>
      <c r="V109" s="34" t="str">
        <f t="shared" si="26"/>
        <v>x</v>
      </c>
      <c r="W109" s="38">
        <f t="shared" si="27"/>
        <v>0</v>
      </c>
      <c r="X109" s="37" t="str">
        <f>IF(COUNT(ngay13!$R$48)&gt;0,ngay13!$R$48,"")</f>
        <v/>
      </c>
      <c r="Y109" s="137" t="str">
        <f t="shared" si="28"/>
        <v>x</v>
      </c>
      <c r="Z109" s="49">
        <f t="shared" si="29"/>
        <v>0</v>
      </c>
      <c r="AA109" s="34"/>
      <c r="AB109" s="37" t="str">
        <f>IF(COUNT(ngay13!$F$21)&gt;0,ngay13!$F$21,"")</f>
        <v/>
      </c>
      <c r="AC109" s="34" t="str">
        <f t="shared" si="30"/>
        <v>x</v>
      </c>
      <c r="AD109" s="38">
        <f t="shared" si="31"/>
        <v>0</v>
      </c>
    </row>
    <row r="110" spans="1:32">
      <c r="A110" s="41"/>
      <c r="B110" s="48">
        <v>10</v>
      </c>
      <c r="C110" s="37" t="str">
        <f>IF(COUNT(ngay13!$S$31)&gt;0,ngay13!$S$31,"")</f>
        <v/>
      </c>
      <c r="D110" s="137" t="str">
        <f t="shared" si="16"/>
        <v>x</v>
      </c>
      <c r="E110" s="49">
        <f t="shared" si="17"/>
        <v>0</v>
      </c>
      <c r="F110" s="34"/>
      <c r="G110" s="37" t="str">
        <f>IF(COUNT(ngay13!$G$4)&gt;0,ngay13!$G$4,"")</f>
        <v/>
      </c>
      <c r="H110" s="34" t="str">
        <f t="shared" si="18"/>
        <v>x</v>
      </c>
      <c r="I110" s="38">
        <f t="shared" si="19"/>
        <v>0</v>
      </c>
      <c r="J110" s="37" t="str">
        <f>IF(COUNT(ngay13!$S$33)&gt;0,ngay13!$S$33,"")</f>
        <v/>
      </c>
      <c r="K110" s="137" t="str">
        <f t="shared" si="20"/>
        <v>x</v>
      </c>
      <c r="L110" s="49">
        <f t="shared" si="21"/>
        <v>0</v>
      </c>
      <c r="M110" s="34"/>
      <c r="N110" s="37" t="str">
        <f>IF(COUNT(ngay13!$G$6)&gt;0,ngay13!$G$6,"")</f>
        <v/>
      </c>
      <c r="O110" s="34" t="str">
        <f t="shared" si="22"/>
        <v>x</v>
      </c>
      <c r="P110" s="38">
        <f t="shared" si="23"/>
        <v>0</v>
      </c>
      <c r="Q110" s="37" t="str">
        <f>IF(COUNT(ngay13!$S$39)&gt;0,ngay13!$S$39,"")</f>
        <v/>
      </c>
      <c r="R110" s="137" t="str">
        <f t="shared" si="24"/>
        <v>x</v>
      </c>
      <c r="S110" s="49">
        <f t="shared" si="25"/>
        <v>0</v>
      </c>
      <c r="T110" s="34"/>
      <c r="U110" s="37" t="str">
        <f>IF(COUNT(ngay13!$G$12)&gt;0,ngay13!$G$12,"")</f>
        <v/>
      </c>
      <c r="V110" s="34" t="str">
        <f t="shared" si="26"/>
        <v>x</v>
      </c>
      <c r="W110" s="38">
        <f t="shared" si="27"/>
        <v>0</v>
      </c>
      <c r="X110" s="37" t="str">
        <f>IF(COUNT(ngay13!$S$48)&gt;0,ngay13!$S$48,"")</f>
        <v/>
      </c>
      <c r="Y110" s="137" t="str">
        <f t="shared" si="28"/>
        <v>x</v>
      </c>
      <c r="Z110" s="49">
        <f t="shared" si="29"/>
        <v>0</v>
      </c>
      <c r="AA110" s="34"/>
      <c r="AB110" s="37" t="str">
        <f>IF(COUNT(ngay13!$G$21)&gt;0,ngay13!$G$21,"")</f>
        <v/>
      </c>
      <c r="AC110" s="34" t="str">
        <f t="shared" si="30"/>
        <v>x</v>
      </c>
      <c r="AD110" s="38">
        <f t="shared" si="31"/>
        <v>0</v>
      </c>
    </row>
    <row r="111" spans="1:32">
      <c r="A111" s="41"/>
      <c r="B111" s="48">
        <v>13</v>
      </c>
      <c r="C111" s="37" t="str">
        <f>IF(COUNT(ngay13!$T$31)&gt;0,ngay13!$T$31,"")</f>
        <v/>
      </c>
      <c r="D111" s="137" t="str">
        <f t="shared" si="16"/>
        <v>x</v>
      </c>
      <c r="E111" s="49">
        <f t="shared" si="17"/>
        <v>0</v>
      </c>
      <c r="F111" s="34"/>
      <c r="G111" s="37" t="str">
        <f>IF(COUNT(ngay13!$H$4)&gt;0,ngay13!$H$4,"")</f>
        <v/>
      </c>
      <c r="H111" s="34" t="str">
        <f t="shared" si="18"/>
        <v>x</v>
      </c>
      <c r="I111" s="38">
        <f t="shared" si="19"/>
        <v>0</v>
      </c>
      <c r="J111" s="37" t="str">
        <f>IF(COUNT(ngay13!$T$33)&gt;0,ngay13!$T$33,"")</f>
        <v/>
      </c>
      <c r="K111" s="137" t="str">
        <f t="shared" si="20"/>
        <v>x</v>
      </c>
      <c r="L111" s="49">
        <f t="shared" si="21"/>
        <v>0</v>
      </c>
      <c r="M111" s="34"/>
      <c r="N111" s="37" t="str">
        <f>IF(COUNT(ngay13!$H$6)&gt;0,ngay13!$H$6,"")</f>
        <v/>
      </c>
      <c r="O111" s="34" t="str">
        <f t="shared" si="22"/>
        <v>x</v>
      </c>
      <c r="P111" s="38">
        <f t="shared" si="23"/>
        <v>0</v>
      </c>
      <c r="Q111" s="37" t="str">
        <f>IF(COUNT(ngay13!$T$39)&gt;0,ngay13!$T$39,"")</f>
        <v/>
      </c>
      <c r="R111" s="137" t="str">
        <f t="shared" si="24"/>
        <v>x</v>
      </c>
      <c r="S111" s="49">
        <f t="shared" si="25"/>
        <v>0</v>
      </c>
      <c r="T111" s="34"/>
      <c r="U111" s="37" t="str">
        <f>IF(COUNT(ngay13!$H$12)&gt;0,ngay13!$H$12,"")</f>
        <v/>
      </c>
      <c r="V111" s="34" t="str">
        <f t="shared" si="26"/>
        <v>x</v>
      </c>
      <c r="W111" s="38">
        <f t="shared" si="27"/>
        <v>0</v>
      </c>
      <c r="X111" s="37" t="str">
        <f>IF(COUNT(ngay13!$T$48)&gt;0,ngay13!$T$48,"")</f>
        <v/>
      </c>
      <c r="Y111" s="137" t="str">
        <f t="shared" si="28"/>
        <v>x</v>
      </c>
      <c r="Z111" s="49">
        <f t="shared" si="29"/>
        <v>0</v>
      </c>
      <c r="AA111" s="34"/>
      <c r="AB111" s="37" t="str">
        <f>IF(COUNT(ngay13!$H$21)&gt;0,ngay13!$H$21,"")</f>
        <v/>
      </c>
      <c r="AC111" s="34" t="str">
        <f t="shared" si="30"/>
        <v>x</v>
      </c>
      <c r="AD111" s="38">
        <f t="shared" si="31"/>
        <v>0</v>
      </c>
    </row>
    <row r="112" spans="1:32">
      <c r="A112" s="41"/>
      <c r="B112" s="48">
        <v>16</v>
      </c>
      <c r="C112" s="37" t="str">
        <f>IF(COUNT(ngay13!$U$31)&gt;0,ngay13!$U$31,"")</f>
        <v/>
      </c>
      <c r="D112" s="137" t="str">
        <f t="shared" si="16"/>
        <v>x</v>
      </c>
      <c r="E112" s="49">
        <f t="shared" si="17"/>
        <v>0</v>
      </c>
      <c r="F112" s="34"/>
      <c r="G112" s="37" t="str">
        <f>IF(COUNT(ngay13!$I$4)&gt;0,ngay13!$I$4,"")</f>
        <v/>
      </c>
      <c r="H112" s="34" t="str">
        <f t="shared" si="18"/>
        <v>x</v>
      </c>
      <c r="I112" s="38">
        <f t="shared" si="19"/>
        <v>0</v>
      </c>
      <c r="J112" s="37" t="str">
        <f>IF(COUNT(ngay13!$U$33)&gt;0,ngay13!$U$33,"")</f>
        <v/>
      </c>
      <c r="K112" s="137" t="str">
        <f t="shared" si="20"/>
        <v>x</v>
      </c>
      <c r="L112" s="49">
        <f t="shared" si="21"/>
        <v>0</v>
      </c>
      <c r="M112" s="34"/>
      <c r="N112" s="37" t="str">
        <f>IF(COUNT(ngay13!$I$6)&gt;0,ngay13!$I$6,"")</f>
        <v/>
      </c>
      <c r="O112" s="34" t="str">
        <f t="shared" si="22"/>
        <v>x</v>
      </c>
      <c r="P112" s="38">
        <f t="shared" si="23"/>
        <v>0</v>
      </c>
      <c r="Q112" s="37" t="str">
        <f>IF(COUNT(ngay13!$U$39)&gt;0,ngay13!$U$39,"")</f>
        <v/>
      </c>
      <c r="R112" s="137" t="str">
        <f t="shared" si="24"/>
        <v>x</v>
      </c>
      <c r="S112" s="49">
        <f t="shared" si="25"/>
        <v>0</v>
      </c>
      <c r="T112" s="34"/>
      <c r="U112" s="37" t="str">
        <f>IF(COUNT(ngay13!$I$12)&gt;0,ngay13!$I$12,"")</f>
        <v/>
      </c>
      <c r="V112" s="34" t="str">
        <f t="shared" si="26"/>
        <v>x</v>
      </c>
      <c r="W112" s="38">
        <f t="shared" si="27"/>
        <v>0</v>
      </c>
      <c r="X112" s="37" t="str">
        <f>IF(COUNT(ngay13!$U$48)&gt;0,ngay13!$U$48,"")</f>
        <v/>
      </c>
      <c r="Y112" s="137" t="str">
        <f t="shared" si="28"/>
        <v>x</v>
      </c>
      <c r="Z112" s="49">
        <f t="shared" si="29"/>
        <v>0</v>
      </c>
      <c r="AA112" s="34"/>
      <c r="AB112" s="37" t="str">
        <f>IF(COUNT(ngay13!$I$21)&gt;0,ngay13!$I$21,"")</f>
        <v/>
      </c>
      <c r="AC112" s="34" t="str">
        <f t="shared" si="30"/>
        <v>x</v>
      </c>
      <c r="AD112" s="38">
        <f t="shared" si="31"/>
        <v>0</v>
      </c>
    </row>
    <row r="113" spans="1:32">
      <c r="A113" s="41"/>
      <c r="B113" s="48">
        <v>19</v>
      </c>
      <c r="C113" s="37" t="str">
        <f>IF(COUNT(ngay13!$V$31)&gt;0,ngay13!$V$31,"")</f>
        <v/>
      </c>
      <c r="D113" s="137" t="str">
        <f t="shared" si="16"/>
        <v>x</v>
      </c>
      <c r="E113" s="49">
        <f t="shared" si="17"/>
        <v>0</v>
      </c>
      <c r="F113" s="34"/>
      <c r="G113" s="37" t="str">
        <f>IF(COUNT(ngay13!$J$4)&gt;0,ngay13!$J$4,"")</f>
        <v/>
      </c>
      <c r="H113" s="34" t="str">
        <f t="shared" si="18"/>
        <v>x</v>
      </c>
      <c r="I113" s="38">
        <f t="shared" si="19"/>
        <v>0</v>
      </c>
      <c r="J113" s="37" t="str">
        <f>IF(COUNT(ngay13!$V$33)&gt;0,ngay13!$V$33,"")</f>
        <v/>
      </c>
      <c r="K113" s="137" t="str">
        <f t="shared" si="20"/>
        <v>x</v>
      </c>
      <c r="L113" s="49">
        <f t="shared" si="21"/>
        <v>0</v>
      </c>
      <c r="M113" s="34"/>
      <c r="N113" s="37" t="str">
        <f>IF(COUNT(ngay13!$J$6)&gt;0,ngay13!$J$6,"")</f>
        <v/>
      </c>
      <c r="O113" s="34" t="str">
        <f t="shared" si="22"/>
        <v>x</v>
      </c>
      <c r="P113" s="38">
        <f t="shared" si="23"/>
        <v>0</v>
      </c>
      <c r="Q113" s="37" t="str">
        <f>IF(COUNT(ngay13!$V$39)&gt;0,ngay13!$V$39,"")</f>
        <v/>
      </c>
      <c r="R113" s="137" t="str">
        <f t="shared" si="24"/>
        <v>x</v>
      </c>
      <c r="S113" s="49">
        <f t="shared" si="25"/>
        <v>0</v>
      </c>
      <c r="T113" s="34"/>
      <c r="U113" s="37" t="str">
        <f>IF(COUNT(ngay13!$J$12)&gt;0,ngay13!$J$12,"")</f>
        <v/>
      </c>
      <c r="V113" s="34" t="str">
        <f t="shared" si="26"/>
        <v>x</v>
      </c>
      <c r="W113" s="38">
        <f t="shared" si="27"/>
        <v>0</v>
      </c>
      <c r="X113" s="37" t="str">
        <f>IF(COUNT(ngay13!$V$48)&gt;0,ngay13!$V$48,"")</f>
        <v/>
      </c>
      <c r="Y113" s="137" t="str">
        <f t="shared" si="28"/>
        <v>x</v>
      </c>
      <c r="Z113" s="49">
        <f t="shared" si="29"/>
        <v>0</v>
      </c>
      <c r="AA113" s="34"/>
      <c r="AB113" s="37" t="str">
        <f>IF(COUNT(ngay13!$J$21)&gt;0,ngay13!$J$21,"")</f>
        <v/>
      </c>
      <c r="AC113" s="34" t="str">
        <f t="shared" si="30"/>
        <v>x</v>
      </c>
      <c r="AD113" s="38">
        <f t="shared" si="31"/>
        <v>0</v>
      </c>
    </row>
    <row r="114" spans="1:32">
      <c r="A114" s="41"/>
      <c r="B114" s="48">
        <v>22</v>
      </c>
      <c r="C114" s="37" t="str">
        <f>IF(COUNT(ngay14!$O$31)&gt;0,ngay14!$O$31,"")</f>
        <v/>
      </c>
      <c r="D114" s="137" t="str">
        <f t="shared" si="16"/>
        <v>x</v>
      </c>
      <c r="E114" s="49">
        <f t="shared" si="17"/>
        <v>0</v>
      </c>
      <c r="F114" s="34"/>
      <c r="G114" s="37" t="str">
        <f>IF(COUNT(ngay14!$C$4)&gt;0,ngay14!$C$4,"")</f>
        <v/>
      </c>
      <c r="H114" s="34" t="str">
        <f t="shared" si="18"/>
        <v>x</v>
      </c>
      <c r="I114" s="38">
        <f t="shared" si="19"/>
        <v>0</v>
      </c>
      <c r="J114" s="37" t="str">
        <f>IF(COUNT(ngay14!$O$33)&gt;0,ngay14!$O$33,"")</f>
        <v/>
      </c>
      <c r="K114" s="137" t="str">
        <f t="shared" si="20"/>
        <v>x</v>
      </c>
      <c r="L114" s="49">
        <f t="shared" si="21"/>
        <v>0</v>
      </c>
      <c r="M114" s="34"/>
      <c r="N114" s="37" t="str">
        <f>IF(COUNT(ngay14!$C$6)&gt;0,ngay14!$C$6,"")</f>
        <v/>
      </c>
      <c r="O114" s="34" t="str">
        <f t="shared" si="22"/>
        <v>x</v>
      </c>
      <c r="P114" s="38">
        <f t="shared" si="23"/>
        <v>0</v>
      </c>
      <c r="Q114" s="37" t="str">
        <f>IF(COUNT(ngay14!$O$39)&gt;0,ngay14!$O$39,"")</f>
        <v/>
      </c>
      <c r="R114" s="137" t="str">
        <f t="shared" si="24"/>
        <v>x</v>
      </c>
      <c r="S114" s="49">
        <f t="shared" si="25"/>
        <v>0</v>
      </c>
      <c r="T114" s="34"/>
      <c r="U114" s="37" t="str">
        <f>IF(COUNT(ngay14!$C$12)&gt;0,ngay14!$C$12,"")</f>
        <v/>
      </c>
      <c r="V114" s="34" t="str">
        <f t="shared" si="26"/>
        <v>x</v>
      </c>
      <c r="W114" s="38">
        <f t="shared" si="27"/>
        <v>0</v>
      </c>
      <c r="X114" s="37" t="str">
        <f>IF(COUNT(ngay14!$O$48)&gt;0,ngay14!$O$48,"")</f>
        <v/>
      </c>
      <c r="Y114" s="137" t="str">
        <f t="shared" si="28"/>
        <v>x</v>
      </c>
      <c r="Z114" s="49">
        <f t="shared" si="29"/>
        <v>0</v>
      </c>
      <c r="AA114" s="34"/>
      <c r="AB114" s="37" t="str">
        <f>IF(COUNT(ngay14!$C$21)&gt;0,ngay14!$C$21,"")</f>
        <v/>
      </c>
      <c r="AC114" s="34" t="str">
        <f t="shared" si="30"/>
        <v>x</v>
      </c>
      <c r="AD114" s="38">
        <f t="shared" si="31"/>
        <v>0</v>
      </c>
    </row>
    <row r="115" spans="1:32" s="145" customFormat="1">
      <c r="A115" s="146">
        <v>14</v>
      </c>
      <c r="B115" s="48">
        <v>1</v>
      </c>
      <c r="C115" s="141" t="str">
        <f>IF(COUNT(ngay14!$P$31)&gt;0,ngay14!$P$31,"")</f>
        <v/>
      </c>
      <c r="D115" s="144" t="str">
        <f t="shared" si="16"/>
        <v>x</v>
      </c>
      <c r="E115" s="142">
        <f t="shared" si="17"/>
        <v>0</v>
      </c>
      <c r="F115" s="140"/>
      <c r="G115" s="141" t="str">
        <f>IF(COUNT(ngay14!$D$4)&gt;0,ngay14!$D$4,"")</f>
        <v/>
      </c>
      <c r="H115" s="140" t="str">
        <f t="shared" si="18"/>
        <v>x</v>
      </c>
      <c r="I115" s="143">
        <f t="shared" si="19"/>
        <v>0</v>
      </c>
      <c r="J115" s="141" t="str">
        <f>IF(COUNT(ngay14!$P$33)&gt;0,ngay14!$P$33,"")</f>
        <v/>
      </c>
      <c r="K115" s="144" t="str">
        <f t="shared" si="20"/>
        <v>x</v>
      </c>
      <c r="L115" s="142">
        <f t="shared" si="21"/>
        <v>0</v>
      </c>
      <c r="M115" s="140"/>
      <c r="N115" s="141" t="str">
        <f>IF(COUNT(ngay14!$D$6)&gt;0,ngay14!$D$6,"")</f>
        <v/>
      </c>
      <c r="O115" s="140" t="str">
        <f t="shared" si="22"/>
        <v>x</v>
      </c>
      <c r="P115" s="143">
        <f t="shared" si="23"/>
        <v>0</v>
      </c>
      <c r="Q115" s="141" t="str">
        <f>IF(COUNT(ngay14!$P$39)&gt;0,ngay14!$P$39,"")</f>
        <v/>
      </c>
      <c r="R115" s="144" t="str">
        <f t="shared" si="24"/>
        <v>x</v>
      </c>
      <c r="S115" s="142">
        <f t="shared" si="25"/>
        <v>0</v>
      </c>
      <c r="T115" s="140"/>
      <c r="U115" s="141" t="str">
        <f>IF(COUNT(ngay14!$D$12)&gt;0,ngay14!$D$12,"")</f>
        <v/>
      </c>
      <c r="V115" s="140" t="str">
        <f t="shared" si="26"/>
        <v>x</v>
      </c>
      <c r="W115" s="143">
        <f t="shared" si="27"/>
        <v>0</v>
      </c>
      <c r="X115" s="141" t="str">
        <f>IF(COUNT(ngay14!$P$48)&gt;0,ngay14!$P$48,"")</f>
        <v/>
      </c>
      <c r="Y115" s="144" t="str">
        <f t="shared" si="28"/>
        <v>x</v>
      </c>
      <c r="Z115" s="142">
        <f t="shared" si="29"/>
        <v>0</v>
      </c>
      <c r="AA115" s="140"/>
      <c r="AB115" s="141" t="str">
        <f>IF(COUNT(ngay14!$D$21)&gt;0,ngay14!$D$21,"")</f>
        <v/>
      </c>
      <c r="AC115" s="140" t="str">
        <f t="shared" si="30"/>
        <v>x</v>
      </c>
      <c r="AD115" s="143">
        <f t="shared" si="31"/>
        <v>0</v>
      </c>
      <c r="AE115" s="147"/>
      <c r="AF115" s="147"/>
    </row>
    <row r="116" spans="1:32">
      <c r="A116" s="41"/>
      <c r="B116" s="48">
        <v>4</v>
      </c>
      <c r="C116" s="37" t="str">
        <f>IF(COUNT(ngay14!$Q$31)&gt;0,ngay14!$Q$31,"")</f>
        <v/>
      </c>
      <c r="D116" s="137" t="str">
        <f t="shared" si="16"/>
        <v>x</v>
      </c>
      <c r="E116" s="49">
        <f t="shared" si="17"/>
        <v>0</v>
      </c>
      <c r="F116" s="34"/>
      <c r="G116" s="37" t="str">
        <f>IF(COUNT(ngay14!$E$4)&gt;0,ngay14!$E$4,"")</f>
        <v/>
      </c>
      <c r="H116" s="34" t="str">
        <f t="shared" si="18"/>
        <v>x</v>
      </c>
      <c r="I116" s="38">
        <f t="shared" si="19"/>
        <v>0</v>
      </c>
      <c r="J116" s="37" t="str">
        <f>IF(COUNT(ngay14!$Q$33)&gt;0,ngay14!$Q$33,"")</f>
        <v/>
      </c>
      <c r="K116" s="137" t="str">
        <f t="shared" si="20"/>
        <v>x</v>
      </c>
      <c r="L116" s="49">
        <f t="shared" si="21"/>
        <v>0</v>
      </c>
      <c r="M116" s="34"/>
      <c r="N116" s="37" t="str">
        <f>IF(COUNT(ngay14!$E$6)&gt;0,ngay14!$E$6,"")</f>
        <v/>
      </c>
      <c r="O116" s="34" t="str">
        <f t="shared" si="22"/>
        <v>x</v>
      </c>
      <c r="P116" s="38">
        <f t="shared" si="23"/>
        <v>0</v>
      </c>
      <c r="Q116" s="37" t="str">
        <f>IF(COUNT(ngay14!$Q$39)&gt;0,ngay14!$Q$39,"")</f>
        <v/>
      </c>
      <c r="R116" s="137" t="str">
        <f t="shared" si="24"/>
        <v>x</v>
      </c>
      <c r="S116" s="49">
        <f t="shared" si="25"/>
        <v>0</v>
      </c>
      <c r="T116" s="34"/>
      <c r="U116" s="37" t="str">
        <f>IF(COUNT(ngay14!$E$12)&gt;0,ngay14!$E$12,"")</f>
        <v/>
      </c>
      <c r="V116" s="34" t="str">
        <f t="shared" si="26"/>
        <v>x</v>
      </c>
      <c r="W116" s="38">
        <f t="shared" si="27"/>
        <v>0</v>
      </c>
      <c r="X116" s="37" t="str">
        <f>IF(COUNT(ngay14!$Q$48)&gt;0,ngay14!$Q$48,"")</f>
        <v/>
      </c>
      <c r="Y116" s="137" t="str">
        <f t="shared" si="28"/>
        <v>x</v>
      </c>
      <c r="Z116" s="49">
        <f t="shared" si="29"/>
        <v>0</v>
      </c>
      <c r="AA116" s="34"/>
      <c r="AB116" s="37" t="str">
        <f>IF(COUNT(ngay14!$E$21)&gt;0,ngay14!$E$21,"")</f>
        <v/>
      </c>
      <c r="AC116" s="34" t="str">
        <f t="shared" si="30"/>
        <v>x</v>
      </c>
      <c r="AD116" s="38">
        <f t="shared" si="31"/>
        <v>0</v>
      </c>
    </row>
    <row r="117" spans="1:32">
      <c r="A117" s="41"/>
      <c r="B117" s="139">
        <v>7</v>
      </c>
      <c r="C117" s="37" t="str">
        <f>IF(COUNT(ngay14!$R$31)&gt;0,ngay14!$R$31,"")</f>
        <v/>
      </c>
      <c r="D117" s="137" t="str">
        <f t="shared" si="16"/>
        <v>x</v>
      </c>
      <c r="E117" s="49">
        <f t="shared" si="17"/>
        <v>0</v>
      </c>
      <c r="F117" s="34"/>
      <c r="G117" s="37" t="str">
        <f>IF(COUNT(ngay14!$F$4)&gt;0,ngay14!$F$4,"")</f>
        <v/>
      </c>
      <c r="H117" s="34" t="str">
        <f t="shared" si="18"/>
        <v>x</v>
      </c>
      <c r="I117" s="38">
        <f t="shared" si="19"/>
        <v>0</v>
      </c>
      <c r="J117" s="37" t="str">
        <f>IF(COUNT(ngay14!$R$33)&gt;0,ngay14!$R$33,"")</f>
        <v/>
      </c>
      <c r="K117" s="137" t="str">
        <f t="shared" si="20"/>
        <v>x</v>
      </c>
      <c r="L117" s="49">
        <f t="shared" si="21"/>
        <v>0</v>
      </c>
      <c r="M117" s="34"/>
      <c r="N117" s="37" t="str">
        <f>IF(COUNT(ngay14!$F$6)&gt;0,ngay14!$F$6,"")</f>
        <v/>
      </c>
      <c r="O117" s="34" t="str">
        <f t="shared" si="22"/>
        <v>x</v>
      </c>
      <c r="P117" s="38">
        <f t="shared" si="23"/>
        <v>0</v>
      </c>
      <c r="Q117" s="37" t="str">
        <f>IF(COUNT(ngay14!$R$39)&gt;0,ngay14!$R$39,"")</f>
        <v/>
      </c>
      <c r="R117" s="137" t="str">
        <f t="shared" si="24"/>
        <v>x</v>
      </c>
      <c r="S117" s="49">
        <f t="shared" si="25"/>
        <v>0</v>
      </c>
      <c r="T117" s="34"/>
      <c r="U117" s="37" t="str">
        <f>IF(COUNT(ngay14!$F$12)&gt;0,ngay14!$F$12,"")</f>
        <v/>
      </c>
      <c r="V117" s="34" t="str">
        <f t="shared" si="26"/>
        <v>x</v>
      </c>
      <c r="W117" s="38">
        <f t="shared" si="27"/>
        <v>0</v>
      </c>
      <c r="X117" s="37" t="str">
        <f>IF(COUNT(ngay14!$R$48)&gt;0,ngay14!$R$48,"")</f>
        <v/>
      </c>
      <c r="Y117" s="137" t="str">
        <f t="shared" si="28"/>
        <v>x</v>
      </c>
      <c r="Z117" s="49">
        <f t="shared" si="29"/>
        <v>0</v>
      </c>
      <c r="AA117" s="34"/>
      <c r="AB117" s="37" t="str">
        <f>IF(COUNT(ngay14!$F$21)&gt;0,ngay14!$F$21,"")</f>
        <v/>
      </c>
      <c r="AC117" s="34" t="str">
        <f t="shared" si="30"/>
        <v>x</v>
      </c>
      <c r="AD117" s="38">
        <f t="shared" si="31"/>
        <v>0</v>
      </c>
    </row>
    <row r="118" spans="1:32">
      <c r="A118" s="41"/>
      <c r="B118" s="48">
        <v>10</v>
      </c>
      <c r="C118" s="37" t="str">
        <f>IF(COUNT(ngay14!$S$31)&gt;0,ngay14!$S$31,"")</f>
        <v/>
      </c>
      <c r="D118" s="137" t="str">
        <f t="shared" si="16"/>
        <v>x</v>
      </c>
      <c r="E118" s="49">
        <f t="shared" si="17"/>
        <v>0</v>
      </c>
      <c r="F118" s="34"/>
      <c r="G118" s="37" t="str">
        <f>IF(COUNT(ngay14!$G$4)&gt;0,ngay14!$G$4,"")</f>
        <v/>
      </c>
      <c r="H118" s="34" t="str">
        <f t="shared" si="18"/>
        <v>x</v>
      </c>
      <c r="I118" s="38">
        <f t="shared" si="19"/>
        <v>0</v>
      </c>
      <c r="J118" s="37" t="str">
        <f>IF(COUNT(ngay14!$S$33)&gt;0,ngay14!$S$33,"")</f>
        <v/>
      </c>
      <c r="K118" s="137" t="str">
        <f t="shared" si="20"/>
        <v>x</v>
      </c>
      <c r="L118" s="49">
        <f t="shared" si="21"/>
        <v>0</v>
      </c>
      <c r="M118" s="34"/>
      <c r="N118" s="37" t="str">
        <f>IF(COUNT(ngay14!$G$6)&gt;0,ngay14!$G$6,"")</f>
        <v/>
      </c>
      <c r="O118" s="34" t="str">
        <f t="shared" si="22"/>
        <v>x</v>
      </c>
      <c r="P118" s="38">
        <f t="shared" si="23"/>
        <v>0</v>
      </c>
      <c r="Q118" s="37" t="str">
        <f>IF(COUNT(ngay14!$S$39)&gt;0,ngay14!$S$39,"")</f>
        <v/>
      </c>
      <c r="R118" s="137" t="str">
        <f t="shared" si="24"/>
        <v>x</v>
      </c>
      <c r="S118" s="49">
        <f t="shared" si="25"/>
        <v>0</v>
      </c>
      <c r="T118" s="34"/>
      <c r="U118" s="37" t="str">
        <f>IF(COUNT(ngay14!$G$12)&gt;0,ngay14!$G$12,"")</f>
        <v/>
      </c>
      <c r="V118" s="34" t="str">
        <f t="shared" si="26"/>
        <v>x</v>
      </c>
      <c r="W118" s="38">
        <f t="shared" si="27"/>
        <v>0</v>
      </c>
      <c r="X118" s="37" t="str">
        <f>IF(COUNT(ngay14!$S$48)&gt;0,ngay14!$S$48,"")</f>
        <v/>
      </c>
      <c r="Y118" s="137" t="str">
        <f t="shared" si="28"/>
        <v>x</v>
      </c>
      <c r="Z118" s="49">
        <f t="shared" si="29"/>
        <v>0</v>
      </c>
      <c r="AA118" s="34"/>
      <c r="AB118" s="37" t="str">
        <f>IF(COUNT(ngay14!$G$21)&gt;0,ngay14!$G$21,"")</f>
        <v/>
      </c>
      <c r="AC118" s="34" t="str">
        <f t="shared" si="30"/>
        <v>x</v>
      </c>
      <c r="AD118" s="38">
        <f t="shared" si="31"/>
        <v>0</v>
      </c>
    </row>
    <row r="119" spans="1:32">
      <c r="A119" s="41"/>
      <c r="B119" s="48">
        <v>13</v>
      </c>
      <c r="C119" s="37" t="str">
        <f>IF(COUNT(ngay14!$T$31)&gt;0,ngay14!$T$31,"")</f>
        <v/>
      </c>
      <c r="D119" s="137" t="str">
        <f t="shared" si="16"/>
        <v>x</v>
      </c>
      <c r="E119" s="49">
        <f t="shared" si="17"/>
        <v>0</v>
      </c>
      <c r="F119" s="34"/>
      <c r="G119" s="37" t="str">
        <f>IF(COUNT(ngay14!$H$4)&gt;0,ngay14!$H$4,"")</f>
        <v/>
      </c>
      <c r="H119" s="34" t="str">
        <f t="shared" si="18"/>
        <v>x</v>
      </c>
      <c r="I119" s="38">
        <f t="shared" si="19"/>
        <v>0</v>
      </c>
      <c r="J119" s="37" t="str">
        <f>IF(COUNT(ngay14!$T$33)&gt;0,ngay14!$T$33,"")</f>
        <v/>
      </c>
      <c r="K119" s="137" t="str">
        <f t="shared" si="20"/>
        <v>x</v>
      </c>
      <c r="L119" s="49">
        <f t="shared" si="21"/>
        <v>0</v>
      </c>
      <c r="M119" s="34"/>
      <c r="N119" s="37" t="str">
        <f>IF(COUNT(ngay14!$H$6)&gt;0,ngay14!$H$6,"")</f>
        <v/>
      </c>
      <c r="O119" s="34" t="str">
        <f t="shared" si="22"/>
        <v>x</v>
      </c>
      <c r="P119" s="38">
        <f t="shared" si="23"/>
        <v>0</v>
      </c>
      <c r="Q119" s="37" t="str">
        <f>IF(COUNT(ngay14!$T$39)&gt;0,ngay14!$T$39,"")</f>
        <v/>
      </c>
      <c r="R119" s="137" t="str">
        <f t="shared" si="24"/>
        <v>x</v>
      </c>
      <c r="S119" s="49">
        <f t="shared" si="25"/>
        <v>0</v>
      </c>
      <c r="T119" s="34"/>
      <c r="U119" s="37" t="str">
        <f>IF(COUNT(ngay14!$H$12)&gt;0,ngay14!$H$12,"")</f>
        <v/>
      </c>
      <c r="V119" s="34" t="str">
        <f t="shared" si="26"/>
        <v>x</v>
      </c>
      <c r="W119" s="38">
        <f t="shared" si="27"/>
        <v>0</v>
      </c>
      <c r="X119" s="37" t="str">
        <f>IF(COUNT(ngay14!$T$48)&gt;0,ngay14!$T$48,"")</f>
        <v/>
      </c>
      <c r="Y119" s="137" t="str">
        <f t="shared" si="28"/>
        <v>x</v>
      </c>
      <c r="Z119" s="49">
        <f t="shared" si="29"/>
        <v>0</v>
      </c>
      <c r="AA119" s="34"/>
      <c r="AB119" s="37" t="str">
        <f>IF(COUNT(ngay14!$H$21)&gt;0,ngay14!$H$21,"")</f>
        <v/>
      </c>
      <c r="AC119" s="34" t="str">
        <f t="shared" si="30"/>
        <v>x</v>
      </c>
      <c r="AD119" s="38">
        <f t="shared" si="31"/>
        <v>0</v>
      </c>
    </row>
    <row r="120" spans="1:32">
      <c r="A120" s="41"/>
      <c r="B120" s="48">
        <v>16</v>
      </c>
      <c r="C120" s="37" t="str">
        <f>IF(COUNT(ngay14!$U$31)&gt;0,ngay14!$U$31,"")</f>
        <v/>
      </c>
      <c r="D120" s="137" t="str">
        <f t="shared" si="16"/>
        <v>x</v>
      </c>
      <c r="E120" s="49">
        <f t="shared" si="17"/>
        <v>0</v>
      </c>
      <c r="F120" s="34"/>
      <c r="G120" s="37" t="str">
        <f>IF(COUNT(ngay14!$I$4)&gt;0,ngay14!$I$4,"")</f>
        <v/>
      </c>
      <c r="H120" s="34" t="str">
        <f t="shared" si="18"/>
        <v>x</v>
      </c>
      <c r="I120" s="38">
        <f t="shared" si="19"/>
        <v>0</v>
      </c>
      <c r="J120" s="37" t="str">
        <f>IF(COUNT(ngay14!$U$33)&gt;0,ngay14!$U$33,"")</f>
        <v/>
      </c>
      <c r="K120" s="137" t="str">
        <f t="shared" si="20"/>
        <v>x</v>
      </c>
      <c r="L120" s="49">
        <f t="shared" si="21"/>
        <v>0</v>
      </c>
      <c r="M120" s="34"/>
      <c r="N120" s="37" t="str">
        <f>IF(COUNT(ngay14!$I$6)&gt;0,ngay14!$I$6,"")</f>
        <v/>
      </c>
      <c r="O120" s="34" t="str">
        <f t="shared" si="22"/>
        <v>x</v>
      </c>
      <c r="P120" s="38">
        <f t="shared" si="23"/>
        <v>0</v>
      </c>
      <c r="Q120" s="37" t="str">
        <f>IF(COUNT(ngay14!$U$39)&gt;0,ngay14!$U$39,"")</f>
        <v/>
      </c>
      <c r="R120" s="137" t="str">
        <f t="shared" si="24"/>
        <v>x</v>
      </c>
      <c r="S120" s="49">
        <f t="shared" si="25"/>
        <v>0</v>
      </c>
      <c r="T120" s="34"/>
      <c r="U120" s="37" t="str">
        <f>IF(COUNT(ngay14!$I$12)&gt;0,ngay14!$I$12,"")</f>
        <v/>
      </c>
      <c r="V120" s="34" t="str">
        <f t="shared" si="26"/>
        <v>x</v>
      </c>
      <c r="W120" s="38">
        <f t="shared" si="27"/>
        <v>0</v>
      </c>
      <c r="X120" s="37" t="str">
        <f>IF(COUNT(ngay14!$U$48)&gt;0,ngay14!$U$48,"")</f>
        <v/>
      </c>
      <c r="Y120" s="137" t="str">
        <f t="shared" si="28"/>
        <v>x</v>
      </c>
      <c r="Z120" s="49">
        <f t="shared" si="29"/>
        <v>0</v>
      </c>
      <c r="AA120" s="34"/>
      <c r="AB120" s="37" t="str">
        <f>IF(COUNT(ngay14!$I$21)&gt;0,ngay14!$I$21,"")</f>
        <v/>
      </c>
      <c r="AC120" s="34" t="str">
        <f t="shared" si="30"/>
        <v>x</v>
      </c>
      <c r="AD120" s="38">
        <f t="shared" si="31"/>
        <v>0</v>
      </c>
    </row>
    <row r="121" spans="1:32">
      <c r="A121" s="41"/>
      <c r="B121" s="48">
        <v>19</v>
      </c>
      <c r="C121" s="37" t="str">
        <f>IF(COUNT(ngay14!$V$31)&gt;0,ngay14!$V$31,"")</f>
        <v/>
      </c>
      <c r="D121" s="137" t="str">
        <f t="shared" si="16"/>
        <v>x</v>
      </c>
      <c r="E121" s="49">
        <f t="shared" si="17"/>
        <v>0</v>
      </c>
      <c r="F121" s="34"/>
      <c r="G121" s="37" t="str">
        <f>IF(COUNT(ngay14!$J$4)&gt;0,ngay14!$J$4,"")</f>
        <v/>
      </c>
      <c r="H121" s="34" t="str">
        <f t="shared" si="18"/>
        <v>x</v>
      </c>
      <c r="I121" s="38">
        <f t="shared" si="19"/>
        <v>0</v>
      </c>
      <c r="J121" s="37" t="str">
        <f>IF(COUNT(ngay14!$V$33)&gt;0,ngay14!$V$33,"")</f>
        <v/>
      </c>
      <c r="K121" s="137" t="str">
        <f t="shared" si="20"/>
        <v>x</v>
      </c>
      <c r="L121" s="49">
        <f t="shared" si="21"/>
        <v>0</v>
      </c>
      <c r="M121" s="34"/>
      <c r="N121" s="37" t="str">
        <f>IF(COUNT(ngay14!$J$6)&gt;0,ngay14!$J$6,"")</f>
        <v/>
      </c>
      <c r="O121" s="34" t="str">
        <f t="shared" si="22"/>
        <v>x</v>
      </c>
      <c r="P121" s="38">
        <f t="shared" si="23"/>
        <v>0</v>
      </c>
      <c r="Q121" s="37" t="str">
        <f>IF(COUNT(ngay14!$V$39)&gt;0,ngay14!$V$39,"")</f>
        <v/>
      </c>
      <c r="R121" s="137" t="str">
        <f t="shared" si="24"/>
        <v>x</v>
      </c>
      <c r="S121" s="49">
        <f t="shared" si="25"/>
        <v>0</v>
      </c>
      <c r="T121" s="34"/>
      <c r="U121" s="37" t="str">
        <f>IF(COUNT(ngay14!$J$12)&gt;0,ngay14!$J$12,"")</f>
        <v/>
      </c>
      <c r="V121" s="34" t="str">
        <f t="shared" si="26"/>
        <v>x</v>
      </c>
      <c r="W121" s="38">
        <f t="shared" si="27"/>
        <v>0</v>
      </c>
      <c r="X121" s="37" t="str">
        <f>IF(COUNT(ngay14!$V$48)&gt;0,ngay14!$V$48,"")</f>
        <v/>
      </c>
      <c r="Y121" s="137" t="str">
        <f t="shared" si="28"/>
        <v>x</v>
      </c>
      <c r="Z121" s="49">
        <f t="shared" si="29"/>
        <v>0</v>
      </c>
      <c r="AA121" s="34"/>
      <c r="AB121" s="37" t="str">
        <f>IF(COUNT(ngay14!$J$21)&gt;0,ngay14!$J$21,"")</f>
        <v/>
      </c>
      <c r="AC121" s="34" t="str">
        <f t="shared" si="30"/>
        <v>x</v>
      </c>
      <c r="AD121" s="38">
        <f t="shared" si="31"/>
        <v>0</v>
      </c>
    </row>
    <row r="122" spans="1:32">
      <c r="A122" s="41"/>
      <c r="B122" s="48">
        <v>22</v>
      </c>
      <c r="C122" s="37" t="str">
        <f>IF(COUNT(ngay15!$O$31)&gt;0,ngay15!$O$31,"")</f>
        <v/>
      </c>
      <c r="D122" s="137" t="str">
        <f t="shared" si="16"/>
        <v>x</v>
      </c>
      <c r="E122" s="49">
        <f t="shared" si="17"/>
        <v>0</v>
      </c>
      <c r="F122" s="34"/>
      <c r="G122" s="37" t="str">
        <f>IF(COUNT(ngay15!$C$4)&gt;0,ngay15!$C$4,"")</f>
        <v/>
      </c>
      <c r="H122" s="34" t="str">
        <f t="shared" si="18"/>
        <v>x</v>
      </c>
      <c r="I122" s="38">
        <f t="shared" si="19"/>
        <v>0</v>
      </c>
      <c r="J122" s="37" t="str">
        <f>IF(COUNT(ngay15!$O$33)&gt;0,ngay15!$O$33,"")</f>
        <v/>
      </c>
      <c r="K122" s="137" t="str">
        <f t="shared" si="20"/>
        <v>x</v>
      </c>
      <c r="L122" s="49">
        <f t="shared" si="21"/>
        <v>0</v>
      </c>
      <c r="M122" s="34"/>
      <c r="N122" s="37" t="str">
        <f>IF(COUNT(ngay15!$C$6)&gt;0,ngay15!$C$6,"")</f>
        <v/>
      </c>
      <c r="O122" s="34" t="str">
        <f t="shared" si="22"/>
        <v>x</v>
      </c>
      <c r="P122" s="38">
        <f t="shared" si="23"/>
        <v>0</v>
      </c>
      <c r="Q122" s="37" t="str">
        <f>IF(COUNT(ngay15!$O$39)&gt;0,ngay15!$O$39,"")</f>
        <v/>
      </c>
      <c r="R122" s="137" t="str">
        <f t="shared" si="24"/>
        <v>x</v>
      </c>
      <c r="S122" s="49">
        <f t="shared" si="25"/>
        <v>0</v>
      </c>
      <c r="T122" s="34"/>
      <c r="U122" s="37" t="str">
        <f>IF(COUNT(ngay15!$C$12)&gt;0,ngay15!$C$12,"")</f>
        <v/>
      </c>
      <c r="V122" s="34" t="str">
        <f t="shared" si="26"/>
        <v>x</v>
      </c>
      <c r="W122" s="38">
        <f t="shared" si="27"/>
        <v>0</v>
      </c>
      <c r="X122" s="37" t="str">
        <f>IF(COUNT(ngay15!$O$48)&gt;0,ngay15!$O$48,"")</f>
        <v/>
      </c>
      <c r="Y122" s="137" t="str">
        <f t="shared" si="28"/>
        <v>x</v>
      </c>
      <c r="Z122" s="49">
        <f t="shared" si="29"/>
        <v>0</v>
      </c>
      <c r="AA122" s="34"/>
      <c r="AB122" s="37" t="str">
        <f>IF(COUNT(ngay15!$C$21)&gt;0,ngay15!$C$21,"")</f>
        <v/>
      </c>
      <c r="AC122" s="34" t="str">
        <f t="shared" si="30"/>
        <v>x</v>
      </c>
      <c r="AD122" s="38">
        <f t="shared" si="31"/>
        <v>0</v>
      </c>
    </row>
    <row r="123" spans="1:32" s="145" customFormat="1">
      <c r="A123" s="146">
        <v>15</v>
      </c>
      <c r="B123" s="48">
        <v>1</v>
      </c>
      <c r="C123" s="141" t="str">
        <f>IF(COUNT(ngay15!$P$31)&gt;0,ngay15!$P$31,"")</f>
        <v/>
      </c>
      <c r="D123" s="144" t="str">
        <f t="shared" si="16"/>
        <v>x</v>
      </c>
      <c r="E123" s="142">
        <f t="shared" si="17"/>
        <v>0</v>
      </c>
      <c r="F123" s="140"/>
      <c r="G123" s="141" t="str">
        <f>IF(COUNT(ngay15!$D$4)&gt;0,ngay15!$D$4,"")</f>
        <v/>
      </c>
      <c r="H123" s="140" t="str">
        <f t="shared" si="18"/>
        <v>x</v>
      </c>
      <c r="I123" s="143">
        <f t="shared" si="19"/>
        <v>0</v>
      </c>
      <c r="J123" s="141" t="str">
        <f>IF(COUNT(ngay15!$P$33)&gt;0,ngay15!$P$33,"")</f>
        <v/>
      </c>
      <c r="K123" s="144" t="str">
        <f t="shared" si="20"/>
        <v>x</v>
      </c>
      <c r="L123" s="142">
        <f t="shared" si="21"/>
        <v>0</v>
      </c>
      <c r="M123" s="140"/>
      <c r="N123" s="141" t="str">
        <f>IF(COUNT(ngay15!$D$6)&gt;0,ngay15!$D$6,"")</f>
        <v/>
      </c>
      <c r="O123" s="140" t="str">
        <f t="shared" si="22"/>
        <v>x</v>
      </c>
      <c r="P123" s="143">
        <f t="shared" si="23"/>
        <v>0</v>
      </c>
      <c r="Q123" s="141" t="str">
        <f>IF(COUNT(ngay15!$P$39)&gt;0,ngay15!$P$39,"")</f>
        <v/>
      </c>
      <c r="R123" s="144" t="str">
        <f t="shared" si="24"/>
        <v>x</v>
      </c>
      <c r="S123" s="142">
        <f t="shared" si="25"/>
        <v>0</v>
      </c>
      <c r="T123" s="140"/>
      <c r="U123" s="141" t="str">
        <f>IF(COUNT(ngay15!$D$12)&gt;0,ngay15!$D$12,"")</f>
        <v/>
      </c>
      <c r="V123" s="140" t="str">
        <f t="shared" si="26"/>
        <v>x</v>
      </c>
      <c r="W123" s="143">
        <f t="shared" si="27"/>
        <v>0</v>
      </c>
      <c r="X123" s="141" t="str">
        <f>IF(COUNT(ngay15!$P$48)&gt;0,ngay15!$P$48,"")</f>
        <v/>
      </c>
      <c r="Y123" s="144" t="str">
        <f t="shared" si="28"/>
        <v>x</v>
      </c>
      <c r="Z123" s="142">
        <f t="shared" si="29"/>
        <v>0</v>
      </c>
      <c r="AA123" s="140"/>
      <c r="AB123" s="141" t="str">
        <f>IF(COUNT(ngay15!$D$21)&gt;0,ngay15!$D$21,"")</f>
        <v/>
      </c>
      <c r="AC123" s="140" t="str">
        <f t="shared" si="30"/>
        <v>x</v>
      </c>
      <c r="AD123" s="143">
        <f t="shared" si="31"/>
        <v>0</v>
      </c>
      <c r="AE123" s="147"/>
      <c r="AF123" s="147"/>
    </row>
    <row r="124" spans="1:32">
      <c r="A124" s="41"/>
      <c r="B124" s="48">
        <v>4</v>
      </c>
      <c r="C124" s="37" t="str">
        <f>IF(COUNT(ngay15!$Q$31)&gt;0,ngay15!$Q$31,"")</f>
        <v/>
      </c>
      <c r="D124" s="137" t="str">
        <f t="shared" si="16"/>
        <v>x</v>
      </c>
      <c r="E124" s="49">
        <f t="shared" si="17"/>
        <v>0</v>
      </c>
      <c r="F124" s="34"/>
      <c r="G124" s="37" t="str">
        <f>IF(COUNT(ngay15!$E$4)&gt;0,ngay15!$E$4,"")</f>
        <v/>
      </c>
      <c r="H124" s="34" t="str">
        <f t="shared" si="18"/>
        <v>x</v>
      </c>
      <c r="I124" s="38">
        <f t="shared" si="19"/>
        <v>0</v>
      </c>
      <c r="J124" s="37" t="str">
        <f>IF(COUNT(ngay15!$Q$33)&gt;0,ngay15!$Q$33,"")</f>
        <v/>
      </c>
      <c r="K124" s="137" t="str">
        <f t="shared" si="20"/>
        <v>x</v>
      </c>
      <c r="L124" s="49">
        <f t="shared" si="21"/>
        <v>0</v>
      </c>
      <c r="M124" s="34"/>
      <c r="N124" s="37" t="str">
        <f>IF(COUNT(ngay15!$E$6)&gt;0,ngay15!$E$6,"")</f>
        <v/>
      </c>
      <c r="O124" s="34" t="str">
        <f t="shared" si="22"/>
        <v>x</v>
      </c>
      <c r="P124" s="38">
        <f t="shared" si="23"/>
        <v>0</v>
      </c>
      <c r="Q124" s="37" t="str">
        <f>IF(COUNT(ngay15!$Q$39)&gt;0,ngay15!$Q$39,"")</f>
        <v/>
      </c>
      <c r="R124" s="137" t="str">
        <f t="shared" si="24"/>
        <v>x</v>
      </c>
      <c r="S124" s="49">
        <f t="shared" si="25"/>
        <v>0</v>
      </c>
      <c r="T124" s="34"/>
      <c r="U124" s="37" t="str">
        <f>IF(COUNT(ngay15!$E$12)&gt;0,ngay15!$E$12,"")</f>
        <v/>
      </c>
      <c r="V124" s="34" t="str">
        <f t="shared" si="26"/>
        <v>x</v>
      </c>
      <c r="W124" s="38">
        <f t="shared" si="27"/>
        <v>0</v>
      </c>
      <c r="X124" s="37" t="str">
        <f>IF(COUNT(ngay15!$Q$48)&gt;0,ngay15!$Q$48,"")</f>
        <v/>
      </c>
      <c r="Y124" s="137" t="str">
        <f t="shared" si="28"/>
        <v>x</v>
      </c>
      <c r="Z124" s="49">
        <f t="shared" si="29"/>
        <v>0</v>
      </c>
      <c r="AA124" s="34"/>
      <c r="AB124" s="37" t="str">
        <f>IF(COUNT(ngay15!$E$21)&gt;0,ngay15!$E$21,"")</f>
        <v/>
      </c>
      <c r="AC124" s="34" t="str">
        <f t="shared" si="30"/>
        <v>x</v>
      </c>
      <c r="AD124" s="38">
        <f t="shared" si="31"/>
        <v>0</v>
      </c>
    </row>
    <row r="125" spans="1:32">
      <c r="A125" s="41"/>
      <c r="B125" s="139">
        <v>7</v>
      </c>
      <c r="C125" s="37" t="str">
        <f>IF(COUNT(ngay15!$R$31)&gt;0,ngay15!$R$31,"")</f>
        <v/>
      </c>
      <c r="D125" s="137" t="str">
        <f t="shared" si="16"/>
        <v>x</v>
      </c>
      <c r="E125" s="49">
        <f t="shared" si="17"/>
        <v>0</v>
      </c>
      <c r="F125" s="34"/>
      <c r="G125" s="37" t="str">
        <f>IF(COUNT(ngay15!$F$4)&gt;0,ngay15!$F$4,"")</f>
        <v/>
      </c>
      <c r="H125" s="34" t="str">
        <f t="shared" si="18"/>
        <v>x</v>
      </c>
      <c r="I125" s="38">
        <f t="shared" si="19"/>
        <v>0</v>
      </c>
      <c r="J125" s="37" t="str">
        <f>IF(COUNT(ngay15!$R$33)&gt;0,ngay15!$R$33,"")</f>
        <v/>
      </c>
      <c r="K125" s="137" t="str">
        <f t="shared" si="20"/>
        <v>x</v>
      </c>
      <c r="L125" s="49">
        <f t="shared" si="21"/>
        <v>0</v>
      </c>
      <c r="M125" s="34"/>
      <c r="N125" s="37" t="str">
        <f>IF(COUNT(ngay15!$F$6)&gt;0,ngay15!$F$6,"")</f>
        <v/>
      </c>
      <c r="O125" s="34" t="str">
        <f t="shared" si="22"/>
        <v>x</v>
      </c>
      <c r="P125" s="38">
        <f t="shared" si="23"/>
        <v>0</v>
      </c>
      <c r="Q125" s="37" t="str">
        <f>IF(COUNT(ngay15!$R$39)&gt;0,ngay15!$R$39,"")</f>
        <v/>
      </c>
      <c r="R125" s="137" t="str">
        <f t="shared" si="24"/>
        <v>x</v>
      </c>
      <c r="S125" s="49">
        <f t="shared" si="25"/>
        <v>0</v>
      </c>
      <c r="T125" s="34"/>
      <c r="U125" s="37" t="str">
        <f>IF(COUNT(ngay15!$F$12)&gt;0,ngay15!$F$12,"")</f>
        <v/>
      </c>
      <c r="V125" s="34" t="str">
        <f t="shared" si="26"/>
        <v>x</v>
      </c>
      <c r="W125" s="38">
        <f t="shared" si="27"/>
        <v>0</v>
      </c>
      <c r="X125" s="37" t="str">
        <f>IF(COUNT(ngay15!$R$48)&gt;0,ngay15!$R$48,"")</f>
        <v/>
      </c>
      <c r="Y125" s="137" t="str">
        <f t="shared" si="28"/>
        <v>x</v>
      </c>
      <c r="Z125" s="49">
        <f t="shared" si="29"/>
        <v>0</v>
      </c>
      <c r="AA125" s="34"/>
      <c r="AB125" s="37" t="str">
        <f>IF(COUNT(ngay15!$F$21)&gt;0,ngay15!$F$21,"")</f>
        <v/>
      </c>
      <c r="AC125" s="34" t="str">
        <f t="shared" si="30"/>
        <v>x</v>
      </c>
      <c r="AD125" s="38">
        <f t="shared" si="31"/>
        <v>0</v>
      </c>
    </row>
    <row r="126" spans="1:32">
      <c r="A126" s="41"/>
      <c r="B126" s="48">
        <v>10</v>
      </c>
      <c r="C126" s="37" t="str">
        <f>IF(COUNT(ngay15!$S$31)&gt;0,ngay15!$S$31,"")</f>
        <v/>
      </c>
      <c r="D126" s="137" t="str">
        <f t="shared" si="16"/>
        <v>x</v>
      </c>
      <c r="E126" s="49">
        <f t="shared" si="17"/>
        <v>0</v>
      </c>
      <c r="F126" s="34"/>
      <c r="G126" s="37" t="str">
        <f>IF(COUNT(ngay15!$G$4)&gt;0,ngay15!$G$4,"")</f>
        <v/>
      </c>
      <c r="H126" s="34" t="str">
        <f t="shared" si="18"/>
        <v>x</v>
      </c>
      <c r="I126" s="38">
        <f t="shared" si="19"/>
        <v>0</v>
      </c>
      <c r="J126" s="37" t="str">
        <f>IF(COUNT(ngay15!$S$33)&gt;0,ngay15!$S$33,"")</f>
        <v/>
      </c>
      <c r="K126" s="137" t="str">
        <f t="shared" si="20"/>
        <v>x</v>
      </c>
      <c r="L126" s="49">
        <f t="shared" si="21"/>
        <v>0</v>
      </c>
      <c r="M126" s="34"/>
      <c r="N126" s="37" t="str">
        <f>IF(COUNT(ngay15!$G$6)&gt;0,ngay15!$G$6,"")</f>
        <v/>
      </c>
      <c r="O126" s="34" t="str">
        <f t="shared" si="22"/>
        <v>x</v>
      </c>
      <c r="P126" s="38">
        <f t="shared" si="23"/>
        <v>0</v>
      </c>
      <c r="Q126" s="37" t="str">
        <f>IF(COUNT(ngay15!$S$39)&gt;0,ngay15!$S$39,"")</f>
        <v/>
      </c>
      <c r="R126" s="137" t="str">
        <f t="shared" si="24"/>
        <v>x</v>
      </c>
      <c r="S126" s="49">
        <f t="shared" si="25"/>
        <v>0</v>
      </c>
      <c r="T126" s="34"/>
      <c r="U126" s="37" t="str">
        <f>IF(COUNT(ngay15!$G$12)&gt;0,ngay15!$G$12,"")</f>
        <v/>
      </c>
      <c r="V126" s="34" t="str">
        <f t="shared" si="26"/>
        <v>x</v>
      </c>
      <c r="W126" s="38">
        <f t="shared" si="27"/>
        <v>0</v>
      </c>
      <c r="X126" s="37" t="str">
        <f>IF(COUNT(ngay15!$S$48)&gt;0,ngay15!$S$48,"")</f>
        <v/>
      </c>
      <c r="Y126" s="137" t="str">
        <f t="shared" si="28"/>
        <v>x</v>
      </c>
      <c r="Z126" s="49">
        <f t="shared" si="29"/>
        <v>0</v>
      </c>
      <c r="AA126" s="34"/>
      <c r="AB126" s="37" t="str">
        <f>IF(COUNT(ngay15!$G$21)&gt;0,ngay15!$G$21,"")</f>
        <v/>
      </c>
      <c r="AC126" s="34" t="str">
        <f t="shared" si="30"/>
        <v>x</v>
      </c>
      <c r="AD126" s="38">
        <f t="shared" si="31"/>
        <v>0</v>
      </c>
    </row>
    <row r="127" spans="1:32">
      <c r="A127" s="41"/>
      <c r="B127" s="48">
        <v>13</v>
      </c>
      <c r="C127" s="37" t="str">
        <f>IF(COUNT(ngay15!$T$31)&gt;0,ngay15!$T$31,"")</f>
        <v/>
      </c>
      <c r="D127" s="137" t="str">
        <f t="shared" si="16"/>
        <v>x</v>
      </c>
      <c r="E127" s="49">
        <f t="shared" si="17"/>
        <v>0</v>
      </c>
      <c r="F127" s="34"/>
      <c r="G127" s="37" t="str">
        <f>IF(COUNT(ngay15!$H$4)&gt;0,ngay15!$H$4,"")</f>
        <v/>
      </c>
      <c r="H127" s="34" t="str">
        <f t="shared" si="18"/>
        <v>x</v>
      </c>
      <c r="I127" s="38">
        <f t="shared" si="19"/>
        <v>0</v>
      </c>
      <c r="J127" s="37" t="str">
        <f>IF(COUNT(ngay15!$T$33)&gt;0,ngay15!$T$33,"")</f>
        <v/>
      </c>
      <c r="K127" s="137" t="str">
        <f t="shared" si="20"/>
        <v>x</v>
      </c>
      <c r="L127" s="49">
        <f t="shared" si="21"/>
        <v>0</v>
      </c>
      <c r="M127" s="34"/>
      <c r="N127" s="37" t="str">
        <f>IF(COUNT(ngay15!$H$6)&gt;0,ngay15!$H$6,"")</f>
        <v/>
      </c>
      <c r="O127" s="34" t="str">
        <f t="shared" si="22"/>
        <v>x</v>
      </c>
      <c r="P127" s="38">
        <f t="shared" si="23"/>
        <v>0</v>
      </c>
      <c r="Q127" s="37" t="str">
        <f>IF(COUNT(ngay15!$T$39)&gt;0,ngay15!$T$39,"")</f>
        <v/>
      </c>
      <c r="R127" s="137" t="str">
        <f t="shared" si="24"/>
        <v>x</v>
      </c>
      <c r="S127" s="49">
        <f t="shared" si="25"/>
        <v>0</v>
      </c>
      <c r="T127" s="34"/>
      <c r="U127" s="37" t="str">
        <f>IF(COUNT(ngay15!$H$12)&gt;0,ngay15!$H$12,"")</f>
        <v/>
      </c>
      <c r="V127" s="34" t="str">
        <f t="shared" si="26"/>
        <v>x</v>
      </c>
      <c r="W127" s="38">
        <f t="shared" si="27"/>
        <v>0</v>
      </c>
      <c r="X127" s="37" t="str">
        <f>IF(COUNT(ngay15!$T$48)&gt;0,ngay15!$T$48,"")</f>
        <v/>
      </c>
      <c r="Y127" s="137" t="str">
        <f t="shared" si="28"/>
        <v>x</v>
      </c>
      <c r="Z127" s="49">
        <f t="shared" si="29"/>
        <v>0</v>
      </c>
      <c r="AA127" s="34"/>
      <c r="AB127" s="37" t="str">
        <f>IF(COUNT(ngay15!$H$21)&gt;0,ngay15!$H$21,"")</f>
        <v/>
      </c>
      <c r="AC127" s="34" t="str">
        <f t="shared" si="30"/>
        <v>x</v>
      </c>
      <c r="AD127" s="38">
        <f t="shared" si="31"/>
        <v>0</v>
      </c>
    </row>
    <row r="128" spans="1:32">
      <c r="A128" s="41"/>
      <c r="B128" s="48">
        <v>16</v>
      </c>
      <c r="C128" s="37" t="str">
        <f>IF(COUNT(ngay15!$U$31)&gt;0,ngay15!$U$31,"")</f>
        <v/>
      </c>
      <c r="D128" s="137" t="str">
        <f t="shared" si="16"/>
        <v>x</v>
      </c>
      <c r="E128" s="49">
        <f t="shared" si="17"/>
        <v>0</v>
      </c>
      <c r="F128" s="34"/>
      <c r="G128" s="37" t="str">
        <f>IF(COUNT(ngay15!$I$4)&gt;0,ngay15!$I$4,"")</f>
        <v/>
      </c>
      <c r="H128" s="34" t="str">
        <f t="shared" si="18"/>
        <v>x</v>
      </c>
      <c r="I128" s="38">
        <f t="shared" si="19"/>
        <v>0</v>
      </c>
      <c r="J128" s="37" t="str">
        <f>IF(COUNT(ngay15!$U$33)&gt;0,ngay15!$U$33,"")</f>
        <v/>
      </c>
      <c r="K128" s="137" t="str">
        <f t="shared" si="20"/>
        <v>x</v>
      </c>
      <c r="L128" s="49">
        <f t="shared" si="21"/>
        <v>0</v>
      </c>
      <c r="M128" s="34"/>
      <c r="N128" s="37" t="str">
        <f>IF(COUNT(ngay15!$I$6)&gt;0,ngay15!$I$6,"")</f>
        <v/>
      </c>
      <c r="O128" s="34" t="str">
        <f t="shared" si="22"/>
        <v>x</v>
      </c>
      <c r="P128" s="38">
        <f t="shared" si="23"/>
        <v>0</v>
      </c>
      <c r="Q128" s="37" t="str">
        <f>IF(COUNT(ngay15!$U$39)&gt;0,ngay15!$U$39,"")</f>
        <v/>
      </c>
      <c r="R128" s="137" t="str">
        <f t="shared" si="24"/>
        <v>x</v>
      </c>
      <c r="S128" s="49">
        <f t="shared" si="25"/>
        <v>0</v>
      </c>
      <c r="T128" s="34"/>
      <c r="U128" s="37" t="str">
        <f>IF(COUNT(ngay15!$I$12)&gt;0,ngay15!$I$12,"")</f>
        <v/>
      </c>
      <c r="V128" s="34" t="str">
        <f t="shared" si="26"/>
        <v>x</v>
      </c>
      <c r="W128" s="38">
        <f t="shared" si="27"/>
        <v>0</v>
      </c>
      <c r="X128" s="37" t="str">
        <f>IF(COUNT(ngay15!$U$48)&gt;0,ngay15!$U$48,"")</f>
        <v/>
      </c>
      <c r="Y128" s="137" t="str">
        <f t="shared" si="28"/>
        <v>x</v>
      </c>
      <c r="Z128" s="49">
        <f t="shared" si="29"/>
        <v>0</v>
      </c>
      <c r="AA128" s="34"/>
      <c r="AB128" s="37" t="str">
        <f>IF(COUNT(ngay15!$I$21)&gt;0,ngay15!$I$21,"")</f>
        <v/>
      </c>
      <c r="AC128" s="34" t="str">
        <f t="shared" si="30"/>
        <v>x</v>
      </c>
      <c r="AD128" s="38">
        <f t="shared" si="31"/>
        <v>0</v>
      </c>
    </row>
    <row r="129" spans="1:32">
      <c r="A129" s="41"/>
      <c r="B129" s="48">
        <v>19</v>
      </c>
      <c r="C129" s="37" t="str">
        <f>IF(COUNT(ngay15!$V$31)&gt;0,ngay15!$V$31,"")</f>
        <v/>
      </c>
      <c r="D129" s="137" t="str">
        <f t="shared" si="16"/>
        <v>x</v>
      </c>
      <c r="E129" s="49">
        <f t="shared" si="17"/>
        <v>0</v>
      </c>
      <c r="F129" s="34"/>
      <c r="G129" s="37" t="str">
        <f>IF(COUNT(ngay15!$J$4)&gt;0,ngay15!$J$4,"")</f>
        <v/>
      </c>
      <c r="H129" s="34" t="str">
        <f t="shared" si="18"/>
        <v>x</v>
      </c>
      <c r="I129" s="38">
        <f t="shared" si="19"/>
        <v>0</v>
      </c>
      <c r="J129" s="37" t="str">
        <f>IF(COUNT(ngay15!$V$33)&gt;0,ngay15!$V$33,"")</f>
        <v/>
      </c>
      <c r="K129" s="137" t="str">
        <f t="shared" si="20"/>
        <v>x</v>
      </c>
      <c r="L129" s="49">
        <f t="shared" si="21"/>
        <v>0</v>
      </c>
      <c r="M129" s="34"/>
      <c r="N129" s="37" t="str">
        <f>IF(COUNT(ngay15!$J$6)&gt;0,ngay15!$J$6,"")</f>
        <v/>
      </c>
      <c r="O129" s="34" t="str">
        <f t="shared" si="22"/>
        <v>x</v>
      </c>
      <c r="P129" s="38">
        <f t="shared" si="23"/>
        <v>0</v>
      </c>
      <c r="Q129" s="37" t="str">
        <f>IF(COUNT(ngay15!$V$39)&gt;0,ngay15!$V$39,"")</f>
        <v/>
      </c>
      <c r="R129" s="137" t="str">
        <f t="shared" si="24"/>
        <v>x</v>
      </c>
      <c r="S129" s="49">
        <f t="shared" si="25"/>
        <v>0</v>
      </c>
      <c r="T129" s="34"/>
      <c r="U129" s="37" t="str">
        <f>IF(COUNT(ngay15!$J$12)&gt;0,ngay15!$J$12,"")</f>
        <v/>
      </c>
      <c r="V129" s="34" t="str">
        <f t="shared" si="26"/>
        <v>x</v>
      </c>
      <c r="W129" s="38">
        <f t="shared" si="27"/>
        <v>0</v>
      </c>
      <c r="X129" s="37" t="str">
        <f>IF(COUNT(ngay15!$V$48)&gt;0,ngay15!$V$48,"")</f>
        <v/>
      </c>
      <c r="Y129" s="137" t="str">
        <f t="shared" si="28"/>
        <v>x</v>
      </c>
      <c r="Z129" s="49">
        <f t="shared" si="29"/>
        <v>0</v>
      </c>
      <c r="AA129" s="34"/>
      <c r="AB129" s="37" t="str">
        <f>IF(COUNT(ngay15!$J$21)&gt;0,ngay15!$J$21,"")</f>
        <v/>
      </c>
      <c r="AC129" s="34" t="str">
        <f t="shared" si="30"/>
        <v>x</v>
      </c>
      <c r="AD129" s="38">
        <f t="shared" si="31"/>
        <v>0</v>
      </c>
    </row>
    <row r="130" spans="1:32">
      <c r="A130" s="41"/>
      <c r="B130" s="48">
        <v>22</v>
      </c>
      <c r="C130" s="37" t="str">
        <f>IF(COUNT(ngay16!$O$31)&gt;0,ngay16!$O$31,"")</f>
        <v/>
      </c>
      <c r="D130" s="137" t="str">
        <f t="shared" si="16"/>
        <v>x</v>
      </c>
      <c r="E130" s="49">
        <f t="shared" si="17"/>
        <v>0</v>
      </c>
      <c r="F130" s="34"/>
      <c r="G130" s="37" t="str">
        <f>IF(COUNT(ngay16!$C$4)&gt;0,ngay16!$C$4,"")</f>
        <v/>
      </c>
      <c r="H130" s="34" t="str">
        <f t="shared" si="18"/>
        <v>x</v>
      </c>
      <c r="I130" s="38">
        <f t="shared" si="19"/>
        <v>0</v>
      </c>
      <c r="J130" s="37" t="str">
        <f>IF(COUNT(ngay16!$O$33)&gt;0,ngay16!$O$33,"")</f>
        <v/>
      </c>
      <c r="K130" s="137" t="str">
        <f t="shared" si="20"/>
        <v>x</v>
      </c>
      <c r="L130" s="49">
        <f t="shared" si="21"/>
        <v>0</v>
      </c>
      <c r="M130" s="34"/>
      <c r="N130" s="37" t="str">
        <f>IF(COUNT(ngay16!$C$6)&gt;0,ngay16!$C$6,"")</f>
        <v/>
      </c>
      <c r="O130" s="34" t="str">
        <f t="shared" si="22"/>
        <v>x</v>
      </c>
      <c r="P130" s="38">
        <f t="shared" si="23"/>
        <v>0</v>
      </c>
      <c r="Q130" s="37" t="str">
        <f>IF(COUNT(ngay16!$O$39)&gt;0,ngay16!$O$39,"")</f>
        <v/>
      </c>
      <c r="R130" s="137" t="str">
        <f t="shared" si="24"/>
        <v>x</v>
      </c>
      <c r="S130" s="49">
        <f t="shared" si="25"/>
        <v>0</v>
      </c>
      <c r="T130" s="34"/>
      <c r="U130" s="37" t="str">
        <f>IF(COUNT(ngay16!$C$12)&gt;0,ngay16!$C$12,"")</f>
        <v/>
      </c>
      <c r="V130" s="34" t="str">
        <f t="shared" si="26"/>
        <v>x</v>
      </c>
      <c r="W130" s="38">
        <f t="shared" si="27"/>
        <v>0</v>
      </c>
      <c r="X130" s="37" t="str">
        <f>IF(COUNT(ngay16!$O$48)&gt;0,ngay16!$O$48,"")</f>
        <v/>
      </c>
      <c r="Y130" s="137" t="str">
        <f t="shared" si="28"/>
        <v>x</v>
      </c>
      <c r="Z130" s="49">
        <f t="shared" si="29"/>
        <v>0</v>
      </c>
      <c r="AA130" s="34"/>
      <c r="AB130" s="37" t="str">
        <f>IF(COUNT(ngay16!$C$21)&gt;0,ngay16!$C$21,"")</f>
        <v/>
      </c>
      <c r="AC130" s="34" t="str">
        <f t="shared" si="30"/>
        <v>x</v>
      </c>
      <c r="AD130" s="38">
        <f t="shared" si="31"/>
        <v>0</v>
      </c>
    </row>
    <row r="131" spans="1:32" s="145" customFormat="1">
      <c r="A131" s="146">
        <v>16</v>
      </c>
      <c r="B131" s="48">
        <v>1</v>
      </c>
      <c r="C131" s="141" t="str">
        <f>IF(COUNT(ngay16!$P$31)&gt;0,ngay16!$P$31,"")</f>
        <v/>
      </c>
      <c r="D131" s="144" t="str">
        <f t="shared" si="16"/>
        <v>x</v>
      </c>
      <c r="E131" s="142">
        <f t="shared" si="17"/>
        <v>0</v>
      </c>
      <c r="F131" s="140"/>
      <c r="G131" s="141" t="str">
        <f>IF(COUNT(ngay16!$D$4)&gt;0,ngay16!$D$4,"")</f>
        <v/>
      </c>
      <c r="H131" s="140" t="str">
        <f t="shared" si="18"/>
        <v>x</v>
      </c>
      <c r="I131" s="143">
        <f t="shared" si="19"/>
        <v>0</v>
      </c>
      <c r="J131" s="141" t="str">
        <f>IF(COUNT(ngay16!$P$33)&gt;0,ngay16!$P$33,"")</f>
        <v/>
      </c>
      <c r="K131" s="144" t="str">
        <f t="shared" si="20"/>
        <v>x</v>
      </c>
      <c r="L131" s="142">
        <f t="shared" si="21"/>
        <v>0</v>
      </c>
      <c r="M131" s="140"/>
      <c r="N131" s="141" t="str">
        <f>IF(COUNT(ngay16!$D$6)&gt;0,ngay16!$D$6,"")</f>
        <v/>
      </c>
      <c r="O131" s="140" t="str">
        <f t="shared" si="22"/>
        <v>x</v>
      </c>
      <c r="P131" s="143">
        <f t="shared" si="23"/>
        <v>0</v>
      </c>
      <c r="Q131" s="141" t="str">
        <f>IF(COUNT(ngay16!$P$39)&gt;0,ngay16!$P$39,"")</f>
        <v/>
      </c>
      <c r="R131" s="144" t="str">
        <f t="shared" si="24"/>
        <v>x</v>
      </c>
      <c r="S131" s="142">
        <f t="shared" si="25"/>
        <v>0</v>
      </c>
      <c r="T131" s="140"/>
      <c r="U131" s="141" t="str">
        <f>IF(COUNT(ngay16!$D$12)&gt;0,ngay16!$D$12,"")</f>
        <v/>
      </c>
      <c r="V131" s="140" t="str">
        <f t="shared" si="26"/>
        <v>x</v>
      </c>
      <c r="W131" s="143">
        <f t="shared" si="27"/>
        <v>0</v>
      </c>
      <c r="X131" s="141" t="str">
        <f>IF(COUNT(ngay16!$P$48)&gt;0,ngay16!$P$48,"")</f>
        <v/>
      </c>
      <c r="Y131" s="144" t="str">
        <f t="shared" si="28"/>
        <v>x</v>
      </c>
      <c r="Z131" s="142">
        <f t="shared" si="29"/>
        <v>0</v>
      </c>
      <c r="AA131" s="140"/>
      <c r="AB131" s="141" t="str">
        <f>IF(COUNT(ngay16!$D$21)&gt;0,ngay16!$D$21,"")</f>
        <v/>
      </c>
      <c r="AC131" s="140" t="str">
        <f t="shared" si="30"/>
        <v>x</v>
      </c>
      <c r="AD131" s="143">
        <f t="shared" si="31"/>
        <v>0</v>
      </c>
      <c r="AE131" s="147"/>
      <c r="AF131" s="147"/>
    </row>
    <row r="132" spans="1:32">
      <c r="A132" s="41"/>
      <c r="B132" s="48">
        <v>4</v>
      </c>
      <c r="C132" s="37" t="str">
        <f>IF(COUNT(ngay16!$Q$31)&gt;0,ngay16!$Q$31,"")</f>
        <v/>
      </c>
      <c r="D132" s="137" t="str">
        <f t="shared" si="16"/>
        <v>x</v>
      </c>
      <c r="E132" s="49">
        <f t="shared" si="17"/>
        <v>0</v>
      </c>
      <c r="F132" s="34"/>
      <c r="G132" s="37" t="str">
        <f>IF(COUNT(ngay16!$E$4)&gt;0,ngay16!$E$4,"")</f>
        <v/>
      </c>
      <c r="H132" s="34" t="str">
        <f t="shared" si="18"/>
        <v>x</v>
      </c>
      <c r="I132" s="38">
        <f t="shared" si="19"/>
        <v>0</v>
      </c>
      <c r="J132" s="37" t="str">
        <f>IF(COUNT(ngay16!$Q$33)&gt;0,ngay16!$Q$33,"")</f>
        <v/>
      </c>
      <c r="K132" s="137" t="str">
        <f t="shared" si="20"/>
        <v>x</v>
      </c>
      <c r="L132" s="49">
        <f t="shared" si="21"/>
        <v>0</v>
      </c>
      <c r="M132" s="34"/>
      <c r="N132" s="37" t="str">
        <f>IF(COUNT(ngay16!$E$6)&gt;0,ngay16!$E$6,"")</f>
        <v/>
      </c>
      <c r="O132" s="34" t="str">
        <f t="shared" si="22"/>
        <v>x</v>
      </c>
      <c r="P132" s="38">
        <f t="shared" si="23"/>
        <v>0</v>
      </c>
      <c r="Q132" s="37" t="str">
        <f>IF(COUNT(ngay16!$Q$39)&gt;0,ngay16!$Q$39,"")</f>
        <v/>
      </c>
      <c r="R132" s="137" t="str">
        <f t="shared" si="24"/>
        <v>x</v>
      </c>
      <c r="S132" s="49">
        <f t="shared" si="25"/>
        <v>0</v>
      </c>
      <c r="T132" s="34"/>
      <c r="U132" s="37" t="str">
        <f>IF(COUNT(ngay16!$E$12)&gt;0,ngay16!$E$12,"")</f>
        <v/>
      </c>
      <c r="V132" s="34" t="str">
        <f t="shared" si="26"/>
        <v>x</v>
      </c>
      <c r="W132" s="38">
        <f t="shared" si="27"/>
        <v>0</v>
      </c>
      <c r="X132" s="37" t="str">
        <f>IF(COUNT(ngay16!$Q$48)&gt;0,ngay16!$Q$48,"")</f>
        <v/>
      </c>
      <c r="Y132" s="137" t="str">
        <f t="shared" si="28"/>
        <v>x</v>
      </c>
      <c r="Z132" s="49">
        <f t="shared" si="29"/>
        <v>0</v>
      </c>
      <c r="AA132" s="34"/>
      <c r="AB132" s="37" t="str">
        <f>IF(COUNT(ngay16!$E$21)&gt;0,ngay16!$E$21,"")</f>
        <v/>
      </c>
      <c r="AC132" s="34" t="str">
        <f t="shared" si="30"/>
        <v>x</v>
      </c>
      <c r="AD132" s="38">
        <f t="shared" si="31"/>
        <v>0</v>
      </c>
    </row>
    <row r="133" spans="1:32">
      <c r="A133" s="41"/>
      <c r="B133" s="139">
        <v>7</v>
      </c>
      <c r="C133" s="37" t="str">
        <f>IF(COUNT(ngay16!$R$31)&gt;0,ngay16!$R$31,"")</f>
        <v/>
      </c>
      <c r="D133" s="137" t="str">
        <f t="shared" si="16"/>
        <v>x</v>
      </c>
      <c r="E133" s="49">
        <f t="shared" si="17"/>
        <v>0</v>
      </c>
      <c r="F133" s="34"/>
      <c r="G133" s="37" t="str">
        <f>IF(COUNT(ngay16!$F$4)&gt;0,ngay16!$F$4,"")</f>
        <v/>
      </c>
      <c r="H133" s="34" t="str">
        <f t="shared" si="18"/>
        <v>x</v>
      </c>
      <c r="I133" s="38">
        <f t="shared" si="19"/>
        <v>0</v>
      </c>
      <c r="J133" s="37" t="str">
        <f>IF(COUNT(ngay16!$R$33)&gt;0,ngay16!$R$33,"")</f>
        <v/>
      </c>
      <c r="K133" s="137" t="str">
        <f t="shared" si="20"/>
        <v>x</v>
      </c>
      <c r="L133" s="49">
        <f t="shared" si="21"/>
        <v>0</v>
      </c>
      <c r="M133" s="34"/>
      <c r="N133" s="37" t="str">
        <f>IF(COUNT(ngay16!$F$6)&gt;0,ngay16!$F$6,"")</f>
        <v/>
      </c>
      <c r="O133" s="34" t="str">
        <f t="shared" si="22"/>
        <v>x</v>
      </c>
      <c r="P133" s="38">
        <f t="shared" si="23"/>
        <v>0</v>
      </c>
      <c r="Q133" s="37" t="str">
        <f>IF(COUNT(ngay16!$R$39)&gt;0,ngay16!$R$39,"")</f>
        <v/>
      </c>
      <c r="R133" s="137" t="str">
        <f t="shared" si="24"/>
        <v>x</v>
      </c>
      <c r="S133" s="49">
        <f t="shared" si="25"/>
        <v>0</v>
      </c>
      <c r="T133" s="34"/>
      <c r="U133" s="37" t="str">
        <f>IF(COUNT(ngay16!$F$12)&gt;0,ngay16!$F$12,"")</f>
        <v/>
      </c>
      <c r="V133" s="34" t="str">
        <f t="shared" si="26"/>
        <v>x</v>
      </c>
      <c r="W133" s="38">
        <f t="shared" si="27"/>
        <v>0</v>
      </c>
      <c r="X133" s="37" t="str">
        <f>IF(COUNT(ngay16!$R$48)&gt;0,ngay16!$R$48,"")</f>
        <v/>
      </c>
      <c r="Y133" s="137" t="str">
        <f t="shared" si="28"/>
        <v>x</v>
      </c>
      <c r="Z133" s="49">
        <f t="shared" si="29"/>
        <v>0</v>
      </c>
      <c r="AA133" s="34"/>
      <c r="AB133" s="37" t="str">
        <f>IF(COUNT(ngay16!$F$21)&gt;0,ngay16!$F$21,"")</f>
        <v/>
      </c>
      <c r="AC133" s="34" t="str">
        <f t="shared" si="30"/>
        <v>x</v>
      </c>
      <c r="AD133" s="38">
        <f t="shared" si="31"/>
        <v>0</v>
      </c>
    </row>
    <row r="134" spans="1:32">
      <c r="A134" s="41"/>
      <c r="B134" s="48">
        <v>10</v>
      </c>
      <c r="C134" s="37" t="str">
        <f>IF(COUNT(ngay16!$S$31)&gt;0,ngay16!$S$31,"")</f>
        <v/>
      </c>
      <c r="D134" s="137" t="str">
        <f t="shared" si="16"/>
        <v>x</v>
      </c>
      <c r="E134" s="49">
        <f t="shared" si="17"/>
        <v>0</v>
      </c>
      <c r="F134" s="34"/>
      <c r="G134" s="37" t="str">
        <f>IF(COUNT(ngay16!$G$4)&gt;0,ngay16!$G$4,"")</f>
        <v/>
      </c>
      <c r="H134" s="34" t="str">
        <f t="shared" si="18"/>
        <v>x</v>
      </c>
      <c r="I134" s="38">
        <f t="shared" si="19"/>
        <v>0</v>
      </c>
      <c r="J134" s="37" t="str">
        <f>IF(COUNT(ngay16!$S$33)&gt;0,ngay16!$S$33,"")</f>
        <v/>
      </c>
      <c r="K134" s="137" t="str">
        <f t="shared" si="20"/>
        <v>x</v>
      </c>
      <c r="L134" s="49">
        <f t="shared" si="21"/>
        <v>0</v>
      </c>
      <c r="M134" s="34"/>
      <c r="N134" s="37" t="str">
        <f>IF(COUNT(ngay16!$G$6)&gt;0,ngay16!$G$6,"")</f>
        <v/>
      </c>
      <c r="O134" s="34" t="str">
        <f t="shared" si="22"/>
        <v>x</v>
      </c>
      <c r="P134" s="38">
        <f t="shared" si="23"/>
        <v>0</v>
      </c>
      <c r="Q134" s="37" t="str">
        <f>IF(COUNT(ngay16!$S$39)&gt;0,ngay16!$S$39,"")</f>
        <v/>
      </c>
      <c r="R134" s="137" t="str">
        <f t="shared" si="24"/>
        <v>x</v>
      </c>
      <c r="S134" s="49">
        <f t="shared" si="25"/>
        <v>0</v>
      </c>
      <c r="T134" s="34"/>
      <c r="U134" s="37" t="str">
        <f>IF(COUNT(ngay16!$G$12)&gt;0,ngay16!$G$12,"")</f>
        <v/>
      </c>
      <c r="V134" s="34" t="str">
        <f t="shared" si="26"/>
        <v>x</v>
      </c>
      <c r="W134" s="38">
        <f t="shared" si="27"/>
        <v>0</v>
      </c>
      <c r="X134" s="37" t="str">
        <f>IF(COUNT(ngay16!$S$48)&gt;0,ngay16!$S$48,"")</f>
        <v/>
      </c>
      <c r="Y134" s="137" t="str">
        <f t="shared" si="28"/>
        <v>x</v>
      </c>
      <c r="Z134" s="49">
        <f t="shared" si="29"/>
        <v>0</v>
      </c>
      <c r="AA134" s="34"/>
      <c r="AB134" s="37" t="str">
        <f>IF(COUNT(ngay16!$G$21)&gt;0,ngay16!$G$21,"")</f>
        <v/>
      </c>
      <c r="AC134" s="34" t="str">
        <f t="shared" si="30"/>
        <v>x</v>
      </c>
      <c r="AD134" s="38">
        <f t="shared" si="31"/>
        <v>0</v>
      </c>
    </row>
    <row r="135" spans="1:32">
      <c r="A135" s="41"/>
      <c r="B135" s="48">
        <v>13</v>
      </c>
      <c r="C135" s="37" t="str">
        <f>IF(COUNT(ngay16!$T$31)&gt;0,ngay16!$T$31,"")</f>
        <v/>
      </c>
      <c r="D135" s="137" t="str">
        <f t="shared" si="16"/>
        <v>x</v>
      </c>
      <c r="E135" s="49">
        <f t="shared" si="17"/>
        <v>0</v>
      </c>
      <c r="F135" s="34"/>
      <c r="G135" s="37" t="str">
        <f>IF(COUNT(ngay16!$H$4)&gt;0,ngay16!$H$4,"")</f>
        <v/>
      </c>
      <c r="H135" s="34" t="str">
        <f t="shared" si="18"/>
        <v>x</v>
      </c>
      <c r="I135" s="38">
        <f t="shared" si="19"/>
        <v>0</v>
      </c>
      <c r="J135" s="37" t="str">
        <f>IF(COUNT(ngay16!$T$33)&gt;0,ngay16!$T$33,"")</f>
        <v/>
      </c>
      <c r="K135" s="137" t="str">
        <f t="shared" si="20"/>
        <v>x</v>
      </c>
      <c r="L135" s="49">
        <f t="shared" si="21"/>
        <v>0</v>
      </c>
      <c r="M135" s="34"/>
      <c r="N135" s="37" t="str">
        <f>IF(COUNT(ngay16!$H$6)&gt;0,ngay16!$H$6,"")</f>
        <v/>
      </c>
      <c r="O135" s="34" t="str">
        <f t="shared" si="22"/>
        <v>x</v>
      </c>
      <c r="P135" s="38">
        <f t="shared" si="23"/>
        <v>0</v>
      </c>
      <c r="Q135" s="37" t="str">
        <f>IF(COUNT(ngay16!$T$39)&gt;0,ngay16!$T$39,"")</f>
        <v/>
      </c>
      <c r="R135" s="137" t="str">
        <f t="shared" si="24"/>
        <v>x</v>
      </c>
      <c r="S135" s="49">
        <f t="shared" si="25"/>
        <v>0</v>
      </c>
      <c r="T135" s="34"/>
      <c r="U135" s="37" t="str">
        <f>IF(COUNT(ngay16!$H$12)&gt;0,ngay16!$H$12,"")</f>
        <v/>
      </c>
      <c r="V135" s="34" t="str">
        <f t="shared" si="26"/>
        <v>x</v>
      </c>
      <c r="W135" s="38">
        <f t="shared" si="27"/>
        <v>0</v>
      </c>
      <c r="X135" s="37" t="str">
        <f>IF(COUNT(ngay16!$T$48)&gt;0,ngay16!$T$48,"")</f>
        <v/>
      </c>
      <c r="Y135" s="137" t="str">
        <f t="shared" si="28"/>
        <v>x</v>
      </c>
      <c r="Z135" s="49">
        <f t="shared" si="29"/>
        <v>0</v>
      </c>
      <c r="AA135" s="34"/>
      <c r="AB135" s="37" t="str">
        <f>IF(COUNT(ngay16!$H$21)&gt;0,ngay16!$H$21,"")</f>
        <v/>
      </c>
      <c r="AC135" s="34" t="str">
        <f t="shared" si="30"/>
        <v>x</v>
      </c>
      <c r="AD135" s="38">
        <f t="shared" si="31"/>
        <v>0</v>
      </c>
    </row>
    <row r="136" spans="1:32">
      <c r="A136" s="41"/>
      <c r="B136" s="48">
        <v>16</v>
      </c>
      <c r="C136" s="37" t="str">
        <f>IF(COUNT(ngay16!$U$31)&gt;0,ngay16!$U$31,"")</f>
        <v/>
      </c>
      <c r="D136" s="137" t="str">
        <f t="shared" si="16"/>
        <v>x</v>
      </c>
      <c r="E136" s="49">
        <f t="shared" si="17"/>
        <v>0</v>
      </c>
      <c r="F136" s="34"/>
      <c r="G136" s="37" t="str">
        <f>IF(COUNT(ngay16!$I$4)&gt;0,ngay16!$I$4,"")</f>
        <v/>
      </c>
      <c r="H136" s="34" t="str">
        <f t="shared" si="18"/>
        <v>x</v>
      </c>
      <c r="I136" s="38">
        <f t="shared" si="19"/>
        <v>0</v>
      </c>
      <c r="J136" s="37" t="str">
        <f>IF(COUNT(ngay16!$U$33)&gt;0,ngay16!$U$33,"")</f>
        <v/>
      </c>
      <c r="K136" s="137" t="str">
        <f t="shared" si="20"/>
        <v>x</v>
      </c>
      <c r="L136" s="49">
        <f t="shared" si="21"/>
        <v>0</v>
      </c>
      <c r="M136" s="34"/>
      <c r="N136" s="37" t="str">
        <f>IF(COUNT(ngay16!$I$6)&gt;0,ngay16!$I$6,"")</f>
        <v/>
      </c>
      <c r="O136" s="34" t="str">
        <f t="shared" si="22"/>
        <v>x</v>
      </c>
      <c r="P136" s="38">
        <f t="shared" si="23"/>
        <v>0</v>
      </c>
      <c r="Q136" s="37" t="str">
        <f>IF(COUNT(ngay16!$U$39)&gt;0,ngay16!$U$39,"")</f>
        <v/>
      </c>
      <c r="R136" s="137" t="str">
        <f t="shared" si="24"/>
        <v>x</v>
      </c>
      <c r="S136" s="49">
        <f t="shared" si="25"/>
        <v>0</v>
      </c>
      <c r="T136" s="34"/>
      <c r="U136" s="37" t="str">
        <f>IF(COUNT(ngay16!$I$12)&gt;0,ngay16!$I$12,"")</f>
        <v/>
      </c>
      <c r="V136" s="34" t="str">
        <f t="shared" si="26"/>
        <v>x</v>
      </c>
      <c r="W136" s="38">
        <f t="shared" si="27"/>
        <v>0</v>
      </c>
      <c r="X136" s="37" t="str">
        <f>IF(COUNT(ngay16!$U$48)&gt;0,ngay16!$U$48,"")</f>
        <v/>
      </c>
      <c r="Y136" s="137" t="str">
        <f t="shared" si="28"/>
        <v>x</v>
      </c>
      <c r="Z136" s="49">
        <f t="shared" si="29"/>
        <v>0</v>
      </c>
      <c r="AA136" s="34"/>
      <c r="AB136" s="37" t="str">
        <f>IF(COUNT(ngay16!$I$21)&gt;0,ngay16!$I$21,"")</f>
        <v/>
      </c>
      <c r="AC136" s="34" t="str">
        <f t="shared" si="30"/>
        <v>x</v>
      </c>
      <c r="AD136" s="38">
        <f t="shared" si="31"/>
        <v>0</v>
      </c>
    </row>
    <row r="137" spans="1:32">
      <c r="A137" s="41"/>
      <c r="B137" s="48">
        <v>19</v>
      </c>
      <c r="C137" s="37" t="str">
        <f>IF(COUNT(ngay16!$V$31)&gt;0,ngay16!$V$31,"")</f>
        <v/>
      </c>
      <c r="D137" s="137" t="str">
        <f t="shared" si="16"/>
        <v>x</v>
      </c>
      <c r="E137" s="49">
        <f t="shared" si="17"/>
        <v>0</v>
      </c>
      <c r="F137" s="34"/>
      <c r="G137" s="37" t="str">
        <f>IF(COUNT(ngay16!$J$4)&gt;0,ngay16!$J$4,"")</f>
        <v/>
      </c>
      <c r="H137" s="34" t="str">
        <f t="shared" si="18"/>
        <v>x</v>
      </c>
      <c r="I137" s="38">
        <f t="shared" si="19"/>
        <v>0</v>
      </c>
      <c r="J137" s="37" t="str">
        <f>IF(COUNT(ngay16!$V$33)&gt;0,ngay16!$V$33,"")</f>
        <v/>
      </c>
      <c r="K137" s="137" t="str">
        <f t="shared" si="20"/>
        <v>x</v>
      </c>
      <c r="L137" s="49">
        <f t="shared" si="21"/>
        <v>0</v>
      </c>
      <c r="M137" s="34"/>
      <c r="N137" s="37" t="str">
        <f>IF(COUNT(ngay16!$J$6)&gt;0,ngay16!$J$6,"")</f>
        <v/>
      </c>
      <c r="O137" s="34" t="str">
        <f t="shared" si="22"/>
        <v>x</v>
      </c>
      <c r="P137" s="38">
        <f t="shared" si="23"/>
        <v>0</v>
      </c>
      <c r="Q137" s="37" t="str">
        <f>IF(COUNT(ngay16!$V$39)&gt;0,ngay16!$V$39,"")</f>
        <v/>
      </c>
      <c r="R137" s="137" t="str">
        <f t="shared" si="24"/>
        <v>x</v>
      </c>
      <c r="S137" s="49">
        <f t="shared" si="25"/>
        <v>0</v>
      </c>
      <c r="T137" s="34"/>
      <c r="U137" s="37" t="str">
        <f>IF(COUNT(ngay16!$J$12)&gt;0,ngay16!$J$12,"")</f>
        <v/>
      </c>
      <c r="V137" s="34" t="str">
        <f t="shared" si="26"/>
        <v>x</v>
      </c>
      <c r="W137" s="38">
        <f t="shared" si="27"/>
        <v>0</v>
      </c>
      <c r="X137" s="37" t="str">
        <f>IF(COUNT(ngay16!$V$48)&gt;0,ngay16!$V$48,"")</f>
        <v/>
      </c>
      <c r="Y137" s="137" t="str">
        <f t="shared" si="28"/>
        <v>x</v>
      </c>
      <c r="Z137" s="49">
        <f t="shared" si="29"/>
        <v>0</v>
      </c>
      <c r="AA137" s="34"/>
      <c r="AB137" s="37" t="str">
        <f>IF(COUNT(ngay16!$J$21)&gt;0,ngay16!$J$21,"")</f>
        <v/>
      </c>
      <c r="AC137" s="34" t="str">
        <f t="shared" si="30"/>
        <v>x</v>
      </c>
      <c r="AD137" s="38">
        <f t="shared" si="31"/>
        <v>0</v>
      </c>
    </row>
    <row r="138" spans="1:32">
      <c r="A138" s="41"/>
      <c r="B138" s="48">
        <v>22</v>
      </c>
      <c r="C138" s="37" t="str">
        <f>IF(COUNT(ngay17!$O$31)&gt;0,ngay17!$O$31,"")</f>
        <v/>
      </c>
      <c r="D138" s="137" t="str">
        <f t="shared" si="16"/>
        <v>x</v>
      </c>
      <c r="E138" s="49">
        <f t="shared" si="17"/>
        <v>0</v>
      </c>
      <c r="F138" s="34"/>
      <c r="G138" s="37" t="str">
        <f>IF(COUNT(ngay17!$C$4)&gt;0,ngay17!$C$4,"")</f>
        <v/>
      </c>
      <c r="H138" s="34" t="str">
        <f t="shared" si="18"/>
        <v>x</v>
      </c>
      <c r="I138" s="38">
        <f t="shared" si="19"/>
        <v>0</v>
      </c>
      <c r="J138" s="37" t="str">
        <f>IF(COUNT(ngay17!$O$33)&gt;0,ngay17!$O$33,"")</f>
        <v/>
      </c>
      <c r="K138" s="137" t="str">
        <f t="shared" si="20"/>
        <v>x</v>
      </c>
      <c r="L138" s="49">
        <f t="shared" si="21"/>
        <v>0</v>
      </c>
      <c r="M138" s="34"/>
      <c r="N138" s="37" t="str">
        <f>IF(COUNT(ngay17!$C$6)&gt;0,ngay17!$C$6,"")</f>
        <v/>
      </c>
      <c r="O138" s="34" t="str">
        <f t="shared" si="22"/>
        <v>x</v>
      </c>
      <c r="P138" s="38">
        <f t="shared" si="23"/>
        <v>0</v>
      </c>
      <c r="Q138" s="37" t="str">
        <f>IF(COUNT(ngay17!$O$39)&gt;0,ngay17!$O$39,"")</f>
        <v/>
      </c>
      <c r="R138" s="137" t="str">
        <f t="shared" si="24"/>
        <v>x</v>
      </c>
      <c r="S138" s="49">
        <f t="shared" si="25"/>
        <v>0</v>
      </c>
      <c r="T138" s="34"/>
      <c r="U138" s="37" t="str">
        <f>IF(COUNT(ngay17!$C$12)&gt;0,ngay17!$C$12,"")</f>
        <v/>
      </c>
      <c r="V138" s="34" t="str">
        <f t="shared" si="26"/>
        <v>x</v>
      </c>
      <c r="W138" s="38">
        <f t="shared" si="27"/>
        <v>0</v>
      </c>
      <c r="X138" s="37" t="str">
        <f>IF(COUNT(ngay17!$O$48)&gt;0,ngay17!$O$48,"")</f>
        <v/>
      </c>
      <c r="Y138" s="137" t="str">
        <f t="shared" si="28"/>
        <v>x</v>
      </c>
      <c r="Z138" s="49">
        <f t="shared" si="29"/>
        <v>0</v>
      </c>
      <c r="AA138" s="34"/>
      <c r="AB138" s="37" t="str">
        <f>IF(COUNT(ngay17!$C$21)&gt;0,ngay17!$C$21,"")</f>
        <v/>
      </c>
      <c r="AC138" s="34" t="str">
        <f t="shared" si="30"/>
        <v>x</v>
      </c>
      <c r="AD138" s="38">
        <f t="shared" si="31"/>
        <v>0</v>
      </c>
    </row>
    <row r="139" spans="1:32" s="145" customFormat="1">
      <c r="A139" s="146">
        <v>17</v>
      </c>
      <c r="B139" s="48">
        <v>1</v>
      </c>
      <c r="C139" s="141" t="str">
        <f>IF(COUNT(ngay17!$P$31)&gt;0,ngay17!$P$31,"")</f>
        <v/>
      </c>
      <c r="D139" s="144" t="str">
        <f t="shared" ref="D139:D202" si="32">IF(COUNT(C131,C139)=2,C139-C131,"x")</f>
        <v>x</v>
      </c>
      <c r="E139" s="142">
        <f t="shared" ref="E139:E202" si="33">IF(COUNT(D139,E138)=2,D139+E138,E138)</f>
        <v>0</v>
      </c>
      <c r="F139" s="140"/>
      <c r="G139" s="141" t="str">
        <f>IF(COUNT(ngay17!$D$4)&gt;0,ngay17!$D$4,"")</f>
        <v/>
      </c>
      <c r="H139" s="140" t="str">
        <f t="shared" ref="H139:H202" si="34">IF(COUNT(G131,G139)=2,G139-G131,"x")</f>
        <v>x</v>
      </c>
      <c r="I139" s="143">
        <f t="shared" ref="I139:I202" si="35">IF(COUNT(H139,I138)=2,H139+I138,I138)</f>
        <v>0</v>
      </c>
      <c r="J139" s="141" t="str">
        <f>IF(COUNT(ngay17!$P$33)&gt;0,ngay17!$P$33,"")</f>
        <v/>
      </c>
      <c r="K139" s="144" t="str">
        <f t="shared" ref="K139:K202" si="36">IF(COUNT(J131,J139)=2,J139-J131,"x")</f>
        <v>x</v>
      </c>
      <c r="L139" s="142">
        <f t="shared" ref="L139:L202" si="37">IF(COUNT(K139,L138)=2,K139+L138,L138)</f>
        <v>0</v>
      </c>
      <c r="M139" s="140"/>
      <c r="N139" s="141" t="str">
        <f>IF(COUNT(ngay17!$D$6)&gt;0,ngay17!$D$6,"")</f>
        <v/>
      </c>
      <c r="O139" s="140" t="str">
        <f t="shared" ref="O139:O202" si="38">IF(COUNT(N131,N139)=2,N139-N131,"x")</f>
        <v>x</v>
      </c>
      <c r="P139" s="143">
        <f t="shared" ref="P139:P202" si="39">IF(COUNT(O139,P138)=2,O139+P138,P138)</f>
        <v>0</v>
      </c>
      <c r="Q139" s="141" t="str">
        <f>IF(COUNT(ngay17!$P$39)&gt;0,ngay17!$P$39,"")</f>
        <v/>
      </c>
      <c r="R139" s="144" t="str">
        <f t="shared" ref="R139:R202" si="40">IF(COUNT(Q131,Q139)=2,Q139-Q131,"x")</f>
        <v>x</v>
      </c>
      <c r="S139" s="142">
        <f t="shared" ref="S139:S202" si="41">IF(COUNT(R139,S138)=2,R139+S138,S138)</f>
        <v>0</v>
      </c>
      <c r="T139" s="140"/>
      <c r="U139" s="141" t="str">
        <f>IF(COUNT(ngay17!$D$12)&gt;0,ngay17!$D$12,"")</f>
        <v/>
      </c>
      <c r="V139" s="140" t="str">
        <f t="shared" ref="V139:V202" si="42">IF(COUNT(U131,U139)=2,U139-U131,"x")</f>
        <v>x</v>
      </c>
      <c r="W139" s="143">
        <f t="shared" ref="W139:W202" si="43">IF(COUNT(V139,W138)=2,V139+W138,W138)</f>
        <v>0</v>
      </c>
      <c r="X139" s="141" t="str">
        <f>IF(COUNT(ngay17!$P$48)&gt;0,ngay17!$P$48,"")</f>
        <v/>
      </c>
      <c r="Y139" s="144" t="str">
        <f t="shared" ref="Y139:Y202" si="44">IF(COUNT(X131,X139)=2,X139-X131,"x")</f>
        <v>x</v>
      </c>
      <c r="Z139" s="142">
        <f t="shared" ref="Z139:Z202" si="45">IF(COUNT(Y139,Z138)=2,Y139+Z138,Z138)</f>
        <v>0</v>
      </c>
      <c r="AA139" s="140"/>
      <c r="AB139" s="141" t="str">
        <f>IF(COUNT(ngay17!$D$21)&gt;0,ngay17!$D$21,"")</f>
        <v/>
      </c>
      <c r="AC139" s="140" t="str">
        <f t="shared" ref="AC139:AC202" si="46">IF(COUNT(AB131,AB139)=2,AB139-AB131,"x")</f>
        <v>x</v>
      </c>
      <c r="AD139" s="143">
        <f t="shared" ref="AD139:AD202" si="47">IF(COUNT(AC139,AD138)=2,AC139+AD138,AD138)</f>
        <v>0</v>
      </c>
      <c r="AE139" s="147"/>
      <c r="AF139" s="147"/>
    </row>
    <row r="140" spans="1:32">
      <c r="A140" s="41"/>
      <c r="B140" s="48">
        <v>4</v>
      </c>
      <c r="C140" s="37" t="str">
        <f>IF(COUNT(ngay17!$Q$31)&gt;0,ngay17!$Q$31,"")</f>
        <v/>
      </c>
      <c r="D140" s="137" t="str">
        <f t="shared" si="32"/>
        <v>x</v>
      </c>
      <c r="E140" s="49">
        <f t="shared" si="33"/>
        <v>0</v>
      </c>
      <c r="F140" s="34"/>
      <c r="G140" s="37" t="str">
        <f>IF(COUNT(ngay17!$E$4)&gt;0,ngay17!$E$4,"")</f>
        <v/>
      </c>
      <c r="H140" s="34" t="str">
        <f t="shared" si="34"/>
        <v>x</v>
      </c>
      <c r="I140" s="38">
        <f t="shared" si="35"/>
        <v>0</v>
      </c>
      <c r="J140" s="37" t="str">
        <f>IF(COUNT(ngay17!$Q$33)&gt;0,ngay17!$Q$33,"")</f>
        <v/>
      </c>
      <c r="K140" s="137" t="str">
        <f t="shared" si="36"/>
        <v>x</v>
      </c>
      <c r="L140" s="49">
        <f t="shared" si="37"/>
        <v>0</v>
      </c>
      <c r="M140" s="34"/>
      <c r="N140" s="37" t="str">
        <f>IF(COUNT(ngay17!$E$6)&gt;0,ngay17!$E$6,"")</f>
        <v/>
      </c>
      <c r="O140" s="34" t="str">
        <f t="shared" si="38"/>
        <v>x</v>
      </c>
      <c r="P140" s="38">
        <f t="shared" si="39"/>
        <v>0</v>
      </c>
      <c r="Q140" s="37" t="str">
        <f>IF(COUNT(ngay17!$Q$39)&gt;0,ngay17!$Q$39,"")</f>
        <v/>
      </c>
      <c r="R140" s="137" t="str">
        <f t="shared" si="40"/>
        <v>x</v>
      </c>
      <c r="S140" s="49">
        <f t="shared" si="41"/>
        <v>0</v>
      </c>
      <c r="T140" s="34"/>
      <c r="U140" s="37" t="str">
        <f>IF(COUNT(ngay17!$E$12)&gt;0,ngay17!$E$12,"")</f>
        <v/>
      </c>
      <c r="V140" s="34" t="str">
        <f t="shared" si="42"/>
        <v>x</v>
      </c>
      <c r="W140" s="38">
        <f t="shared" si="43"/>
        <v>0</v>
      </c>
      <c r="X140" s="37" t="str">
        <f>IF(COUNT(ngay17!$Q$48)&gt;0,ngay17!$Q$48,"")</f>
        <v/>
      </c>
      <c r="Y140" s="137" t="str">
        <f t="shared" si="44"/>
        <v>x</v>
      </c>
      <c r="Z140" s="49">
        <f t="shared" si="45"/>
        <v>0</v>
      </c>
      <c r="AA140" s="34"/>
      <c r="AB140" s="37" t="str">
        <f>IF(COUNT(ngay17!$E$21)&gt;0,ngay17!$E$21,"")</f>
        <v/>
      </c>
      <c r="AC140" s="34" t="str">
        <f t="shared" si="46"/>
        <v>x</v>
      </c>
      <c r="AD140" s="38">
        <f t="shared" si="47"/>
        <v>0</v>
      </c>
    </row>
    <row r="141" spans="1:32">
      <c r="A141" s="41"/>
      <c r="B141" s="139">
        <v>7</v>
      </c>
      <c r="C141" s="37" t="str">
        <f>IF(COUNT(ngay17!$R$31)&gt;0,ngay17!$R$31,"")</f>
        <v/>
      </c>
      <c r="D141" s="137" t="str">
        <f t="shared" si="32"/>
        <v>x</v>
      </c>
      <c r="E141" s="49">
        <f t="shared" si="33"/>
        <v>0</v>
      </c>
      <c r="F141" s="34"/>
      <c r="G141" s="37" t="str">
        <f>IF(COUNT(ngay17!$F$4)&gt;0,ngay17!$F$4,"")</f>
        <v/>
      </c>
      <c r="H141" s="34" t="str">
        <f t="shared" si="34"/>
        <v>x</v>
      </c>
      <c r="I141" s="38">
        <f t="shared" si="35"/>
        <v>0</v>
      </c>
      <c r="J141" s="37" t="str">
        <f>IF(COUNT(ngay17!$R$33)&gt;0,ngay17!$R$33,"")</f>
        <v/>
      </c>
      <c r="K141" s="137" t="str">
        <f t="shared" si="36"/>
        <v>x</v>
      </c>
      <c r="L141" s="49">
        <f t="shared" si="37"/>
        <v>0</v>
      </c>
      <c r="M141" s="34"/>
      <c r="N141" s="37" t="str">
        <f>IF(COUNT(ngay17!$F$6)&gt;0,ngay17!$F$6,"")</f>
        <v/>
      </c>
      <c r="O141" s="34" t="str">
        <f t="shared" si="38"/>
        <v>x</v>
      </c>
      <c r="P141" s="38">
        <f t="shared" si="39"/>
        <v>0</v>
      </c>
      <c r="Q141" s="37" t="str">
        <f>IF(COUNT(ngay17!$R$39)&gt;0,ngay17!$R$39,"")</f>
        <v/>
      </c>
      <c r="R141" s="137" t="str">
        <f t="shared" si="40"/>
        <v>x</v>
      </c>
      <c r="S141" s="49">
        <f t="shared" si="41"/>
        <v>0</v>
      </c>
      <c r="T141" s="34"/>
      <c r="U141" s="37" t="str">
        <f>IF(COUNT(ngay17!$F$12)&gt;0,ngay17!$F$12,"")</f>
        <v/>
      </c>
      <c r="V141" s="34" t="str">
        <f t="shared" si="42"/>
        <v>x</v>
      </c>
      <c r="W141" s="38">
        <f t="shared" si="43"/>
        <v>0</v>
      </c>
      <c r="X141" s="37" t="str">
        <f>IF(COUNT(ngay17!$R$48)&gt;0,ngay17!$R$48,"")</f>
        <v/>
      </c>
      <c r="Y141" s="137" t="str">
        <f t="shared" si="44"/>
        <v>x</v>
      </c>
      <c r="Z141" s="49">
        <f t="shared" si="45"/>
        <v>0</v>
      </c>
      <c r="AA141" s="34"/>
      <c r="AB141" s="37" t="str">
        <f>IF(COUNT(ngay17!$F$21)&gt;0,ngay17!$F$21,"")</f>
        <v/>
      </c>
      <c r="AC141" s="34" t="str">
        <f t="shared" si="46"/>
        <v>x</v>
      </c>
      <c r="AD141" s="38">
        <f t="shared" si="47"/>
        <v>0</v>
      </c>
    </row>
    <row r="142" spans="1:32">
      <c r="A142" s="41"/>
      <c r="B142" s="48">
        <v>10</v>
      </c>
      <c r="C142" s="37" t="str">
        <f>IF(COUNT(ngay17!$S$31)&gt;0,ngay17!$S$31,"")</f>
        <v/>
      </c>
      <c r="D142" s="137" t="str">
        <f t="shared" si="32"/>
        <v>x</v>
      </c>
      <c r="E142" s="49">
        <f t="shared" si="33"/>
        <v>0</v>
      </c>
      <c r="F142" s="34"/>
      <c r="G142" s="37" t="str">
        <f>IF(COUNT(ngay17!$G$4)&gt;0,ngay17!$G$4,"")</f>
        <v/>
      </c>
      <c r="H142" s="34" t="str">
        <f t="shared" si="34"/>
        <v>x</v>
      </c>
      <c r="I142" s="38">
        <f t="shared" si="35"/>
        <v>0</v>
      </c>
      <c r="J142" s="37" t="str">
        <f>IF(COUNT(ngay17!$S$33)&gt;0,ngay17!$S$33,"")</f>
        <v/>
      </c>
      <c r="K142" s="137" t="str">
        <f t="shared" si="36"/>
        <v>x</v>
      </c>
      <c r="L142" s="49">
        <f t="shared" si="37"/>
        <v>0</v>
      </c>
      <c r="M142" s="34"/>
      <c r="N142" s="37" t="str">
        <f>IF(COUNT(ngay17!$G$6)&gt;0,ngay17!$G$6,"")</f>
        <v/>
      </c>
      <c r="O142" s="34" t="str">
        <f t="shared" si="38"/>
        <v>x</v>
      </c>
      <c r="P142" s="38">
        <f t="shared" si="39"/>
        <v>0</v>
      </c>
      <c r="Q142" s="37" t="str">
        <f>IF(COUNT(ngay17!$S$39)&gt;0,ngay17!$S$39,"")</f>
        <v/>
      </c>
      <c r="R142" s="137" t="str">
        <f t="shared" si="40"/>
        <v>x</v>
      </c>
      <c r="S142" s="49">
        <f t="shared" si="41"/>
        <v>0</v>
      </c>
      <c r="T142" s="34"/>
      <c r="U142" s="37" t="str">
        <f>IF(COUNT(ngay17!$G$12)&gt;0,ngay17!$G$12,"")</f>
        <v/>
      </c>
      <c r="V142" s="34" t="str">
        <f t="shared" si="42"/>
        <v>x</v>
      </c>
      <c r="W142" s="38">
        <f t="shared" si="43"/>
        <v>0</v>
      </c>
      <c r="X142" s="37" t="str">
        <f>IF(COUNT(ngay17!$S$48)&gt;0,ngay17!$S$48,"")</f>
        <v/>
      </c>
      <c r="Y142" s="137" t="str">
        <f t="shared" si="44"/>
        <v>x</v>
      </c>
      <c r="Z142" s="49">
        <f t="shared" si="45"/>
        <v>0</v>
      </c>
      <c r="AA142" s="34"/>
      <c r="AB142" s="37" t="str">
        <f>IF(COUNT(ngay17!$G$21)&gt;0,ngay17!$G$21,"")</f>
        <v/>
      </c>
      <c r="AC142" s="34" t="str">
        <f t="shared" si="46"/>
        <v>x</v>
      </c>
      <c r="AD142" s="38">
        <f t="shared" si="47"/>
        <v>0</v>
      </c>
    </row>
    <row r="143" spans="1:32">
      <c r="A143" s="41"/>
      <c r="B143" s="48">
        <v>13</v>
      </c>
      <c r="C143" s="37" t="str">
        <f>IF(COUNT(ngay17!$T$31)&gt;0,ngay17!$T$31,"")</f>
        <v/>
      </c>
      <c r="D143" s="137" t="str">
        <f t="shared" si="32"/>
        <v>x</v>
      </c>
      <c r="E143" s="49">
        <f t="shared" si="33"/>
        <v>0</v>
      </c>
      <c r="F143" s="34"/>
      <c r="G143" s="37" t="str">
        <f>IF(COUNT(ngay17!$H$4)&gt;0,ngay17!$H$4,"")</f>
        <v/>
      </c>
      <c r="H143" s="34" t="str">
        <f t="shared" si="34"/>
        <v>x</v>
      </c>
      <c r="I143" s="38">
        <f t="shared" si="35"/>
        <v>0</v>
      </c>
      <c r="J143" s="37" t="str">
        <f>IF(COUNT(ngay17!$T$33)&gt;0,ngay17!$T$33,"")</f>
        <v/>
      </c>
      <c r="K143" s="137" t="str">
        <f t="shared" si="36"/>
        <v>x</v>
      </c>
      <c r="L143" s="49">
        <f t="shared" si="37"/>
        <v>0</v>
      </c>
      <c r="M143" s="34"/>
      <c r="N143" s="37" t="str">
        <f>IF(COUNT(ngay17!$H$6)&gt;0,ngay17!$H$6,"")</f>
        <v/>
      </c>
      <c r="O143" s="34" t="str">
        <f t="shared" si="38"/>
        <v>x</v>
      </c>
      <c r="P143" s="38">
        <f t="shared" si="39"/>
        <v>0</v>
      </c>
      <c r="Q143" s="37" t="str">
        <f>IF(COUNT(ngay17!$T$39)&gt;0,ngay17!$T$39,"")</f>
        <v/>
      </c>
      <c r="R143" s="137" t="str">
        <f t="shared" si="40"/>
        <v>x</v>
      </c>
      <c r="S143" s="49">
        <f t="shared" si="41"/>
        <v>0</v>
      </c>
      <c r="T143" s="34"/>
      <c r="U143" s="37" t="str">
        <f>IF(COUNT(ngay17!$H$12)&gt;0,ngay17!$H$12,"")</f>
        <v/>
      </c>
      <c r="V143" s="34" t="str">
        <f t="shared" si="42"/>
        <v>x</v>
      </c>
      <c r="W143" s="38">
        <f t="shared" si="43"/>
        <v>0</v>
      </c>
      <c r="X143" s="37" t="str">
        <f>IF(COUNT(ngay17!$T$48)&gt;0,ngay17!$T$48,"")</f>
        <v/>
      </c>
      <c r="Y143" s="137" t="str">
        <f t="shared" si="44"/>
        <v>x</v>
      </c>
      <c r="Z143" s="49">
        <f t="shared" si="45"/>
        <v>0</v>
      </c>
      <c r="AA143" s="34"/>
      <c r="AB143" s="37" t="str">
        <f>IF(COUNT(ngay17!$H$21)&gt;0,ngay17!$H$21,"")</f>
        <v/>
      </c>
      <c r="AC143" s="34" t="str">
        <f t="shared" si="46"/>
        <v>x</v>
      </c>
      <c r="AD143" s="38">
        <f t="shared" si="47"/>
        <v>0</v>
      </c>
    </row>
    <row r="144" spans="1:32">
      <c r="A144" s="41"/>
      <c r="B144" s="48">
        <v>16</v>
      </c>
      <c r="C144" s="37" t="str">
        <f>IF(COUNT(ngay17!$U$31)&gt;0,ngay17!$U$31,"")</f>
        <v/>
      </c>
      <c r="D144" s="137" t="str">
        <f t="shared" si="32"/>
        <v>x</v>
      </c>
      <c r="E144" s="49">
        <f t="shared" si="33"/>
        <v>0</v>
      </c>
      <c r="F144" s="34"/>
      <c r="G144" s="37" t="str">
        <f>IF(COUNT(ngay17!$I$4)&gt;0,ngay17!$I$4,"")</f>
        <v/>
      </c>
      <c r="H144" s="34" t="str">
        <f t="shared" si="34"/>
        <v>x</v>
      </c>
      <c r="I144" s="38">
        <f t="shared" si="35"/>
        <v>0</v>
      </c>
      <c r="J144" s="37" t="str">
        <f>IF(COUNT(ngay17!$U$33)&gt;0,ngay17!$U$33,"")</f>
        <v/>
      </c>
      <c r="K144" s="137" t="str">
        <f t="shared" si="36"/>
        <v>x</v>
      </c>
      <c r="L144" s="49">
        <f t="shared" si="37"/>
        <v>0</v>
      </c>
      <c r="M144" s="34"/>
      <c r="N144" s="37" t="str">
        <f>IF(COUNT(ngay17!$I$6)&gt;0,ngay17!$I$6,"")</f>
        <v/>
      </c>
      <c r="O144" s="34" t="str">
        <f t="shared" si="38"/>
        <v>x</v>
      </c>
      <c r="P144" s="38">
        <f t="shared" si="39"/>
        <v>0</v>
      </c>
      <c r="Q144" s="37" t="str">
        <f>IF(COUNT(ngay17!$U$39)&gt;0,ngay17!$U$39,"")</f>
        <v/>
      </c>
      <c r="R144" s="137" t="str">
        <f t="shared" si="40"/>
        <v>x</v>
      </c>
      <c r="S144" s="49">
        <f t="shared" si="41"/>
        <v>0</v>
      </c>
      <c r="T144" s="34"/>
      <c r="U144" s="37" t="str">
        <f>IF(COUNT(ngay17!$I$12)&gt;0,ngay17!$I$12,"")</f>
        <v/>
      </c>
      <c r="V144" s="34" t="str">
        <f t="shared" si="42"/>
        <v>x</v>
      </c>
      <c r="W144" s="38">
        <f t="shared" si="43"/>
        <v>0</v>
      </c>
      <c r="X144" s="37" t="str">
        <f>IF(COUNT(ngay17!$U$48)&gt;0,ngay17!$U$48,"")</f>
        <v/>
      </c>
      <c r="Y144" s="137" t="str">
        <f t="shared" si="44"/>
        <v>x</v>
      </c>
      <c r="Z144" s="49">
        <f t="shared" si="45"/>
        <v>0</v>
      </c>
      <c r="AA144" s="34"/>
      <c r="AB144" s="37" t="str">
        <f>IF(COUNT(ngay17!$I$21)&gt;0,ngay17!$I$21,"")</f>
        <v/>
      </c>
      <c r="AC144" s="34" t="str">
        <f t="shared" si="46"/>
        <v>x</v>
      </c>
      <c r="AD144" s="38">
        <f t="shared" si="47"/>
        <v>0</v>
      </c>
    </row>
    <row r="145" spans="1:32">
      <c r="A145" s="41"/>
      <c r="B145" s="48">
        <v>19</v>
      </c>
      <c r="C145" s="37" t="str">
        <f>IF(COUNT(ngay17!$V$31)&gt;0,ngay17!$V$31,"")</f>
        <v/>
      </c>
      <c r="D145" s="137" t="str">
        <f t="shared" si="32"/>
        <v>x</v>
      </c>
      <c r="E145" s="49">
        <f t="shared" si="33"/>
        <v>0</v>
      </c>
      <c r="F145" s="34"/>
      <c r="G145" s="37" t="str">
        <f>IF(COUNT(ngay17!$J$4)&gt;0,ngay17!$J$4,"")</f>
        <v/>
      </c>
      <c r="H145" s="34" t="str">
        <f t="shared" si="34"/>
        <v>x</v>
      </c>
      <c r="I145" s="38">
        <f t="shared" si="35"/>
        <v>0</v>
      </c>
      <c r="J145" s="37" t="str">
        <f>IF(COUNT(ngay17!$V$33)&gt;0,ngay17!$V$33,"")</f>
        <v/>
      </c>
      <c r="K145" s="137" t="str">
        <f t="shared" si="36"/>
        <v>x</v>
      </c>
      <c r="L145" s="49">
        <f t="shared" si="37"/>
        <v>0</v>
      </c>
      <c r="M145" s="34"/>
      <c r="N145" s="37" t="str">
        <f>IF(COUNT(ngay17!$J$6)&gt;0,ngay17!$J$6,"")</f>
        <v/>
      </c>
      <c r="O145" s="34" t="str">
        <f t="shared" si="38"/>
        <v>x</v>
      </c>
      <c r="P145" s="38">
        <f t="shared" si="39"/>
        <v>0</v>
      </c>
      <c r="Q145" s="37" t="str">
        <f>IF(COUNT(ngay17!$V$39)&gt;0,ngay17!$V$39,"")</f>
        <v/>
      </c>
      <c r="R145" s="137" t="str">
        <f t="shared" si="40"/>
        <v>x</v>
      </c>
      <c r="S145" s="49">
        <f t="shared" si="41"/>
        <v>0</v>
      </c>
      <c r="T145" s="34"/>
      <c r="U145" s="37" t="str">
        <f>IF(COUNT(ngay17!$J$12)&gt;0,ngay17!$J$12,"")</f>
        <v/>
      </c>
      <c r="V145" s="34" t="str">
        <f t="shared" si="42"/>
        <v>x</v>
      </c>
      <c r="W145" s="38">
        <f t="shared" si="43"/>
        <v>0</v>
      </c>
      <c r="X145" s="37" t="str">
        <f>IF(COUNT(ngay17!$V$48)&gt;0,ngay17!$V$48,"")</f>
        <v/>
      </c>
      <c r="Y145" s="137" t="str">
        <f t="shared" si="44"/>
        <v>x</v>
      </c>
      <c r="Z145" s="49">
        <f t="shared" si="45"/>
        <v>0</v>
      </c>
      <c r="AA145" s="34"/>
      <c r="AB145" s="37" t="str">
        <f>IF(COUNT(ngay17!$J$21)&gt;0,ngay17!$J$21,"")</f>
        <v/>
      </c>
      <c r="AC145" s="34" t="str">
        <f t="shared" si="46"/>
        <v>x</v>
      </c>
      <c r="AD145" s="38">
        <f t="shared" si="47"/>
        <v>0</v>
      </c>
    </row>
    <row r="146" spans="1:32">
      <c r="A146" s="41"/>
      <c r="B146" s="48">
        <v>22</v>
      </c>
      <c r="C146" s="37" t="str">
        <f>IF(COUNT(ngay18!$O$31)&gt;0,ngay18!$O$31,"")</f>
        <v/>
      </c>
      <c r="D146" s="137" t="str">
        <f t="shared" si="32"/>
        <v>x</v>
      </c>
      <c r="E146" s="49">
        <f t="shared" si="33"/>
        <v>0</v>
      </c>
      <c r="F146" s="34"/>
      <c r="G146" s="37" t="str">
        <f>IF(COUNT(ngay18!$C$4)&gt;0,ngay18!$C$4,"")</f>
        <v/>
      </c>
      <c r="H146" s="34" t="str">
        <f t="shared" si="34"/>
        <v>x</v>
      </c>
      <c r="I146" s="38">
        <f t="shared" si="35"/>
        <v>0</v>
      </c>
      <c r="J146" s="37" t="str">
        <f>IF(COUNT(ngay18!$O$33)&gt;0,ngay18!$O$33,"")</f>
        <v/>
      </c>
      <c r="K146" s="137" t="str">
        <f t="shared" si="36"/>
        <v>x</v>
      </c>
      <c r="L146" s="49">
        <f t="shared" si="37"/>
        <v>0</v>
      </c>
      <c r="M146" s="34"/>
      <c r="N146" s="37" t="str">
        <f>IF(COUNT(ngay18!$C$6)&gt;0,ngay18!$C$6,"")</f>
        <v/>
      </c>
      <c r="O146" s="34" t="str">
        <f t="shared" si="38"/>
        <v>x</v>
      </c>
      <c r="P146" s="38">
        <f t="shared" si="39"/>
        <v>0</v>
      </c>
      <c r="Q146" s="37" t="str">
        <f>IF(COUNT(ngay18!$O$39)&gt;0,ngay18!$O$39,"")</f>
        <v/>
      </c>
      <c r="R146" s="137" t="str">
        <f t="shared" si="40"/>
        <v>x</v>
      </c>
      <c r="S146" s="49">
        <f t="shared" si="41"/>
        <v>0</v>
      </c>
      <c r="T146" s="34"/>
      <c r="U146" s="37" t="str">
        <f>IF(COUNT(ngay18!$C$12)&gt;0,ngay18!$C$12,"")</f>
        <v/>
      </c>
      <c r="V146" s="34" t="str">
        <f t="shared" si="42"/>
        <v>x</v>
      </c>
      <c r="W146" s="38">
        <f t="shared" si="43"/>
        <v>0</v>
      </c>
      <c r="X146" s="37" t="str">
        <f>IF(COUNT(ngay18!$O$48)&gt;0,ngay18!$O$48,"")</f>
        <v/>
      </c>
      <c r="Y146" s="137" t="str">
        <f t="shared" si="44"/>
        <v>x</v>
      </c>
      <c r="Z146" s="49">
        <f t="shared" si="45"/>
        <v>0</v>
      </c>
      <c r="AA146" s="34"/>
      <c r="AB146" s="37" t="str">
        <f>IF(COUNT(ngay18!$C$21)&gt;0,ngay18!$C$21,"")</f>
        <v/>
      </c>
      <c r="AC146" s="34" t="str">
        <f t="shared" si="46"/>
        <v>x</v>
      </c>
      <c r="AD146" s="38">
        <f t="shared" si="47"/>
        <v>0</v>
      </c>
    </row>
    <row r="147" spans="1:32" s="145" customFormat="1">
      <c r="A147" s="146">
        <v>18</v>
      </c>
      <c r="B147" s="48">
        <v>1</v>
      </c>
      <c r="C147" s="141" t="str">
        <f>IF(COUNT(ngay18!$P$31)&gt;0,ngay18!$P$31,"")</f>
        <v/>
      </c>
      <c r="D147" s="144" t="str">
        <f t="shared" si="32"/>
        <v>x</v>
      </c>
      <c r="E147" s="142">
        <f t="shared" si="33"/>
        <v>0</v>
      </c>
      <c r="F147" s="140"/>
      <c r="G147" s="141" t="str">
        <f>IF(COUNT(ngay18!$D$4)&gt;0,ngay18!$D$4,"")</f>
        <v/>
      </c>
      <c r="H147" s="140" t="str">
        <f t="shared" si="34"/>
        <v>x</v>
      </c>
      <c r="I147" s="143">
        <f t="shared" si="35"/>
        <v>0</v>
      </c>
      <c r="J147" s="141" t="str">
        <f>IF(COUNT(ngay18!$P$33)&gt;0,ngay18!$P$33,"")</f>
        <v/>
      </c>
      <c r="K147" s="144" t="str">
        <f t="shared" si="36"/>
        <v>x</v>
      </c>
      <c r="L147" s="142">
        <f t="shared" si="37"/>
        <v>0</v>
      </c>
      <c r="M147" s="140"/>
      <c r="N147" s="141" t="str">
        <f>IF(COUNT(ngay18!$D$6)&gt;0,ngay18!$D$6,"")</f>
        <v/>
      </c>
      <c r="O147" s="140" t="str">
        <f t="shared" si="38"/>
        <v>x</v>
      </c>
      <c r="P147" s="143">
        <f t="shared" si="39"/>
        <v>0</v>
      </c>
      <c r="Q147" s="141" t="str">
        <f>IF(COUNT(ngay18!$P$39)&gt;0,ngay18!$P$39,"")</f>
        <v/>
      </c>
      <c r="R147" s="144" t="str">
        <f t="shared" si="40"/>
        <v>x</v>
      </c>
      <c r="S147" s="142">
        <f t="shared" si="41"/>
        <v>0</v>
      </c>
      <c r="T147" s="140"/>
      <c r="U147" s="141" t="str">
        <f>IF(COUNT(ngay18!$D$12)&gt;0,ngay18!$D$12,"")</f>
        <v/>
      </c>
      <c r="V147" s="140" t="str">
        <f t="shared" si="42"/>
        <v>x</v>
      </c>
      <c r="W147" s="143">
        <f t="shared" si="43"/>
        <v>0</v>
      </c>
      <c r="X147" s="141" t="str">
        <f>IF(COUNT(ngay18!$P$48)&gt;0,ngay18!$P$48,"")</f>
        <v/>
      </c>
      <c r="Y147" s="144" t="str">
        <f t="shared" si="44"/>
        <v>x</v>
      </c>
      <c r="Z147" s="142">
        <f t="shared" si="45"/>
        <v>0</v>
      </c>
      <c r="AA147" s="140"/>
      <c r="AB147" s="141" t="str">
        <f>IF(COUNT(ngay18!$D$21)&gt;0,ngay18!$D$21,"")</f>
        <v/>
      </c>
      <c r="AC147" s="140" t="str">
        <f t="shared" si="46"/>
        <v>x</v>
      </c>
      <c r="AD147" s="143">
        <f t="shared" si="47"/>
        <v>0</v>
      </c>
      <c r="AE147" s="147"/>
      <c r="AF147" s="147"/>
    </row>
    <row r="148" spans="1:32">
      <c r="A148" s="41"/>
      <c r="B148" s="48">
        <v>4</v>
      </c>
      <c r="C148" s="37" t="str">
        <f>IF(COUNT(ngay18!$Q$31)&gt;0,ngay18!$Q$31,"")</f>
        <v/>
      </c>
      <c r="D148" s="137" t="str">
        <f t="shared" si="32"/>
        <v>x</v>
      </c>
      <c r="E148" s="49">
        <f t="shared" si="33"/>
        <v>0</v>
      </c>
      <c r="F148" s="34"/>
      <c r="G148" s="37" t="str">
        <f>IF(COUNT(ngay18!$E$4)&gt;0,ngay18!$E$4,"")</f>
        <v/>
      </c>
      <c r="H148" s="34" t="str">
        <f t="shared" si="34"/>
        <v>x</v>
      </c>
      <c r="I148" s="38">
        <f t="shared" si="35"/>
        <v>0</v>
      </c>
      <c r="J148" s="37" t="str">
        <f>IF(COUNT(ngay18!$Q$33)&gt;0,ngay18!$Q$33,"")</f>
        <v/>
      </c>
      <c r="K148" s="137" t="str">
        <f t="shared" si="36"/>
        <v>x</v>
      </c>
      <c r="L148" s="49">
        <f t="shared" si="37"/>
        <v>0</v>
      </c>
      <c r="M148" s="34"/>
      <c r="N148" s="37" t="str">
        <f>IF(COUNT(ngay18!$E$6)&gt;0,ngay18!$E$6,"")</f>
        <v/>
      </c>
      <c r="O148" s="34" t="str">
        <f t="shared" si="38"/>
        <v>x</v>
      </c>
      <c r="P148" s="38">
        <f t="shared" si="39"/>
        <v>0</v>
      </c>
      <c r="Q148" s="37" t="str">
        <f>IF(COUNT(ngay18!$Q$39)&gt;0,ngay18!$Q$39,"")</f>
        <v/>
      </c>
      <c r="R148" s="137" t="str">
        <f t="shared" si="40"/>
        <v>x</v>
      </c>
      <c r="S148" s="49">
        <f t="shared" si="41"/>
        <v>0</v>
      </c>
      <c r="T148" s="34"/>
      <c r="U148" s="37" t="str">
        <f>IF(COUNT(ngay18!$E$12)&gt;0,ngay18!$E$12,"")</f>
        <v/>
      </c>
      <c r="V148" s="34" t="str">
        <f t="shared" si="42"/>
        <v>x</v>
      </c>
      <c r="W148" s="38">
        <f t="shared" si="43"/>
        <v>0</v>
      </c>
      <c r="X148" s="37" t="str">
        <f>IF(COUNT(ngay18!$Q$48)&gt;0,ngay18!$Q$48,"")</f>
        <v/>
      </c>
      <c r="Y148" s="137" t="str">
        <f t="shared" si="44"/>
        <v>x</v>
      </c>
      <c r="Z148" s="49">
        <f t="shared" si="45"/>
        <v>0</v>
      </c>
      <c r="AA148" s="34"/>
      <c r="AB148" s="37" t="str">
        <f>IF(COUNT(ngay18!$E$21)&gt;0,ngay18!$E$21,"")</f>
        <v/>
      </c>
      <c r="AC148" s="34" t="str">
        <f t="shared" si="46"/>
        <v>x</v>
      </c>
      <c r="AD148" s="38">
        <f t="shared" si="47"/>
        <v>0</v>
      </c>
    </row>
    <row r="149" spans="1:32">
      <c r="A149" s="41"/>
      <c r="B149" s="139">
        <v>7</v>
      </c>
      <c r="C149" s="37" t="str">
        <f>IF(COUNT(ngay18!$R$31)&gt;0,ngay18!$R$31,"")</f>
        <v/>
      </c>
      <c r="D149" s="137" t="str">
        <f t="shared" si="32"/>
        <v>x</v>
      </c>
      <c r="E149" s="49">
        <f t="shared" si="33"/>
        <v>0</v>
      </c>
      <c r="F149" s="34"/>
      <c r="G149" s="37" t="str">
        <f>IF(COUNT(ngay18!$F$4)&gt;0,ngay18!$F$4,"")</f>
        <v/>
      </c>
      <c r="H149" s="34" t="str">
        <f t="shared" si="34"/>
        <v>x</v>
      </c>
      <c r="I149" s="38">
        <f t="shared" si="35"/>
        <v>0</v>
      </c>
      <c r="J149" s="37" t="str">
        <f>IF(COUNT(ngay18!$R$33)&gt;0,ngay18!$R$33,"")</f>
        <v/>
      </c>
      <c r="K149" s="137" t="str">
        <f t="shared" si="36"/>
        <v>x</v>
      </c>
      <c r="L149" s="49">
        <f t="shared" si="37"/>
        <v>0</v>
      </c>
      <c r="M149" s="34"/>
      <c r="N149" s="37" t="str">
        <f>IF(COUNT(ngay18!$F$6)&gt;0,ngay18!$F$6,"")</f>
        <v/>
      </c>
      <c r="O149" s="34" t="str">
        <f t="shared" si="38"/>
        <v>x</v>
      </c>
      <c r="P149" s="38">
        <f t="shared" si="39"/>
        <v>0</v>
      </c>
      <c r="Q149" s="37" t="str">
        <f>IF(COUNT(ngay18!$R$39)&gt;0,ngay18!$R$39,"")</f>
        <v/>
      </c>
      <c r="R149" s="137" t="str">
        <f t="shared" si="40"/>
        <v>x</v>
      </c>
      <c r="S149" s="49">
        <f t="shared" si="41"/>
        <v>0</v>
      </c>
      <c r="T149" s="34"/>
      <c r="U149" s="37" t="str">
        <f>IF(COUNT(ngay18!$F$12)&gt;0,ngay18!$F$12,"")</f>
        <v/>
      </c>
      <c r="V149" s="34" t="str">
        <f t="shared" si="42"/>
        <v>x</v>
      </c>
      <c r="W149" s="38">
        <f t="shared" si="43"/>
        <v>0</v>
      </c>
      <c r="X149" s="37" t="str">
        <f>IF(COUNT(ngay18!$R$48)&gt;0,ngay18!$R$48,"")</f>
        <v/>
      </c>
      <c r="Y149" s="137" t="str">
        <f t="shared" si="44"/>
        <v>x</v>
      </c>
      <c r="Z149" s="49">
        <f t="shared" si="45"/>
        <v>0</v>
      </c>
      <c r="AA149" s="34"/>
      <c r="AB149" s="37" t="str">
        <f>IF(COUNT(ngay18!$F$21)&gt;0,ngay18!$F$21,"")</f>
        <v/>
      </c>
      <c r="AC149" s="34" t="str">
        <f t="shared" si="46"/>
        <v>x</v>
      </c>
      <c r="AD149" s="38">
        <f t="shared" si="47"/>
        <v>0</v>
      </c>
    </row>
    <row r="150" spans="1:32">
      <c r="A150" s="41"/>
      <c r="B150" s="48">
        <v>10</v>
      </c>
      <c r="C150" s="37" t="str">
        <f>IF(COUNT(ngay18!$S$31)&gt;0,ngay18!$S$31,"")</f>
        <v/>
      </c>
      <c r="D150" s="137" t="str">
        <f t="shared" si="32"/>
        <v>x</v>
      </c>
      <c r="E150" s="49">
        <f t="shared" si="33"/>
        <v>0</v>
      </c>
      <c r="F150" s="34"/>
      <c r="G150" s="37" t="str">
        <f>IF(COUNT(ngay18!$G$4)&gt;0,ngay18!$G$4,"")</f>
        <v/>
      </c>
      <c r="H150" s="34" t="str">
        <f t="shared" si="34"/>
        <v>x</v>
      </c>
      <c r="I150" s="38">
        <f t="shared" si="35"/>
        <v>0</v>
      </c>
      <c r="J150" s="37" t="str">
        <f>IF(COUNT(ngay18!$S$33)&gt;0,ngay18!$S$33,"")</f>
        <v/>
      </c>
      <c r="K150" s="137" t="str">
        <f t="shared" si="36"/>
        <v>x</v>
      </c>
      <c r="L150" s="49">
        <f t="shared" si="37"/>
        <v>0</v>
      </c>
      <c r="M150" s="34"/>
      <c r="N150" s="37" t="str">
        <f>IF(COUNT(ngay18!$G$6)&gt;0,ngay18!$G$6,"")</f>
        <v/>
      </c>
      <c r="O150" s="34" t="str">
        <f t="shared" si="38"/>
        <v>x</v>
      </c>
      <c r="P150" s="38">
        <f t="shared" si="39"/>
        <v>0</v>
      </c>
      <c r="Q150" s="37" t="str">
        <f>IF(COUNT(ngay18!$S$39)&gt;0,ngay18!$S$39,"")</f>
        <v/>
      </c>
      <c r="R150" s="137" t="str">
        <f t="shared" si="40"/>
        <v>x</v>
      </c>
      <c r="S150" s="49">
        <f t="shared" si="41"/>
        <v>0</v>
      </c>
      <c r="T150" s="34"/>
      <c r="U150" s="37" t="str">
        <f>IF(COUNT(ngay18!$G$12)&gt;0,ngay18!$G$12,"")</f>
        <v/>
      </c>
      <c r="V150" s="34" t="str">
        <f t="shared" si="42"/>
        <v>x</v>
      </c>
      <c r="W150" s="38">
        <f t="shared" si="43"/>
        <v>0</v>
      </c>
      <c r="X150" s="37" t="str">
        <f>IF(COUNT(ngay18!$S$48)&gt;0,ngay18!$S$48,"")</f>
        <v/>
      </c>
      <c r="Y150" s="137" t="str">
        <f t="shared" si="44"/>
        <v>x</v>
      </c>
      <c r="Z150" s="49">
        <f t="shared" si="45"/>
        <v>0</v>
      </c>
      <c r="AA150" s="34"/>
      <c r="AB150" s="37" t="str">
        <f>IF(COUNT(ngay18!$G$21)&gt;0,ngay18!$G$21,"")</f>
        <v/>
      </c>
      <c r="AC150" s="34" t="str">
        <f t="shared" si="46"/>
        <v>x</v>
      </c>
      <c r="AD150" s="38">
        <f t="shared" si="47"/>
        <v>0</v>
      </c>
    </row>
    <row r="151" spans="1:32">
      <c r="A151" s="41"/>
      <c r="B151" s="48">
        <v>13</v>
      </c>
      <c r="C151" s="37" t="str">
        <f>IF(COUNT(ngay18!$T$31)&gt;0,ngay18!$T$31,"")</f>
        <v/>
      </c>
      <c r="D151" s="137" t="str">
        <f t="shared" si="32"/>
        <v>x</v>
      </c>
      <c r="E151" s="49">
        <f t="shared" si="33"/>
        <v>0</v>
      </c>
      <c r="F151" s="34"/>
      <c r="G151" s="37" t="str">
        <f>IF(COUNT(ngay18!$H$4)&gt;0,ngay18!$H$4,"")</f>
        <v/>
      </c>
      <c r="H151" s="34" t="str">
        <f t="shared" si="34"/>
        <v>x</v>
      </c>
      <c r="I151" s="38">
        <f t="shared" si="35"/>
        <v>0</v>
      </c>
      <c r="J151" s="37" t="str">
        <f>IF(COUNT(ngay18!$T$33)&gt;0,ngay18!$T$33,"")</f>
        <v/>
      </c>
      <c r="K151" s="137" t="str">
        <f t="shared" si="36"/>
        <v>x</v>
      </c>
      <c r="L151" s="49">
        <f t="shared" si="37"/>
        <v>0</v>
      </c>
      <c r="M151" s="34"/>
      <c r="N151" s="37" t="str">
        <f>IF(COUNT(ngay18!$H$6)&gt;0,ngay18!$H$6,"")</f>
        <v/>
      </c>
      <c r="O151" s="34" t="str">
        <f t="shared" si="38"/>
        <v>x</v>
      </c>
      <c r="P151" s="38">
        <f t="shared" si="39"/>
        <v>0</v>
      </c>
      <c r="Q151" s="37" t="str">
        <f>IF(COUNT(ngay18!$T$39)&gt;0,ngay18!$T$39,"")</f>
        <v/>
      </c>
      <c r="R151" s="137" t="str">
        <f t="shared" si="40"/>
        <v>x</v>
      </c>
      <c r="S151" s="49">
        <f t="shared" si="41"/>
        <v>0</v>
      </c>
      <c r="T151" s="34"/>
      <c r="U151" s="37" t="str">
        <f>IF(COUNT(ngay18!$H$12)&gt;0,ngay18!$H$12,"")</f>
        <v/>
      </c>
      <c r="V151" s="34" t="str">
        <f t="shared" si="42"/>
        <v>x</v>
      </c>
      <c r="W151" s="38">
        <f t="shared" si="43"/>
        <v>0</v>
      </c>
      <c r="X151" s="37" t="str">
        <f>IF(COUNT(ngay18!$T$48)&gt;0,ngay18!$T$48,"")</f>
        <v/>
      </c>
      <c r="Y151" s="137" t="str">
        <f t="shared" si="44"/>
        <v>x</v>
      </c>
      <c r="Z151" s="49">
        <f t="shared" si="45"/>
        <v>0</v>
      </c>
      <c r="AA151" s="34"/>
      <c r="AB151" s="37" t="str">
        <f>IF(COUNT(ngay18!$H$21)&gt;0,ngay18!$H$21,"")</f>
        <v/>
      </c>
      <c r="AC151" s="34" t="str">
        <f t="shared" si="46"/>
        <v>x</v>
      </c>
      <c r="AD151" s="38">
        <f t="shared" si="47"/>
        <v>0</v>
      </c>
    </row>
    <row r="152" spans="1:32">
      <c r="A152" s="41"/>
      <c r="B152" s="48">
        <v>16</v>
      </c>
      <c r="C152" s="37" t="str">
        <f>IF(COUNT(ngay18!$U$31)&gt;0,ngay18!$U$31,"")</f>
        <v/>
      </c>
      <c r="D152" s="137" t="str">
        <f t="shared" si="32"/>
        <v>x</v>
      </c>
      <c r="E152" s="49">
        <f t="shared" si="33"/>
        <v>0</v>
      </c>
      <c r="F152" s="34"/>
      <c r="G152" s="37" t="str">
        <f>IF(COUNT(ngay18!$I$4)&gt;0,ngay18!$I$4,"")</f>
        <v/>
      </c>
      <c r="H152" s="34" t="str">
        <f t="shared" si="34"/>
        <v>x</v>
      </c>
      <c r="I152" s="38">
        <f t="shared" si="35"/>
        <v>0</v>
      </c>
      <c r="J152" s="37" t="str">
        <f>IF(COUNT(ngay18!$U$33)&gt;0,ngay18!$U$33,"")</f>
        <v/>
      </c>
      <c r="K152" s="137" t="str">
        <f t="shared" si="36"/>
        <v>x</v>
      </c>
      <c r="L152" s="49">
        <f t="shared" si="37"/>
        <v>0</v>
      </c>
      <c r="M152" s="34"/>
      <c r="N152" s="37" t="str">
        <f>IF(COUNT(ngay18!$I$6)&gt;0,ngay18!$I$6,"")</f>
        <v/>
      </c>
      <c r="O152" s="34" t="str">
        <f t="shared" si="38"/>
        <v>x</v>
      </c>
      <c r="P152" s="38">
        <f t="shared" si="39"/>
        <v>0</v>
      </c>
      <c r="Q152" s="37" t="str">
        <f>IF(COUNT(ngay18!$U$39)&gt;0,ngay18!$U$39,"")</f>
        <v/>
      </c>
      <c r="R152" s="137" t="str">
        <f t="shared" si="40"/>
        <v>x</v>
      </c>
      <c r="S152" s="49">
        <f t="shared" si="41"/>
        <v>0</v>
      </c>
      <c r="T152" s="34"/>
      <c r="U152" s="37" t="str">
        <f>IF(COUNT(ngay18!$I$12)&gt;0,ngay18!$I$12,"")</f>
        <v/>
      </c>
      <c r="V152" s="34" t="str">
        <f t="shared" si="42"/>
        <v>x</v>
      </c>
      <c r="W152" s="38">
        <f t="shared" si="43"/>
        <v>0</v>
      </c>
      <c r="X152" s="37" t="str">
        <f>IF(COUNT(ngay18!$U$48)&gt;0,ngay18!$U$48,"")</f>
        <v/>
      </c>
      <c r="Y152" s="137" t="str">
        <f t="shared" si="44"/>
        <v>x</v>
      </c>
      <c r="Z152" s="49">
        <f t="shared" si="45"/>
        <v>0</v>
      </c>
      <c r="AA152" s="34"/>
      <c r="AB152" s="37" t="str">
        <f>IF(COUNT(ngay18!$I$21)&gt;0,ngay18!$I$21,"")</f>
        <v/>
      </c>
      <c r="AC152" s="34" t="str">
        <f t="shared" si="46"/>
        <v>x</v>
      </c>
      <c r="AD152" s="38">
        <f t="shared" si="47"/>
        <v>0</v>
      </c>
    </row>
    <row r="153" spans="1:32">
      <c r="A153" s="41"/>
      <c r="B153" s="48">
        <v>19</v>
      </c>
      <c r="C153" s="37" t="str">
        <f>IF(COUNT(ngay18!$V$31)&gt;0,ngay18!$V$31,"")</f>
        <v/>
      </c>
      <c r="D153" s="137" t="str">
        <f t="shared" si="32"/>
        <v>x</v>
      </c>
      <c r="E153" s="49">
        <f t="shared" si="33"/>
        <v>0</v>
      </c>
      <c r="F153" s="34"/>
      <c r="G153" s="37" t="str">
        <f>IF(COUNT(ngay18!$J$4)&gt;0,ngay18!$J$4,"")</f>
        <v/>
      </c>
      <c r="H153" s="34" t="str">
        <f t="shared" si="34"/>
        <v>x</v>
      </c>
      <c r="I153" s="38">
        <f t="shared" si="35"/>
        <v>0</v>
      </c>
      <c r="J153" s="37" t="str">
        <f>IF(COUNT(ngay18!$V$33)&gt;0,ngay18!$V$33,"")</f>
        <v/>
      </c>
      <c r="K153" s="137" t="str">
        <f t="shared" si="36"/>
        <v>x</v>
      </c>
      <c r="L153" s="49">
        <f t="shared" si="37"/>
        <v>0</v>
      </c>
      <c r="M153" s="34"/>
      <c r="N153" s="37" t="str">
        <f>IF(COUNT(ngay18!$J$6)&gt;0,ngay18!$J$6,"")</f>
        <v/>
      </c>
      <c r="O153" s="34" t="str">
        <f t="shared" si="38"/>
        <v>x</v>
      </c>
      <c r="P153" s="38">
        <f t="shared" si="39"/>
        <v>0</v>
      </c>
      <c r="Q153" s="37" t="str">
        <f>IF(COUNT(ngay18!$V$39)&gt;0,ngay18!$V$39,"")</f>
        <v/>
      </c>
      <c r="R153" s="137" t="str">
        <f t="shared" si="40"/>
        <v>x</v>
      </c>
      <c r="S153" s="49">
        <f t="shared" si="41"/>
        <v>0</v>
      </c>
      <c r="T153" s="34"/>
      <c r="U153" s="37" t="str">
        <f>IF(COUNT(ngay18!$J$12)&gt;0,ngay18!$J$12,"")</f>
        <v/>
      </c>
      <c r="V153" s="34" t="str">
        <f t="shared" si="42"/>
        <v>x</v>
      </c>
      <c r="W153" s="38">
        <f t="shared" si="43"/>
        <v>0</v>
      </c>
      <c r="X153" s="37" t="str">
        <f>IF(COUNT(ngay18!$V$48)&gt;0,ngay18!$V$48,"")</f>
        <v/>
      </c>
      <c r="Y153" s="137" t="str">
        <f t="shared" si="44"/>
        <v>x</v>
      </c>
      <c r="Z153" s="49">
        <f t="shared" si="45"/>
        <v>0</v>
      </c>
      <c r="AA153" s="34"/>
      <c r="AB153" s="37" t="str">
        <f>IF(COUNT(ngay18!$J$21)&gt;0,ngay18!$J$21,"")</f>
        <v/>
      </c>
      <c r="AC153" s="34" t="str">
        <f t="shared" si="46"/>
        <v>x</v>
      </c>
      <c r="AD153" s="38">
        <f t="shared" si="47"/>
        <v>0</v>
      </c>
    </row>
    <row r="154" spans="1:32">
      <c r="A154" s="41"/>
      <c r="B154" s="48">
        <v>22</v>
      </c>
      <c r="C154" s="37" t="str">
        <f>IF(COUNT(ngay19!$O$31)&gt;0,ngay19!$O$31,"")</f>
        <v/>
      </c>
      <c r="D154" s="137" t="str">
        <f t="shared" si="32"/>
        <v>x</v>
      </c>
      <c r="E154" s="49">
        <f t="shared" si="33"/>
        <v>0</v>
      </c>
      <c r="F154" s="34"/>
      <c r="G154" s="37" t="str">
        <f>IF(COUNT(ngay19!$C$4)&gt;0,ngay19!$C$4,"")</f>
        <v/>
      </c>
      <c r="H154" s="34" t="str">
        <f t="shared" si="34"/>
        <v>x</v>
      </c>
      <c r="I154" s="38">
        <f t="shared" si="35"/>
        <v>0</v>
      </c>
      <c r="J154" s="37" t="str">
        <f>IF(COUNT(ngay19!$O$33)&gt;0,ngay19!$O$33,"")</f>
        <v/>
      </c>
      <c r="K154" s="137" t="str">
        <f t="shared" si="36"/>
        <v>x</v>
      </c>
      <c r="L154" s="49">
        <f t="shared" si="37"/>
        <v>0</v>
      </c>
      <c r="M154" s="34"/>
      <c r="N154" s="37" t="str">
        <f>IF(COUNT(ngay19!$C$6)&gt;0,ngay19!$C$6,"")</f>
        <v/>
      </c>
      <c r="O154" s="34" t="str">
        <f t="shared" si="38"/>
        <v>x</v>
      </c>
      <c r="P154" s="38">
        <f t="shared" si="39"/>
        <v>0</v>
      </c>
      <c r="Q154" s="37" t="str">
        <f>IF(COUNT(ngay19!$O$39)&gt;0,ngay19!$O$39,"")</f>
        <v/>
      </c>
      <c r="R154" s="137" t="str">
        <f t="shared" si="40"/>
        <v>x</v>
      </c>
      <c r="S154" s="49">
        <f t="shared" si="41"/>
        <v>0</v>
      </c>
      <c r="T154" s="34"/>
      <c r="U154" s="37" t="str">
        <f>IF(COUNT(ngay19!$C$12)&gt;0,ngay19!$C$12,"")</f>
        <v/>
      </c>
      <c r="V154" s="34" t="str">
        <f t="shared" si="42"/>
        <v>x</v>
      </c>
      <c r="W154" s="38">
        <f t="shared" si="43"/>
        <v>0</v>
      </c>
      <c r="X154" s="37" t="str">
        <f>IF(COUNT(ngay19!$O$48)&gt;0,ngay19!$O$48,"")</f>
        <v/>
      </c>
      <c r="Y154" s="137" t="str">
        <f t="shared" si="44"/>
        <v>x</v>
      </c>
      <c r="Z154" s="49">
        <f t="shared" si="45"/>
        <v>0</v>
      </c>
      <c r="AA154" s="34"/>
      <c r="AB154" s="37" t="str">
        <f>IF(COUNT(ngay19!$C$21)&gt;0,ngay19!$C$21,"")</f>
        <v/>
      </c>
      <c r="AC154" s="34" t="str">
        <f t="shared" si="46"/>
        <v>x</v>
      </c>
      <c r="AD154" s="38">
        <f t="shared" si="47"/>
        <v>0</v>
      </c>
    </row>
    <row r="155" spans="1:32" s="145" customFormat="1">
      <c r="A155" s="146">
        <v>19</v>
      </c>
      <c r="B155" s="48">
        <v>1</v>
      </c>
      <c r="C155" s="141" t="str">
        <f>IF(COUNT(ngay19!$P$31)&gt;0,ngay19!$P$31,"")</f>
        <v/>
      </c>
      <c r="D155" s="144" t="str">
        <f t="shared" si="32"/>
        <v>x</v>
      </c>
      <c r="E155" s="142">
        <f t="shared" si="33"/>
        <v>0</v>
      </c>
      <c r="F155" s="140"/>
      <c r="G155" s="141" t="str">
        <f>IF(COUNT(ngay19!$D$4)&gt;0,ngay19!$D$4,"")</f>
        <v/>
      </c>
      <c r="H155" s="140" t="str">
        <f t="shared" si="34"/>
        <v>x</v>
      </c>
      <c r="I155" s="143">
        <f t="shared" si="35"/>
        <v>0</v>
      </c>
      <c r="J155" s="141" t="str">
        <f>IF(COUNT(ngay19!$P$33)&gt;0,ngay19!$P$33,"")</f>
        <v/>
      </c>
      <c r="K155" s="144" t="str">
        <f t="shared" si="36"/>
        <v>x</v>
      </c>
      <c r="L155" s="142">
        <f t="shared" si="37"/>
        <v>0</v>
      </c>
      <c r="M155" s="140"/>
      <c r="N155" s="141" t="str">
        <f>IF(COUNT(ngay19!$D$6)&gt;0,ngay19!$D$6,"")</f>
        <v/>
      </c>
      <c r="O155" s="140" t="str">
        <f t="shared" si="38"/>
        <v>x</v>
      </c>
      <c r="P155" s="143">
        <f t="shared" si="39"/>
        <v>0</v>
      </c>
      <c r="Q155" s="141" t="str">
        <f>IF(COUNT(ngay19!$P$39)&gt;0,ngay19!$P$39,"")</f>
        <v/>
      </c>
      <c r="R155" s="144" t="str">
        <f t="shared" si="40"/>
        <v>x</v>
      </c>
      <c r="S155" s="142">
        <f t="shared" si="41"/>
        <v>0</v>
      </c>
      <c r="T155" s="140"/>
      <c r="U155" s="141" t="str">
        <f>IF(COUNT(ngay19!$D$12)&gt;0,ngay19!$D$12,"")</f>
        <v/>
      </c>
      <c r="V155" s="140" t="str">
        <f t="shared" si="42"/>
        <v>x</v>
      </c>
      <c r="W155" s="143">
        <f t="shared" si="43"/>
        <v>0</v>
      </c>
      <c r="X155" s="141" t="str">
        <f>IF(COUNT(ngay19!$P$48)&gt;0,ngay19!$P$48,"")</f>
        <v/>
      </c>
      <c r="Y155" s="144" t="str">
        <f t="shared" si="44"/>
        <v>x</v>
      </c>
      <c r="Z155" s="142">
        <f t="shared" si="45"/>
        <v>0</v>
      </c>
      <c r="AA155" s="140"/>
      <c r="AB155" s="141" t="str">
        <f>IF(COUNT(ngay19!$D$21)&gt;0,ngay19!$D$21,"")</f>
        <v/>
      </c>
      <c r="AC155" s="140" t="str">
        <f t="shared" si="46"/>
        <v>x</v>
      </c>
      <c r="AD155" s="143">
        <f t="shared" si="47"/>
        <v>0</v>
      </c>
      <c r="AE155" s="147"/>
      <c r="AF155" s="147"/>
    </row>
    <row r="156" spans="1:32">
      <c r="A156" s="41"/>
      <c r="B156" s="48">
        <v>4</v>
      </c>
      <c r="C156" s="37" t="str">
        <f>IF(COUNT(ngay19!$Q$31)&gt;0,ngay19!$Q$31,"")</f>
        <v/>
      </c>
      <c r="D156" s="137" t="str">
        <f t="shared" si="32"/>
        <v>x</v>
      </c>
      <c r="E156" s="49">
        <f t="shared" si="33"/>
        <v>0</v>
      </c>
      <c r="F156" s="34"/>
      <c r="G156" s="37" t="str">
        <f>IF(COUNT(ngay19!$E$4)&gt;0,ngay19!$E$4,"")</f>
        <v/>
      </c>
      <c r="H156" s="34" t="str">
        <f t="shared" si="34"/>
        <v>x</v>
      </c>
      <c r="I156" s="38">
        <f t="shared" si="35"/>
        <v>0</v>
      </c>
      <c r="J156" s="37" t="str">
        <f>IF(COUNT(ngay19!$Q$33)&gt;0,ngay19!$Q$33,"")</f>
        <v/>
      </c>
      <c r="K156" s="137" t="str">
        <f t="shared" si="36"/>
        <v>x</v>
      </c>
      <c r="L156" s="49">
        <f t="shared" si="37"/>
        <v>0</v>
      </c>
      <c r="M156" s="34"/>
      <c r="N156" s="37" t="str">
        <f>IF(COUNT(ngay19!$E$6)&gt;0,ngay19!$E$6,"")</f>
        <v/>
      </c>
      <c r="O156" s="34" t="str">
        <f t="shared" si="38"/>
        <v>x</v>
      </c>
      <c r="P156" s="38">
        <f t="shared" si="39"/>
        <v>0</v>
      </c>
      <c r="Q156" s="37" t="str">
        <f>IF(COUNT(ngay19!$Q$39)&gt;0,ngay19!$Q$39,"")</f>
        <v/>
      </c>
      <c r="R156" s="137" t="str">
        <f t="shared" si="40"/>
        <v>x</v>
      </c>
      <c r="S156" s="49">
        <f t="shared" si="41"/>
        <v>0</v>
      </c>
      <c r="T156" s="34"/>
      <c r="U156" s="37" t="str">
        <f>IF(COUNT(ngay19!$E$12)&gt;0,ngay19!$E$12,"")</f>
        <v/>
      </c>
      <c r="V156" s="34" t="str">
        <f t="shared" si="42"/>
        <v>x</v>
      </c>
      <c r="W156" s="38">
        <f t="shared" si="43"/>
        <v>0</v>
      </c>
      <c r="X156" s="37" t="str">
        <f>IF(COUNT(ngay19!$Q$48)&gt;0,ngay19!$Q$48,"")</f>
        <v/>
      </c>
      <c r="Y156" s="137" t="str">
        <f t="shared" si="44"/>
        <v>x</v>
      </c>
      <c r="Z156" s="49">
        <f t="shared" si="45"/>
        <v>0</v>
      </c>
      <c r="AA156" s="34"/>
      <c r="AB156" s="37" t="str">
        <f>IF(COUNT(ngay19!$E$21)&gt;0,ngay19!$E$21,"")</f>
        <v/>
      </c>
      <c r="AC156" s="34" t="str">
        <f t="shared" si="46"/>
        <v>x</v>
      </c>
      <c r="AD156" s="38">
        <f t="shared" si="47"/>
        <v>0</v>
      </c>
    </row>
    <row r="157" spans="1:32">
      <c r="A157" s="41"/>
      <c r="B157" s="139">
        <v>7</v>
      </c>
      <c r="C157" s="37" t="str">
        <f>IF(COUNT(ngay19!$R$31)&gt;0,ngay19!$R$31,"")</f>
        <v/>
      </c>
      <c r="D157" s="137" t="str">
        <f t="shared" si="32"/>
        <v>x</v>
      </c>
      <c r="E157" s="49">
        <f t="shared" si="33"/>
        <v>0</v>
      </c>
      <c r="F157" s="34"/>
      <c r="G157" s="37" t="str">
        <f>IF(COUNT(ngay19!$F$4)&gt;0,ngay19!$F$4,"")</f>
        <v/>
      </c>
      <c r="H157" s="34" t="str">
        <f t="shared" si="34"/>
        <v>x</v>
      </c>
      <c r="I157" s="38">
        <f t="shared" si="35"/>
        <v>0</v>
      </c>
      <c r="J157" s="37" t="str">
        <f>IF(COUNT(ngay19!$R$33)&gt;0,ngay19!$R$33,"")</f>
        <v/>
      </c>
      <c r="K157" s="137" t="str">
        <f t="shared" si="36"/>
        <v>x</v>
      </c>
      <c r="L157" s="49">
        <f t="shared" si="37"/>
        <v>0</v>
      </c>
      <c r="M157" s="34"/>
      <c r="N157" s="37" t="str">
        <f>IF(COUNT(ngay19!$F$6)&gt;0,ngay19!$F$6,"")</f>
        <v/>
      </c>
      <c r="O157" s="34" t="str">
        <f t="shared" si="38"/>
        <v>x</v>
      </c>
      <c r="P157" s="38">
        <f t="shared" si="39"/>
        <v>0</v>
      </c>
      <c r="Q157" s="37" t="str">
        <f>IF(COUNT(ngay19!$R$39)&gt;0,ngay19!$R$39,"")</f>
        <v/>
      </c>
      <c r="R157" s="137" t="str">
        <f t="shared" si="40"/>
        <v>x</v>
      </c>
      <c r="S157" s="49">
        <f t="shared" si="41"/>
        <v>0</v>
      </c>
      <c r="T157" s="34"/>
      <c r="U157" s="37" t="str">
        <f>IF(COUNT(ngay19!$F$12)&gt;0,ngay19!$F$12,"")</f>
        <v/>
      </c>
      <c r="V157" s="34" t="str">
        <f t="shared" si="42"/>
        <v>x</v>
      </c>
      <c r="W157" s="38">
        <f t="shared" si="43"/>
        <v>0</v>
      </c>
      <c r="X157" s="37" t="str">
        <f>IF(COUNT(ngay19!$R$48)&gt;0,ngay19!$R$48,"")</f>
        <v/>
      </c>
      <c r="Y157" s="137" t="str">
        <f t="shared" si="44"/>
        <v>x</v>
      </c>
      <c r="Z157" s="49">
        <f t="shared" si="45"/>
        <v>0</v>
      </c>
      <c r="AA157" s="34"/>
      <c r="AB157" s="37" t="str">
        <f>IF(COUNT(ngay19!$F$21)&gt;0,ngay19!$F$21,"")</f>
        <v/>
      </c>
      <c r="AC157" s="34" t="str">
        <f t="shared" si="46"/>
        <v>x</v>
      </c>
      <c r="AD157" s="38">
        <f t="shared" si="47"/>
        <v>0</v>
      </c>
    </row>
    <row r="158" spans="1:32">
      <c r="A158" s="41"/>
      <c r="B158" s="48">
        <v>10</v>
      </c>
      <c r="C158" s="37" t="str">
        <f>IF(COUNT(ngay19!$S$31)&gt;0,ngay19!$S$31,"")</f>
        <v/>
      </c>
      <c r="D158" s="137" t="str">
        <f t="shared" si="32"/>
        <v>x</v>
      </c>
      <c r="E158" s="49">
        <f t="shared" si="33"/>
        <v>0</v>
      </c>
      <c r="F158" s="34"/>
      <c r="G158" s="37" t="str">
        <f>IF(COUNT(ngay19!$G$4)&gt;0,ngay19!$G$4,"")</f>
        <v/>
      </c>
      <c r="H158" s="34" t="str">
        <f t="shared" si="34"/>
        <v>x</v>
      </c>
      <c r="I158" s="38">
        <f t="shared" si="35"/>
        <v>0</v>
      </c>
      <c r="J158" s="37" t="str">
        <f>IF(COUNT(ngay19!$S$33)&gt;0,ngay19!$S$33,"")</f>
        <v/>
      </c>
      <c r="K158" s="137" t="str">
        <f t="shared" si="36"/>
        <v>x</v>
      </c>
      <c r="L158" s="49">
        <f t="shared" si="37"/>
        <v>0</v>
      </c>
      <c r="M158" s="34"/>
      <c r="N158" s="37" t="str">
        <f>IF(COUNT(ngay19!$G$6)&gt;0,ngay19!$G$6,"")</f>
        <v/>
      </c>
      <c r="O158" s="34" t="str">
        <f t="shared" si="38"/>
        <v>x</v>
      </c>
      <c r="P158" s="38">
        <f t="shared" si="39"/>
        <v>0</v>
      </c>
      <c r="Q158" s="37" t="str">
        <f>IF(COUNT(ngay19!$S$39)&gt;0,ngay19!$S$39,"")</f>
        <v/>
      </c>
      <c r="R158" s="137" t="str">
        <f t="shared" si="40"/>
        <v>x</v>
      </c>
      <c r="S158" s="49">
        <f t="shared" si="41"/>
        <v>0</v>
      </c>
      <c r="T158" s="34"/>
      <c r="U158" s="37" t="str">
        <f>IF(COUNT(ngay19!$G$12)&gt;0,ngay19!$G$12,"")</f>
        <v/>
      </c>
      <c r="V158" s="34" t="str">
        <f t="shared" si="42"/>
        <v>x</v>
      </c>
      <c r="W158" s="38">
        <f t="shared" si="43"/>
        <v>0</v>
      </c>
      <c r="X158" s="37" t="str">
        <f>IF(COUNT(ngay19!$S$48)&gt;0,ngay19!$S$48,"")</f>
        <v/>
      </c>
      <c r="Y158" s="137" t="str">
        <f t="shared" si="44"/>
        <v>x</v>
      </c>
      <c r="Z158" s="49">
        <f t="shared" si="45"/>
        <v>0</v>
      </c>
      <c r="AA158" s="34"/>
      <c r="AB158" s="37" t="str">
        <f>IF(COUNT(ngay19!$G$21)&gt;0,ngay19!$G$21,"")</f>
        <v/>
      </c>
      <c r="AC158" s="34" t="str">
        <f t="shared" si="46"/>
        <v>x</v>
      </c>
      <c r="AD158" s="38">
        <f t="shared" si="47"/>
        <v>0</v>
      </c>
    </row>
    <row r="159" spans="1:32">
      <c r="A159" s="41"/>
      <c r="B159" s="48">
        <v>13</v>
      </c>
      <c r="C159" s="37" t="str">
        <f>IF(COUNT(ngay19!$T$31)&gt;0,ngay19!$T$31,"")</f>
        <v/>
      </c>
      <c r="D159" s="137" t="str">
        <f t="shared" si="32"/>
        <v>x</v>
      </c>
      <c r="E159" s="49">
        <f t="shared" si="33"/>
        <v>0</v>
      </c>
      <c r="F159" s="34"/>
      <c r="G159" s="37" t="str">
        <f>IF(COUNT(ngay19!$H$4)&gt;0,ngay19!$H$4,"")</f>
        <v/>
      </c>
      <c r="H159" s="34" t="str">
        <f t="shared" si="34"/>
        <v>x</v>
      </c>
      <c r="I159" s="38">
        <f t="shared" si="35"/>
        <v>0</v>
      </c>
      <c r="J159" s="37" t="str">
        <f>IF(COUNT(ngay19!$T$33)&gt;0,ngay19!$T$33,"")</f>
        <v/>
      </c>
      <c r="K159" s="137" t="str">
        <f t="shared" si="36"/>
        <v>x</v>
      </c>
      <c r="L159" s="49">
        <f t="shared" si="37"/>
        <v>0</v>
      </c>
      <c r="M159" s="34"/>
      <c r="N159" s="37" t="str">
        <f>IF(COUNT(ngay19!$H$6)&gt;0,ngay19!$H$6,"")</f>
        <v/>
      </c>
      <c r="O159" s="34" t="str">
        <f t="shared" si="38"/>
        <v>x</v>
      </c>
      <c r="P159" s="38">
        <f t="shared" si="39"/>
        <v>0</v>
      </c>
      <c r="Q159" s="37" t="str">
        <f>IF(COUNT(ngay19!$T$39)&gt;0,ngay19!$T$39,"")</f>
        <v/>
      </c>
      <c r="R159" s="137" t="str">
        <f t="shared" si="40"/>
        <v>x</v>
      </c>
      <c r="S159" s="49">
        <f t="shared" si="41"/>
        <v>0</v>
      </c>
      <c r="T159" s="34"/>
      <c r="U159" s="37" t="str">
        <f>IF(COUNT(ngay19!$H$12)&gt;0,ngay19!$H$12,"")</f>
        <v/>
      </c>
      <c r="V159" s="34" t="str">
        <f t="shared" si="42"/>
        <v>x</v>
      </c>
      <c r="W159" s="38">
        <f t="shared" si="43"/>
        <v>0</v>
      </c>
      <c r="X159" s="37" t="str">
        <f>IF(COUNT(ngay19!$T$48)&gt;0,ngay19!$T$48,"")</f>
        <v/>
      </c>
      <c r="Y159" s="137" t="str">
        <f t="shared" si="44"/>
        <v>x</v>
      </c>
      <c r="Z159" s="49">
        <f t="shared" si="45"/>
        <v>0</v>
      </c>
      <c r="AA159" s="34"/>
      <c r="AB159" s="37" t="str">
        <f>IF(COUNT(ngay19!$H$21)&gt;0,ngay19!$H$21,"")</f>
        <v/>
      </c>
      <c r="AC159" s="34" t="str">
        <f t="shared" si="46"/>
        <v>x</v>
      </c>
      <c r="AD159" s="38">
        <f t="shared" si="47"/>
        <v>0</v>
      </c>
    </row>
    <row r="160" spans="1:32">
      <c r="A160" s="41"/>
      <c r="B160" s="48">
        <v>16</v>
      </c>
      <c r="C160" s="37" t="str">
        <f>IF(COUNT(ngay19!$U$31)&gt;0,ngay19!$U$31,"")</f>
        <v/>
      </c>
      <c r="D160" s="137" t="str">
        <f t="shared" si="32"/>
        <v>x</v>
      </c>
      <c r="E160" s="49">
        <f t="shared" si="33"/>
        <v>0</v>
      </c>
      <c r="F160" s="34"/>
      <c r="G160" s="37" t="str">
        <f>IF(COUNT(ngay19!$I$4)&gt;0,ngay19!$I$4,"")</f>
        <v/>
      </c>
      <c r="H160" s="34" t="str">
        <f t="shared" si="34"/>
        <v>x</v>
      </c>
      <c r="I160" s="38">
        <f t="shared" si="35"/>
        <v>0</v>
      </c>
      <c r="J160" s="37" t="str">
        <f>IF(COUNT(ngay19!$U$33)&gt;0,ngay19!$U$33,"")</f>
        <v/>
      </c>
      <c r="K160" s="137" t="str">
        <f t="shared" si="36"/>
        <v>x</v>
      </c>
      <c r="L160" s="49">
        <f t="shared" si="37"/>
        <v>0</v>
      </c>
      <c r="M160" s="34"/>
      <c r="N160" s="37" t="str">
        <f>IF(COUNT(ngay19!$I$6)&gt;0,ngay19!$I$6,"")</f>
        <v/>
      </c>
      <c r="O160" s="34" t="str">
        <f t="shared" si="38"/>
        <v>x</v>
      </c>
      <c r="P160" s="38">
        <f t="shared" si="39"/>
        <v>0</v>
      </c>
      <c r="Q160" s="37" t="str">
        <f>IF(COUNT(ngay19!$U$39)&gt;0,ngay19!$U$39,"")</f>
        <v/>
      </c>
      <c r="R160" s="137" t="str">
        <f t="shared" si="40"/>
        <v>x</v>
      </c>
      <c r="S160" s="49">
        <f t="shared" si="41"/>
        <v>0</v>
      </c>
      <c r="T160" s="34"/>
      <c r="U160" s="37" t="str">
        <f>IF(COUNT(ngay19!$I$12)&gt;0,ngay19!$I$12,"")</f>
        <v/>
      </c>
      <c r="V160" s="34" t="str">
        <f t="shared" si="42"/>
        <v>x</v>
      </c>
      <c r="W160" s="38">
        <f t="shared" si="43"/>
        <v>0</v>
      </c>
      <c r="X160" s="37" t="str">
        <f>IF(COUNT(ngay19!$U$48)&gt;0,ngay19!$U$48,"")</f>
        <v/>
      </c>
      <c r="Y160" s="137" t="str">
        <f t="shared" si="44"/>
        <v>x</v>
      </c>
      <c r="Z160" s="49">
        <f t="shared" si="45"/>
        <v>0</v>
      </c>
      <c r="AA160" s="34"/>
      <c r="AB160" s="37" t="str">
        <f>IF(COUNT(ngay19!$I$21)&gt;0,ngay19!$I$21,"")</f>
        <v/>
      </c>
      <c r="AC160" s="34" t="str">
        <f t="shared" si="46"/>
        <v>x</v>
      </c>
      <c r="AD160" s="38">
        <f t="shared" si="47"/>
        <v>0</v>
      </c>
    </row>
    <row r="161" spans="1:32">
      <c r="A161" s="41"/>
      <c r="B161" s="48">
        <v>19</v>
      </c>
      <c r="C161" s="37" t="str">
        <f>IF(COUNT(ngay19!$V$31)&gt;0,ngay19!$V$31,"")</f>
        <v/>
      </c>
      <c r="D161" s="137" t="str">
        <f t="shared" si="32"/>
        <v>x</v>
      </c>
      <c r="E161" s="49">
        <f t="shared" si="33"/>
        <v>0</v>
      </c>
      <c r="F161" s="34"/>
      <c r="G161" s="37" t="str">
        <f>IF(COUNT(ngay19!$J$4)&gt;0,ngay19!$J$4,"")</f>
        <v/>
      </c>
      <c r="H161" s="34" t="str">
        <f t="shared" si="34"/>
        <v>x</v>
      </c>
      <c r="I161" s="38">
        <f t="shared" si="35"/>
        <v>0</v>
      </c>
      <c r="J161" s="37" t="str">
        <f>IF(COUNT(ngay19!$V$33)&gt;0,ngay19!$V$33,"")</f>
        <v/>
      </c>
      <c r="K161" s="137" t="str">
        <f t="shared" si="36"/>
        <v>x</v>
      </c>
      <c r="L161" s="49">
        <f t="shared" si="37"/>
        <v>0</v>
      </c>
      <c r="M161" s="34"/>
      <c r="N161" s="37" t="str">
        <f>IF(COUNT(ngay19!$J$6)&gt;0,ngay19!$J$6,"")</f>
        <v/>
      </c>
      <c r="O161" s="34" t="str">
        <f t="shared" si="38"/>
        <v>x</v>
      </c>
      <c r="P161" s="38">
        <f t="shared" si="39"/>
        <v>0</v>
      </c>
      <c r="Q161" s="37" t="str">
        <f>IF(COUNT(ngay19!$V$39)&gt;0,ngay19!$V$39,"")</f>
        <v/>
      </c>
      <c r="R161" s="137" t="str">
        <f t="shared" si="40"/>
        <v>x</v>
      </c>
      <c r="S161" s="49">
        <f t="shared" si="41"/>
        <v>0</v>
      </c>
      <c r="T161" s="34"/>
      <c r="U161" s="37" t="str">
        <f>IF(COUNT(ngay19!$J$12)&gt;0,ngay19!$J$12,"")</f>
        <v/>
      </c>
      <c r="V161" s="34" t="str">
        <f t="shared" si="42"/>
        <v>x</v>
      </c>
      <c r="W161" s="38">
        <f t="shared" si="43"/>
        <v>0</v>
      </c>
      <c r="X161" s="37" t="str">
        <f>IF(COUNT(ngay19!$V$48)&gt;0,ngay19!$V$48,"")</f>
        <v/>
      </c>
      <c r="Y161" s="137" t="str">
        <f t="shared" si="44"/>
        <v>x</v>
      </c>
      <c r="Z161" s="49">
        <f t="shared" si="45"/>
        <v>0</v>
      </c>
      <c r="AA161" s="34"/>
      <c r="AB161" s="37" t="str">
        <f>IF(COUNT(ngay19!$J$21)&gt;0,ngay19!$J$21,"")</f>
        <v/>
      </c>
      <c r="AC161" s="34" t="str">
        <f t="shared" si="46"/>
        <v>x</v>
      </c>
      <c r="AD161" s="38">
        <f t="shared" si="47"/>
        <v>0</v>
      </c>
    </row>
    <row r="162" spans="1:32">
      <c r="A162" s="41"/>
      <c r="B162" s="48">
        <v>22</v>
      </c>
      <c r="C162" s="37" t="str">
        <f>IF(COUNT(ngay20!$O$31)&gt;0,ngay20!$O$31,"")</f>
        <v/>
      </c>
      <c r="D162" s="137" t="str">
        <f t="shared" si="32"/>
        <v>x</v>
      </c>
      <c r="E162" s="49">
        <f t="shared" si="33"/>
        <v>0</v>
      </c>
      <c r="F162" s="34"/>
      <c r="G162" s="37" t="str">
        <f>IF(COUNT(ngay20!$C$4)&gt;0,ngay20!$C$4,"")</f>
        <v/>
      </c>
      <c r="H162" s="34" t="str">
        <f t="shared" si="34"/>
        <v>x</v>
      </c>
      <c r="I162" s="38">
        <f t="shared" si="35"/>
        <v>0</v>
      </c>
      <c r="J162" s="37" t="str">
        <f>IF(COUNT(ngay20!$O$33)&gt;0,ngay20!$O$33,"")</f>
        <v/>
      </c>
      <c r="K162" s="137" t="str">
        <f t="shared" si="36"/>
        <v>x</v>
      </c>
      <c r="L162" s="49">
        <f t="shared" si="37"/>
        <v>0</v>
      </c>
      <c r="M162" s="34"/>
      <c r="N162" s="37" t="str">
        <f>IF(COUNT(ngay20!$C$6)&gt;0,ngay20!$C$6,"")</f>
        <v/>
      </c>
      <c r="O162" s="34" t="str">
        <f t="shared" si="38"/>
        <v>x</v>
      </c>
      <c r="P162" s="38">
        <f t="shared" si="39"/>
        <v>0</v>
      </c>
      <c r="Q162" s="37" t="str">
        <f>IF(COUNT(ngay20!$O$39)&gt;0,ngay20!$O$39,"")</f>
        <v/>
      </c>
      <c r="R162" s="137" t="str">
        <f t="shared" si="40"/>
        <v>x</v>
      </c>
      <c r="S162" s="49">
        <f t="shared" si="41"/>
        <v>0</v>
      </c>
      <c r="T162" s="34"/>
      <c r="U162" s="37" t="str">
        <f>IF(COUNT(ngay20!$C$12)&gt;0,ngay20!$C$12,"")</f>
        <v/>
      </c>
      <c r="V162" s="34" t="str">
        <f t="shared" si="42"/>
        <v>x</v>
      </c>
      <c r="W162" s="38">
        <f t="shared" si="43"/>
        <v>0</v>
      </c>
      <c r="X162" s="37" t="str">
        <f>IF(COUNT(ngay20!$O$48)&gt;0,ngay20!$O$48,"")</f>
        <v/>
      </c>
      <c r="Y162" s="137" t="str">
        <f t="shared" si="44"/>
        <v>x</v>
      </c>
      <c r="Z162" s="49">
        <f t="shared" si="45"/>
        <v>0</v>
      </c>
      <c r="AA162" s="34"/>
      <c r="AB162" s="37" t="str">
        <f>IF(COUNT(ngay20!$C$21)&gt;0,ngay20!$C$21,"")</f>
        <v/>
      </c>
      <c r="AC162" s="34" t="str">
        <f t="shared" si="46"/>
        <v>x</v>
      </c>
      <c r="AD162" s="38">
        <f t="shared" si="47"/>
        <v>0</v>
      </c>
    </row>
    <row r="163" spans="1:32" s="145" customFormat="1">
      <c r="A163" s="146">
        <v>20</v>
      </c>
      <c r="B163" s="48">
        <v>1</v>
      </c>
      <c r="C163" s="141" t="str">
        <f>IF(COUNT(ngay20!$P$31)&gt;0,ngay20!$P$31,"")</f>
        <v/>
      </c>
      <c r="D163" s="144" t="str">
        <f t="shared" si="32"/>
        <v>x</v>
      </c>
      <c r="E163" s="142">
        <f t="shared" si="33"/>
        <v>0</v>
      </c>
      <c r="F163" s="140"/>
      <c r="G163" s="141" t="str">
        <f>IF(COUNT(ngay20!$D$4)&gt;0,ngay20!$D$4,"")</f>
        <v/>
      </c>
      <c r="H163" s="140" t="str">
        <f t="shared" si="34"/>
        <v>x</v>
      </c>
      <c r="I163" s="143">
        <f t="shared" si="35"/>
        <v>0</v>
      </c>
      <c r="J163" s="141" t="str">
        <f>IF(COUNT(ngay20!$P$33)&gt;0,ngay20!$P$33,"")</f>
        <v/>
      </c>
      <c r="K163" s="144" t="str">
        <f t="shared" si="36"/>
        <v>x</v>
      </c>
      <c r="L163" s="142">
        <f t="shared" si="37"/>
        <v>0</v>
      </c>
      <c r="M163" s="140"/>
      <c r="N163" s="141" t="str">
        <f>IF(COUNT(ngay20!$D$6)&gt;0,ngay20!$D$6,"")</f>
        <v/>
      </c>
      <c r="O163" s="140" t="str">
        <f t="shared" si="38"/>
        <v>x</v>
      </c>
      <c r="P163" s="143">
        <f t="shared" si="39"/>
        <v>0</v>
      </c>
      <c r="Q163" s="141" t="str">
        <f>IF(COUNT(ngay20!$P$39)&gt;0,ngay20!$P$39,"")</f>
        <v/>
      </c>
      <c r="R163" s="144" t="str">
        <f t="shared" si="40"/>
        <v>x</v>
      </c>
      <c r="S163" s="142">
        <f t="shared" si="41"/>
        <v>0</v>
      </c>
      <c r="T163" s="140"/>
      <c r="U163" s="141" t="str">
        <f>IF(COUNT(ngay20!$D$12)&gt;0,ngay20!$D$12,"")</f>
        <v/>
      </c>
      <c r="V163" s="140" t="str">
        <f t="shared" si="42"/>
        <v>x</v>
      </c>
      <c r="W163" s="143">
        <f t="shared" si="43"/>
        <v>0</v>
      </c>
      <c r="X163" s="141" t="str">
        <f>IF(COUNT(ngay20!$P$48)&gt;0,ngay20!$P$48,"")</f>
        <v/>
      </c>
      <c r="Y163" s="144" t="str">
        <f t="shared" si="44"/>
        <v>x</v>
      </c>
      <c r="Z163" s="142">
        <f t="shared" si="45"/>
        <v>0</v>
      </c>
      <c r="AA163" s="140"/>
      <c r="AB163" s="141" t="str">
        <f>IF(COUNT(ngay20!$D$21)&gt;0,ngay20!$D$21,"")</f>
        <v/>
      </c>
      <c r="AC163" s="140" t="str">
        <f t="shared" si="46"/>
        <v>x</v>
      </c>
      <c r="AD163" s="143">
        <f t="shared" si="47"/>
        <v>0</v>
      </c>
      <c r="AE163" s="147"/>
      <c r="AF163" s="147"/>
    </row>
    <row r="164" spans="1:32">
      <c r="A164" s="41"/>
      <c r="B164" s="48">
        <v>4</v>
      </c>
      <c r="C164" s="37" t="str">
        <f>IF(COUNT(ngay20!$Q$31)&gt;0,ngay20!$Q$31,"")</f>
        <v/>
      </c>
      <c r="D164" s="137" t="str">
        <f t="shared" si="32"/>
        <v>x</v>
      </c>
      <c r="E164" s="49">
        <f t="shared" si="33"/>
        <v>0</v>
      </c>
      <c r="F164" s="34"/>
      <c r="G164" s="37" t="str">
        <f>IF(COUNT(ngay20!$E$4)&gt;0,ngay20!$E$4,"")</f>
        <v/>
      </c>
      <c r="H164" s="34" t="str">
        <f t="shared" si="34"/>
        <v>x</v>
      </c>
      <c r="I164" s="38">
        <f t="shared" si="35"/>
        <v>0</v>
      </c>
      <c r="J164" s="37" t="str">
        <f>IF(COUNT(ngay20!$Q$33)&gt;0,ngay20!$Q$33,"")</f>
        <v/>
      </c>
      <c r="K164" s="137" t="str">
        <f t="shared" si="36"/>
        <v>x</v>
      </c>
      <c r="L164" s="49">
        <f t="shared" si="37"/>
        <v>0</v>
      </c>
      <c r="M164" s="34"/>
      <c r="N164" s="37" t="str">
        <f>IF(COUNT(ngay20!$E$6)&gt;0,ngay20!$E$6,"")</f>
        <v/>
      </c>
      <c r="O164" s="34" t="str">
        <f t="shared" si="38"/>
        <v>x</v>
      </c>
      <c r="P164" s="38">
        <f t="shared" si="39"/>
        <v>0</v>
      </c>
      <c r="Q164" s="37" t="str">
        <f>IF(COUNT(ngay20!$Q$39)&gt;0,ngay20!$Q$39,"")</f>
        <v/>
      </c>
      <c r="R164" s="137" t="str">
        <f t="shared" si="40"/>
        <v>x</v>
      </c>
      <c r="S164" s="49">
        <f t="shared" si="41"/>
        <v>0</v>
      </c>
      <c r="T164" s="34"/>
      <c r="U164" s="37" t="str">
        <f>IF(COUNT(ngay20!$E$12)&gt;0,ngay20!$E$12,"")</f>
        <v/>
      </c>
      <c r="V164" s="34" t="str">
        <f t="shared" si="42"/>
        <v>x</v>
      </c>
      <c r="W164" s="38">
        <f t="shared" si="43"/>
        <v>0</v>
      </c>
      <c r="X164" s="37" t="str">
        <f>IF(COUNT(ngay20!$Q$48)&gt;0,ngay20!$Q$48,"")</f>
        <v/>
      </c>
      <c r="Y164" s="137" t="str">
        <f t="shared" si="44"/>
        <v>x</v>
      </c>
      <c r="Z164" s="49">
        <f t="shared" si="45"/>
        <v>0</v>
      </c>
      <c r="AA164" s="34"/>
      <c r="AB164" s="37" t="str">
        <f>IF(COUNT(ngay20!$E$21)&gt;0,ngay20!$E$21,"")</f>
        <v/>
      </c>
      <c r="AC164" s="34" t="str">
        <f t="shared" si="46"/>
        <v>x</v>
      </c>
      <c r="AD164" s="38">
        <f t="shared" si="47"/>
        <v>0</v>
      </c>
    </row>
    <row r="165" spans="1:32">
      <c r="A165" s="41"/>
      <c r="B165" s="139">
        <v>7</v>
      </c>
      <c r="C165" s="37" t="str">
        <f>IF(COUNT(ngay20!$R$31)&gt;0,ngay20!$R$31,"")</f>
        <v/>
      </c>
      <c r="D165" s="137" t="str">
        <f t="shared" si="32"/>
        <v>x</v>
      </c>
      <c r="E165" s="49">
        <f t="shared" si="33"/>
        <v>0</v>
      </c>
      <c r="F165" s="34"/>
      <c r="G165" s="37" t="str">
        <f>IF(COUNT(ngay20!$F$4)&gt;0,ngay20!$F$4,"")</f>
        <v/>
      </c>
      <c r="H165" s="34" t="str">
        <f t="shared" si="34"/>
        <v>x</v>
      </c>
      <c r="I165" s="38">
        <f t="shared" si="35"/>
        <v>0</v>
      </c>
      <c r="J165" s="37" t="str">
        <f>IF(COUNT(ngay20!$R$33)&gt;0,ngay20!$R$33,"")</f>
        <v/>
      </c>
      <c r="K165" s="137" t="str">
        <f t="shared" si="36"/>
        <v>x</v>
      </c>
      <c r="L165" s="49">
        <f t="shared" si="37"/>
        <v>0</v>
      </c>
      <c r="M165" s="34"/>
      <c r="N165" s="37" t="str">
        <f>IF(COUNT(ngay20!$F$6)&gt;0,ngay20!$F$6,"")</f>
        <v/>
      </c>
      <c r="O165" s="34" t="str">
        <f t="shared" si="38"/>
        <v>x</v>
      </c>
      <c r="P165" s="38">
        <f t="shared" si="39"/>
        <v>0</v>
      </c>
      <c r="Q165" s="37" t="str">
        <f>IF(COUNT(ngay20!$R$39)&gt;0,ngay20!$R$39,"")</f>
        <v/>
      </c>
      <c r="R165" s="137" t="str">
        <f t="shared" si="40"/>
        <v>x</v>
      </c>
      <c r="S165" s="49">
        <f t="shared" si="41"/>
        <v>0</v>
      </c>
      <c r="T165" s="34"/>
      <c r="U165" s="37" t="str">
        <f>IF(COUNT(ngay20!$F$12)&gt;0,ngay20!$F$12,"")</f>
        <v/>
      </c>
      <c r="V165" s="34" t="str">
        <f t="shared" si="42"/>
        <v>x</v>
      </c>
      <c r="W165" s="38">
        <f t="shared" si="43"/>
        <v>0</v>
      </c>
      <c r="X165" s="37" t="str">
        <f>IF(COUNT(ngay20!$R$48)&gt;0,ngay20!$R$48,"")</f>
        <v/>
      </c>
      <c r="Y165" s="137" t="str">
        <f t="shared" si="44"/>
        <v>x</v>
      </c>
      <c r="Z165" s="49">
        <f t="shared" si="45"/>
        <v>0</v>
      </c>
      <c r="AA165" s="34"/>
      <c r="AB165" s="37" t="str">
        <f>IF(COUNT(ngay20!$F$21)&gt;0,ngay20!$F$21,"")</f>
        <v/>
      </c>
      <c r="AC165" s="34" t="str">
        <f t="shared" si="46"/>
        <v>x</v>
      </c>
      <c r="AD165" s="38">
        <f t="shared" si="47"/>
        <v>0</v>
      </c>
    </row>
    <row r="166" spans="1:32">
      <c r="A166" s="41"/>
      <c r="B166" s="48">
        <v>10</v>
      </c>
      <c r="C166" s="37" t="str">
        <f>IF(COUNT(ngay20!$S$31)&gt;0,ngay20!$S$31,"")</f>
        <v/>
      </c>
      <c r="D166" s="137" t="str">
        <f t="shared" si="32"/>
        <v>x</v>
      </c>
      <c r="E166" s="49">
        <f t="shared" si="33"/>
        <v>0</v>
      </c>
      <c r="F166" s="34"/>
      <c r="G166" s="37" t="str">
        <f>IF(COUNT(ngay20!$G$4)&gt;0,ngay20!$G$4,"")</f>
        <v/>
      </c>
      <c r="H166" s="34" t="str">
        <f t="shared" si="34"/>
        <v>x</v>
      </c>
      <c r="I166" s="38">
        <f t="shared" si="35"/>
        <v>0</v>
      </c>
      <c r="J166" s="37" t="str">
        <f>IF(COUNT(ngay20!$S$33)&gt;0,ngay20!$S$33,"")</f>
        <v/>
      </c>
      <c r="K166" s="137" t="str">
        <f t="shared" si="36"/>
        <v>x</v>
      </c>
      <c r="L166" s="49">
        <f t="shared" si="37"/>
        <v>0</v>
      </c>
      <c r="M166" s="34"/>
      <c r="N166" s="37" t="str">
        <f>IF(COUNT(ngay20!$G$6)&gt;0,ngay20!$G$6,"")</f>
        <v/>
      </c>
      <c r="O166" s="34" t="str">
        <f t="shared" si="38"/>
        <v>x</v>
      </c>
      <c r="P166" s="38">
        <f t="shared" si="39"/>
        <v>0</v>
      </c>
      <c r="Q166" s="37" t="str">
        <f>IF(COUNT(ngay20!$S$39)&gt;0,ngay20!$S$39,"")</f>
        <v/>
      </c>
      <c r="R166" s="137" t="str">
        <f t="shared" si="40"/>
        <v>x</v>
      </c>
      <c r="S166" s="49">
        <f t="shared" si="41"/>
        <v>0</v>
      </c>
      <c r="T166" s="34"/>
      <c r="U166" s="37" t="str">
        <f>IF(COUNT(ngay20!$G$12)&gt;0,ngay20!$G$12,"")</f>
        <v/>
      </c>
      <c r="V166" s="34" t="str">
        <f t="shared" si="42"/>
        <v>x</v>
      </c>
      <c r="W166" s="38">
        <f t="shared" si="43"/>
        <v>0</v>
      </c>
      <c r="X166" s="37" t="str">
        <f>IF(COUNT(ngay20!$S$48)&gt;0,ngay20!$S$48,"")</f>
        <v/>
      </c>
      <c r="Y166" s="137" t="str">
        <f t="shared" si="44"/>
        <v>x</v>
      </c>
      <c r="Z166" s="49">
        <f t="shared" si="45"/>
        <v>0</v>
      </c>
      <c r="AA166" s="34"/>
      <c r="AB166" s="37" t="str">
        <f>IF(COUNT(ngay20!$G$21)&gt;0,ngay20!$G$21,"")</f>
        <v/>
      </c>
      <c r="AC166" s="34" t="str">
        <f t="shared" si="46"/>
        <v>x</v>
      </c>
      <c r="AD166" s="38">
        <f t="shared" si="47"/>
        <v>0</v>
      </c>
    </row>
    <row r="167" spans="1:32">
      <c r="A167" s="41"/>
      <c r="B167" s="48">
        <v>13</v>
      </c>
      <c r="C167" s="37" t="str">
        <f>IF(COUNT(ngay20!$T$31)&gt;0,ngay20!$T$31,"")</f>
        <v/>
      </c>
      <c r="D167" s="137" t="str">
        <f t="shared" si="32"/>
        <v>x</v>
      </c>
      <c r="E167" s="49">
        <f t="shared" si="33"/>
        <v>0</v>
      </c>
      <c r="F167" s="34"/>
      <c r="G167" s="37" t="str">
        <f>IF(COUNT(ngay20!$H$4)&gt;0,ngay20!$H$4,"")</f>
        <v/>
      </c>
      <c r="H167" s="34" t="str">
        <f t="shared" si="34"/>
        <v>x</v>
      </c>
      <c r="I167" s="38">
        <f t="shared" si="35"/>
        <v>0</v>
      </c>
      <c r="J167" s="37" t="str">
        <f>IF(COUNT(ngay20!$T$33)&gt;0,ngay20!$T$33,"")</f>
        <v/>
      </c>
      <c r="K167" s="137" t="str">
        <f t="shared" si="36"/>
        <v>x</v>
      </c>
      <c r="L167" s="49">
        <f t="shared" si="37"/>
        <v>0</v>
      </c>
      <c r="M167" s="34"/>
      <c r="N167" s="37" t="str">
        <f>IF(COUNT(ngay20!$H$6)&gt;0,ngay20!$H$6,"")</f>
        <v/>
      </c>
      <c r="O167" s="34" t="str">
        <f t="shared" si="38"/>
        <v>x</v>
      </c>
      <c r="P167" s="38">
        <f t="shared" si="39"/>
        <v>0</v>
      </c>
      <c r="Q167" s="37" t="str">
        <f>IF(COUNT(ngay20!$T$39)&gt;0,ngay20!$T$39,"")</f>
        <v/>
      </c>
      <c r="R167" s="137" t="str">
        <f t="shared" si="40"/>
        <v>x</v>
      </c>
      <c r="S167" s="49">
        <f t="shared" si="41"/>
        <v>0</v>
      </c>
      <c r="T167" s="34"/>
      <c r="U167" s="37" t="str">
        <f>IF(COUNT(ngay20!$H$12)&gt;0,ngay20!$H$12,"")</f>
        <v/>
      </c>
      <c r="V167" s="34" t="str">
        <f t="shared" si="42"/>
        <v>x</v>
      </c>
      <c r="W167" s="38">
        <f t="shared" si="43"/>
        <v>0</v>
      </c>
      <c r="X167" s="37" t="str">
        <f>IF(COUNT(ngay20!$T$48)&gt;0,ngay20!$T$48,"")</f>
        <v/>
      </c>
      <c r="Y167" s="137" t="str">
        <f t="shared" si="44"/>
        <v>x</v>
      </c>
      <c r="Z167" s="49">
        <f t="shared" si="45"/>
        <v>0</v>
      </c>
      <c r="AA167" s="34"/>
      <c r="AB167" s="37" t="str">
        <f>IF(COUNT(ngay20!$H$21)&gt;0,ngay20!$H$21,"")</f>
        <v/>
      </c>
      <c r="AC167" s="34" t="str">
        <f t="shared" si="46"/>
        <v>x</v>
      </c>
      <c r="AD167" s="38">
        <f t="shared" si="47"/>
        <v>0</v>
      </c>
    </row>
    <row r="168" spans="1:32">
      <c r="A168" s="41"/>
      <c r="B168" s="48">
        <v>16</v>
      </c>
      <c r="C168" s="37" t="str">
        <f>IF(COUNT(ngay20!$U$31)&gt;0,ngay20!$U$31,"")</f>
        <v/>
      </c>
      <c r="D168" s="137" t="str">
        <f t="shared" si="32"/>
        <v>x</v>
      </c>
      <c r="E168" s="49">
        <f t="shared" si="33"/>
        <v>0</v>
      </c>
      <c r="F168" s="34"/>
      <c r="G168" s="37" t="str">
        <f>IF(COUNT(ngay20!$I$4)&gt;0,ngay20!$I$4,"")</f>
        <v/>
      </c>
      <c r="H168" s="34" t="str">
        <f t="shared" si="34"/>
        <v>x</v>
      </c>
      <c r="I168" s="38">
        <f t="shared" si="35"/>
        <v>0</v>
      </c>
      <c r="J168" s="37" t="str">
        <f>IF(COUNT(ngay20!$U$33)&gt;0,ngay20!$U$33,"")</f>
        <v/>
      </c>
      <c r="K168" s="137" t="str">
        <f t="shared" si="36"/>
        <v>x</v>
      </c>
      <c r="L168" s="49">
        <f t="shared" si="37"/>
        <v>0</v>
      </c>
      <c r="M168" s="34"/>
      <c r="N168" s="37" t="str">
        <f>IF(COUNT(ngay20!$I$6)&gt;0,ngay20!$I$6,"")</f>
        <v/>
      </c>
      <c r="O168" s="34" t="str">
        <f t="shared" si="38"/>
        <v>x</v>
      </c>
      <c r="P168" s="38">
        <f t="shared" si="39"/>
        <v>0</v>
      </c>
      <c r="Q168" s="37" t="str">
        <f>IF(COUNT(ngay20!$U$39)&gt;0,ngay20!$U$39,"")</f>
        <v/>
      </c>
      <c r="R168" s="137" t="str">
        <f t="shared" si="40"/>
        <v>x</v>
      </c>
      <c r="S168" s="49">
        <f t="shared" si="41"/>
        <v>0</v>
      </c>
      <c r="T168" s="34"/>
      <c r="U168" s="37" t="str">
        <f>IF(COUNT(ngay20!$I$12)&gt;0,ngay20!$I$12,"")</f>
        <v/>
      </c>
      <c r="V168" s="34" t="str">
        <f t="shared" si="42"/>
        <v>x</v>
      </c>
      <c r="W168" s="38">
        <f t="shared" si="43"/>
        <v>0</v>
      </c>
      <c r="X168" s="37" t="str">
        <f>IF(COUNT(ngay20!$U$48)&gt;0,ngay20!$U$48,"")</f>
        <v/>
      </c>
      <c r="Y168" s="137" t="str">
        <f t="shared" si="44"/>
        <v>x</v>
      </c>
      <c r="Z168" s="49">
        <f t="shared" si="45"/>
        <v>0</v>
      </c>
      <c r="AA168" s="34"/>
      <c r="AB168" s="37" t="str">
        <f>IF(COUNT(ngay20!$I$21)&gt;0,ngay20!$I$21,"")</f>
        <v/>
      </c>
      <c r="AC168" s="34" t="str">
        <f t="shared" si="46"/>
        <v>x</v>
      </c>
      <c r="AD168" s="38">
        <f t="shared" si="47"/>
        <v>0</v>
      </c>
    </row>
    <row r="169" spans="1:32">
      <c r="A169" s="41"/>
      <c r="B169" s="48">
        <v>19</v>
      </c>
      <c r="C169" s="37" t="str">
        <f>IF(COUNT(ngay20!$V$31)&gt;0,ngay20!$V$31,"")</f>
        <v/>
      </c>
      <c r="D169" s="137" t="str">
        <f t="shared" si="32"/>
        <v>x</v>
      </c>
      <c r="E169" s="49">
        <f t="shared" si="33"/>
        <v>0</v>
      </c>
      <c r="F169" s="34"/>
      <c r="G169" s="37" t="str">
        <f>IF(COUNT(ngay20!$J$4)&gt;0,ngay20!$J$4,"")</f>
        <v/>
      </c>
      <c r="H169" s="34" t="str">
        <f t="shared" si="34"/>
        <v>x</v>
      </c>
      <c r="I169" s="38">
        <f t="shared" si="35"/>
        <v>0</v>
      </c>
      <c r="J169" s="37" t="str">
        <f>IF(COUNT(ngay20!$V$33)&gt;0,ngay20!$V$33,"")</f>
        <v/>
      </c>
      <c r="K169" s="137" t="str">
        <f t="shared" si="36"/>
        <v>x</v>
      </c>
      <c r="L169" s="49">
        <f t="shared" si="37"/>
        <v>0</v>
      </c>
      <c r="M169" s="34"/>
      <c r="N169" s="37" t="str">
        <f>IF(COUNT(ngay20!$J$6)&gt;0,ngay20!$J$6,"")</f>
        <v/>
      </c>
      <c r="O169" s="34" t="str">
        <f t="shared" si="38"/>
        <v>x</v>
      </c>
      <c r="P169" s="38">
        <f t="shared" si="39"/>
        <v>0</v>
      </c>
      <c r="Q169" s="37" t="str">
        <f>IF(COUNT(ngay20!$V$39)&gt;0,ngay20!$V$39,"")</f>
        <v/>
      </c>
      <c r="R169" s="137" t="str">
        <f t="shared" si="40"/>
        <v>x</v>
      </c>
      <c r="S169" s="49">
        <f t="shared" si="41"/>
        <v>0</v>
      </c>
      <c r="T169" s="34"/>
      <c r="U169" s="37" t="str">
        <f>IF(COUNT(ngay20!$J$12)&gt;0,ngay20!$J$12,"")</f>
        <v/>
      </c>
      <c r="V169" s="34" t="str">
        <f t="shared" si="42"/>
        <v>x</v>
      </c>
      <c r="W169" s="38">
        <f t="shared" si="43"/>
        <v>0</v>
      </c>
      <c r="X169" s="37" t="str">
        <f>IF(COUNT(ngay20!$V$48)&gt;0,ngay20!$V$48,"")</f>
        <v/>
      </c>
      <c r="Y169" s="137" t="str">
        <f t="shared" si="44"/>
        <v>x</v>
      </c>
      <c r="Z169" s="49">
        <f t="shared" si="45"/>
        <v>0</v>
      </c>
      <c r="AA169" s="34"/>
      <c r="AB169" s="37" t="str">
        <f>IF(COUNT(ngay20!$J$21)&gt;0,ngay20!$J$21,"")</f>
        <v/>
      </c>
      <c r="AC169" s="34" t="str">
        <f t="shared" si="46"/>
        <v>x</v>
      </c>
      <c r="AD169" s="38">
        <f t="shared" si="47"/>
        <v>0</v>
      </c>
    </row>
    <row r="170" spans="1:32">
      <c r="A170" s="41"/>
      <c r="B170" s="48">
        <v>22</v>
      </c>
      <c r="C170" s="37" t="str">
        <f>IF(COUNT(ngay21!$O$31)&gt;0,ngay21!$O$31,"")</f>
        <v/>
      </c>
      <c r="D170" s="137" t="str">
        <f t="shared" si="32"/>
        <v>x</v>
      </c>
      <c r="E170" s="49">
        <f t="shared" si="33"/>
        <v>0</v>
      </c>
      <c r="F170" s="34"/>
      <c r="G170" s="37" t="str">
        <f>IF(COUNT(ngay21!$C$4)&gt;0,ngay21!$C$4,"")</f>
        <v/>
      </c>
      <c r="H170" s="34" t="str">
        <f t="shared" si="34"/>
        <v>x</v>
      </c>
      <c r="I170" s="38">
        <f t="shared" si="35"/>
        <v>0</v>
      </c>
      <c r="J170" s="37" t="str">
        <f>IF(COUNT(ngay21!$O$33)&gt;0,ngay21!$O$33,"")</f>
        <v/>
      </c>
      <c r="K170" s="137" t="str">
        <f t="shared" si="36"/>
        <v>x</v>
      </c>
      <c r="L170" s="49">
        <f t="shared" si="37"/>
        <v>0</v>
      </c>
      <c r="M170" s="34"/>
      <c r="N170" s="37" t="str">
        <f>IF(COUNT(ngay21!$C$6)&gt;0,ngay21!$C$6,"")</f>
        <v/>
      </c>
      <c r="O170" s="34" t="str">
        <f t="shared" si="38"/>
        <v>x</v>
      </c>
      <c r="P170" s="38">
        <f t="shared" si="39"/>
        <v>0</v>
      </c>
      <c r="Q170" s="37" t="str">
        <f>IF(COUNT(ngay21!$O$39)&gt;0,ngay21!$O$39,"")</f>
        <v/>
      </c>
      <c r="R170" s="137" t="str">
        <f t="shared" si="40"/>
        <v>x</v>
      </c>
      <c r="S170" s="49">
        <f t="shared" si="41"/>
        <v>0</v>
      </c>
      <c r="T170" s="34"/>
      <c r="U170" s="37" t="str">
        <f>IF(COUNT(ngay21!$C$12)&gt;0,ngay21!$C$12,"")</f>
        <v/>
      </c>
      <c r="V170" s="34" t="str">
        <f t="shared" si="42"/>
        <v>x</v>
      </c>
      <c r="W170" s="38">
        <f t="shared" si="43"/>
        <v>0</v>
      </c>
      <c r="X170" s="37" t="str">
        <f>IF(COUNT(ngay21!$O$48)&gt;0,ngay21!$O$48,"")</f>
        <v/>
      </c>
      <c r="Y170" s="137" t="str">
        <f t="shared" si="44"/>
        <v>x</v>
      </c>
      <c r="Z170" s="49">
        <f t="shared" si="45"/>
        <v>0</v>
      </c>
      <c r="AA170" s="34"/>
      <c r="AB170" s="37" t="str">
        <f>IF(COUNT(ngay21!$C$21)&gt;0,ngay21!$C$21,"")</f>
        <v/>
      </c>
      <c r="AC170" s="34" t="str">
        <f t="shared" si="46"/>
        <v>x</v>
      </c>
      <c r="AD170" s="38">
        <f t="shared" si="47"/>
        <v>0</v>
      </c>
    </row>
    <row r="171" spans="1:32" s="145" customFormat="1">
      <c r="A171" s="146">
        <v>21</v>
      </c>
      <c r="B171" s="48">
        <v>1</v>
      </c>
      <c r="C171" s="141" t="str">
        <f>IF(COUNT(ngay21!$P$31)&gt;0,ngay21!$P$31,"")</f>
        <v/>
      </c>
      <c r="D171" s="144" t="str">
        <f t="shared" si="32"/>
        <v>x</v>
      </c>
      <c r="E171" s="142">
        <f t="shared" si="33"/>
        <v>0</v>
      </c>
      <c r="F171" s="140"/>
      <c r="G171" s="141" t="str">
        <f>IF(COUNT(ngay21!$D$4)&gt;0,ngay21!$D$4,"")</f>
        <v/>
      </c>
      <c r="H171" s="140" t="str">
        <f t="shared" si="34"/>
        <v>x</v>
      </c>
      <c r="I171" s="143">
        <f t="shared" si="35"/>
        <v>0</v>
      </c>
      <c r="J171" s="141" t="str">
        <f>IF(COUNT(ngay21!$P$33)&gt;0,ngay21!$P$33,"")</f>
        <v/>
      </c>
      <c r="K171" s="144" t="str">
        <f t="shared" si="36"/>
        <v>x</v>
      </c>
      <c r="L171" s="142">
        <f t="shared" si="37"/>
        <v>0</v>
      </c>
      <c r="M171" s="140"/>
      <c r="N171" s="141" t="str">
        <f>IF(COUNT(ngay21!$D$6)&gt;0,ngay21!$D$6,"")</f>
        <v/>
      </c>
      <c r="O171" s="140" t="str">
        <f t="shared" si="38"/>
        <v>x</v>
      </c>
      <c r="P171" s="143">
        <f t="shared" si="39"/>
        <v>0</v>
      </c>
      <c r="Q171" s="141" t="str">
        <f>IF(COUNT(ngay21!$P$39)&gt;0,ngay21!$P$39,"")</f>
        <v/>
      </c>
      <c r="R171" s="144" t="str">
        <f t="shared" si="40"/>
        <v>x</v>
      </c>
      <c r="S171" s="142">
        <f t="shared" si="41"/>
        <v>0</v>
      </c>
      <c r="T171" s="140"/>
      <c r="U171" s="141" t="str">
        <f>IF(COUNT(ngay21!$D$12)&gt;0,ngay21!$D$12,"")</f>
        <v/>
      </c>
      <c r="V171" s="140" t="str">
        <f t="shared" si="42"/>
        <v>x</v>
      </c>
      <c r="W171" s="143">
        <f t="shared" si="43"/>
        <v>0</v>
      </c>
      <c r="X171" s="141" t="str">
        <f>IF(COUNT(ngay21!$P$48)&gt;0,ngay21!$P$48,"")</f>
        <v/>
      </c>
      <c r="Y171" s="144" t="str">
        <f t="shared" si="44"/>
        <v>x</v>
      </c>
      <c r="Z171" s="142">
        <f t="shared" si="45"/>
        <v>0</v>
      </c>
      <c r="AA171" s="140"/>
      <c r="AB171" s="141" t="str">
        <f>IF(COUNT(ngay21!$D$21)&gt;0,ngay21!$D$21,"")</f>
        <v/>
      </c>
      <c r="AC171" s="140" t="str">
        <f t="shared" si="46"/>
        <v>x</v>
      </c>
      <c r="AD171" s="143">
        <f t="shared" si="47"/>
        <v>0</v>
      </c>
      <c r="AE171" s="147"/>
      <c r="AF171" s="147"/>
    </row>
    <row r="172" spans="1:32">
      <c r="A172" s="41"/>
      <c r="B172" s="48">
        <v>4</v>
      </c>
      <c r="C172" s="37" t="str">
        <f>IF(COUNT(ngay21!$Q$31)&gt;0,ngay21!$Q$31,"")</f>
        <v/>
      </c>
      <c r="D172" s="137" t="str">
        <f t="shared" si="32"/>
        <v>x</v>
      </c>
      <c r="E172" s="49">
        <f t="shared" si="33"/>
        <v>0</v>
      </c>
      <c r="F172" s="34"/>
      <c r="G172" s="37" t="str">
        <f>IF(COUNT(ngay21!$E$4)&gt;0,ngay21!$E$4,"")</f>
        <v/>
      </c>
      <c r="H172" s="34" t="str">
        <f t="shared" si="34"/>
        <v>x</v>
      </c>
      <c r="I172" s="38">
        <f t="shared" si="35"/>
        <v>0</v>
      </c>
      <c r="J172" s="37" t="str">
        <f>IF(COUNT(ngay21!$Q$33)&gt;0,ngay21!$Q$33,"")</f>
        <v/>
      </c>
      <c r="K172" s="137" t="str">
        <f t="shared" si="36"/>
        <v>x</v>
      </c>
      <c r="L172" s="49">
        <f t="shared" si="37"/>
        <v>0</v>
      </c>
      <c r="M172" s="34"/>
      <c r="N172" s="37" t="str">
        <f>IF(COUNT(ngay21!$E$6)&gt;0,ngay21!$E$6,"")</f>
        <v/>
      </c>
      <c r="O172" s="34" t="str">
        <f t="shared" si="38"/>
        <v>x</v>
      </c>
      <c r="P172" s="38">
        <f t="shared" si="39"/>
        <v>0</v>
      </c>
      <c r="Q172" s="37" t="str">
        <f>IF(COUNT(ngay21!$Q$39)&gt;0,ngay21!$Q$39,"")</f>
        <v/>
      </c>
      <c r="R172" s="137" t="str">
        <f t="shared" si="40"/>
        <v>x</v>
      </c>
      <c r="S172" s="49">
        <f t="shared" si="41"/>
        <v>0</v>
      </c>
      <c r="T172" s="34"/>
      <c r="U172" s="37" t="str">
        <f>IF(COUNT(ngay21!$E$12)&gt;0,ngay21!$E$12,"")</f>
        <v/>
      </c>
      <c r="V172" s="34" t="str">
        <f t="shared" si="42"/>
        <v>x</v>
      </c>
      <c r="W172" s="38">
        <f t="shared" si="43"/>
        <v>0</v>
      </c>
      <c r="X172" s="37" t="str">
        <f>IF(COUNT(ngay21!$Q$48)&gt;0,ngay21!$Q$48,"")</f>
        <v/>
      </c>
      <c r="Y172" s="137" t="str">
        <f t="shared" si="44"/>
        <v>x</v>
      </c>
      <c r="Z172" s="49">
        <f t="shared" si="45"/>
        <v>0</v>
      </c>
      <c r="AA172" s="34"/>
      <c r="AB172" s="37" t="str">
        <f>IF(COUNT(ngay21!$E$21)&gt;0,ngay21!$E$21,"")</f>
        <v/>
      </c>
      <c r="AC172" s="34" t="str">
        <f t="shared" si="46"/>
        <v>x</v>
      </c>
      <c r="AD172" s="38">
        <f t="shared" si="47"/>
        <v>0</v>
      </c>
    </row>
    <row r="173" spans="1:32">
      <c r="A173" s="41"/>
      <c r="B173" s="139">
        <v>7</v>
      </c>
      <c r="C173" s="37" t="str">
        <f>IF(COUNT(ngay21!$R$31)&gt;0,ngay21!$R$31,"")</f>
        <v/>
      </c>
      <c r="D173" s="137" t="str">
        <f t="shared" si="32"/>
        <v>x</v>
      </c>
      <c r="E173" s="49">
        <f t="shared" si="33"/>
        <v>0</v>
      </c>
      <c r="F173" s="34"/>
      <c r="G173" s="37" t="str">
        <f>IF(COUNT(ngay21!$F$4)&gt;0,ngay21!$F$4,"")</f>
        <v/>
      </c>
      <c r="H173" s="34" t="str">
        <f t="shared" si="34"/>
        <v>x</v>
      </c>
      <c r="I173" s="38">
        <f t="shared" si="35"/>
        <v>0</v>
      </c>
      <c r="J173" s="37" t="str">
        <f>IF(COUNT(ngay21!$R$33)&gt;0,ngay21!$R$33,"")</f>
        <v/>
      </c>
      <c r="K173" s="137" t="str">
        <f t="shared" si="36"/>
        <v>x</v>
      </c>
      <c r="L173" s="49">
        <f t="shared" si="37"/>
        <v>0</v>
      </c>
      <c r="M173" s="34"/>
      <c r="N173" s="37" t="str">
        <f>IF(COUNT(ngay21!$F$6)&gt;0,ngay21!$F$6,"")</f>
        <v/>
      </c>
      <c r="O173" s="34" t="str">
        <f t="shared" si="38"/>
        <v>x</v>
      </c>
      <c r="P173" s="38">
        <f t="shared" si="39"/>
        <v>0</v>
      </c>
      <c r="Q173" s="37" t="str">
        <f>IF(COUNT(ngay21!$R$39)&gt;0,ngay21!$R$39,"")</f>
        <v/>
      </c>
      <c r="R173" s="137" t="str">
        <f t="shared" si="40"/>
        <v>x</v>
      </c>
      <c r="S173" s="49">
        <f t="shared" si="41"/>
        <v>0</v>
      </c>
      <c r="T173" s="34"/>
      <c r="U173" s="37" t="str">
        <f>IF(COUNT(ngay21!$F$12)&gt;0,ngay21!$F$12,"")</f>
        <v/>
      </c>
      <c r="V173" s="34" t="str">
        <f t="shared" si="42"/>
        <v>x</v>
      </c>
      <c r="W173" s="38">
        <f t="shared" si="43"/>
        <v>0</v>
      </c>
      <c r="X173" s="37" t="str">
        <f>IF(COUNT(ngay21!$R$48)&gt;0,ngay21!$R$48,"")</f>
        <v/>
      </c>
      <c r="Y173" s="137" t="str">
        <f t="shared" si="44"/>
        <v>x</v>
      </c>
      <c r="Z173" s="49">
        <f t="shared" si="45"/>
        <v>0</v>
      </c>
      <c r="AA173" s="34"/>
      <c r="AB173" s="37" t="str">
        <f>IF(COUNT(ngay21!$F$21)&gt;0,ngay21!$F$21,"")</f>
        <v/>
      </c>
      <c r="AC173" s="34" t="str">
        <f t="shared" si="46"/>
        <v>x</v>
      </c>
      <c r="AD173" s="38">
        <f t="shared" si="47"/>
        <v>0</v>
      </c>
    </row>
    <row r="174" spans="1:32">
      <c r="A174" s="41"/>
      <c r="B174" s="48">
        <v>10</v>
      </c>
      <c r="C174" s="37" t="str">
        <f>IF(COUNT(ngay21!$S$31)&gt;0,ngay21!$S$31,"")</f>
        <v/>
      </c>
      <c r="D174" s="137" t="str">
        <f t="shared" si="32"/>
        <v>x</v>
      </c>
      <c r="E174" s="49">
        <f t="shared" si="33"/>
        <v>0</v>
      </c>
      <c r="F174" s="34"/>
      <c r="G174" s="37" t="str">
        <f>IF(COUNT(ngay21!$G$4)&gt;0,ngay21!$G$4,"")</f>
        <v/>
      </c>
      <c r="H174" s="34" t="str">
        <f t="shared" si="34"/>
        <v>x</v>
      </c>
      <c r="I174" s="38">
        <f t="shared" si="35"/>
        <v>0</v>
      </c>
      <c r="J174" s="37" t="str">
        <f>IF(COUNT(ngay21!$S$33)&gt;0,ngay21!$S$33,"")</f>
        <v/>
      </c>
      <c r="K174" s="137" t="str">
        <f t="shared" si="36"/>
        <v>x</v>
      </c>
      <c r="L174" s="49">
        <f t="shared" si="37"/>
        <v>0</v>
      </c>
      <c r="M174" s="34"/>
      <c r="N174" s="37" t="str">
        <f>IF(COUNT(ngay21!$G$6)&gt;0,ngay21!$G$6,"")</f>
        <v/>
      </c>
      <c r="O174" s="34" t="str">
        <f t="shared" si="38"/>
        <v>x</v>
      </c>
      <c r="P174" s="38">
        <f t="shared" si="39"/>
        <v>0</v>
      </c>
      <c r="Q174" s="37" t="str">
        <f>IF(COUNT(ngay21!$S$39)&gt;0,ngay21!$S$39,"")</f>
        <v/>
      </c>
      <c r="R174" s="137" t="str">
        <f t="shared" si="40"/>
        <v>x</v>
      </c>
      <c r="S174" s="49">
        <f t="shared" si="41"/>
        <v>0</v>
      </c>
      <c r="T174" s="34"/>
      <c r="U174" s="37" t="str">
        <f>IF(COUNT(ngay21!$G$12)&gt;0,ngay21!$G$12,"")</f>
        <v/>
      </c>
      <c r="V174" s="34" t="str">
        <f t="shared" si="42"/>
        <v>x</v>
      </c>
      <c r="W174" s="38">
        <f t="shared" si="43"/>
        <v>0</v>
      </c>
      <c r="X174" s="37" t="str">
        <f>IF(COUNT(ngay21!$S$48)&gt;0,ngay21!$S$48,"")</f>
        <v/>
      </c>
      <c r="Y174" s="137" t="str">
        <f t="shared" si="44"/>
        <v>x</v>
      </c>
      <c r="Z174" s="49">
        <f t="shared" si="45"/>
        <v>0</v>
      </c>
      <c r="AA174" s="34"/>
      <c r="AB174" s="37" t="str">
        <f>IF(COUNT(ngay21!$G$21)&gt;0,ngay21!$G$21,"")</f>
        <v/>
      </c>
      <c r="AC174" s="34" t="str">
        <f t="shared" si="46"/>
        <v>x</v>
      </c>
      <c r="AD174" s="38">
        <f t="shared" si="47"/>
        <v>0</v>
      </c>
    </row>
    <row r="175" spans="1:32">
      <c r="A175" s="41"/>
      <c r="B175" s="48">
        <v>13</v>
      </c>
      <c r="C175" s="37" t="str">
        <f>IF(COUNT(ngay21!$T$31)&gt;0,ngay21!$T$31,"")</f>
        <v/>
      </c>
      <c r="D175" s="137" t="str">
        <f t="shared" si="32"/>
        <v>x</v>
      </c>
      <c r="E175" s="49">
        <f t="shared" si="33"/>
        <v>0</v>
      </c>
      <c r="F175" s="34"/>
      <c r="G175" s="37" t="str">
        <f>IF(COUNT(ngay21!$H$4)&gt;0,ngay21!$H$4,"")</f>
        <v/>
      </c>
      <c r="H175" s="34" t="str">
        <f t="shared" si="34"/>
        <v>x</v>
      </c>
      <c r="I175" s="38">
        <f t="shared" si="35"/>
        <v>0</v>
      </c>
      <c r="J175" s="37" t="str">
        <f>IF(COUNT(ngay21!$T$33)&gt;0,ngay21!$T$33,"")</f>
        <v/>
      </c>
      <c r="K175" s="137" t="str">
        <f t="shared" si="36"/>
        <v>x</v>
      </c>
      <c r="L175" s="49">
        <f t="shared" si="37"/>
        <v>0</v>
      </c>
      <c r="M175" s="34"/>
      <c r="N175" s="37" t="str">
        <f>IF(COUNT(ngay21!$H$6)&gt;0,ngay21!$H$6,"")</f>
        <v/>
      </c>
      <c r="O175" s="34" t="str">
        <f t="shared" si="38"/>
        <v>x</v>
      </c>
      <c r="P175" s="38">
        <f t="shared" si="39"/>
        <v>0</v>
      </c>
      <c r="Q175" s="37" t="str">
        <f>IF(COUNT(ngay21!$T$39)&gt;0,ngay21!$T$39,"")</f>
        <v/>
      </c>
      <c r="R175" s="137" t="str">
        <f t="shared" si="40"/>
        <v>x</v>
      </c>
      <c r="S175" s="49">
        <f t="shared" si="41"/>
        <v>0</v>
      </c>
      <c r="T175" s="34"/>
      <c r="U175" s="37" t="str">
        <f>IF(COUNT(ngay21!$H$12)&gt;0,ngay21!$H$12,"")</f>
        <v/>
      </c>
      <c r="V175" s="34" t="str">
        <f t="shared" si="42"/>
        <v>x</v>
      </c>
      <c r="W175" s="38">
        <f t="shared" si="43"/>
        <v>0</v>
      </c>
      <c r="X175" s="37" t="str">
        <f>IF(COUNT(ngay21!$T$48)&gt;0,ngay21!$T$48,"")</f>
        <v/>
      </c>
      <c r="Y175" s="137" t="str">
        <f t="shared" si="44"/>
        <v>x</v>
      </c>
      <c r="Z175" s="49">
        <f t="shared" si="45"/>
        <v>0</v>
      </c>
      <c r="AA175" s="34"/>
      <c r="AB175" s="37" t="str">
        <f>IF(COUNT(ngay21!$H$21)&gt;0,ngay21!$H$21,"")</f>
        <v/>
      </c>
      <c r="AC175" s="34" t="str">
        <f t="shared" si="46"/>
        <v>x</v>
      </c>
      <c r="AD175" s="38">
        <f t="shared" si="47"/>
        <v>0</v>
      </c>
    </row>
    <row r="176" spans="1:32">
      <c r="A176" s="41"/>
      <c r="B176" s="48">
        <v>16</v>
      </c>
      <c r="C176" s="37" t="str">
        <f>IF(COUNT(ngay21!$U$31)&gt;0,ngay21!$U$31,"")</f>
        <v/>
      </c>
      <c r="D176" s="137" t="str">
        <f t="shared" si="32"/>
        <v>x</v>
      </c>
      <c r="E176" s="49">
        <f t="shared" si="33"/>
        <v>0</v>
      </c>
      <c r="F176" s="34"/>
      <c r="G176" s="37" t="str">
        <f>IF(COUNT(ngay21!$I$4)&gt;0,ngay21!$I$4,"")</f>
        <v/>
      </c>
      <c r="H176" s="34" t="str">
        <f t="shared" si="34"/>
        <v>x</v>
      </c>
      <c r="I176" s="38">
        <f t="shared" si="35"/>
        <v>0</v>
      </c>
      <c r="J176" s="37" t="str">
        <f>IF(COUNT(ngay21!$U$33)&gt;0,ngay21!$U$33,"")</f>
        <v/>
      </c>
      <c r="K176" s="137" t="str">
        <f t="shared" si="36"/>
        <v>x</v>
      </c>
      <c r="L176" s="49">
        <f t="shared" si="37"/>
        <v>0</v>
      </c>
      <c r="M176" s="34"/>
      <c r="N176" s="37" t="str">
        <f>IF(COUNT(ngay21!$I$6)&gt;0,ngay21!$I$6,"")</f>
        <v/>
      </c>
      <c r="O176" s="34" t="str">
        <f t="shared" si="38"/>
        <v>x</v>
      </c>
      <c r="P176" s="38">
        <f t="shared" si="39"/>
        <v>0</v>
      </c>
      <c r="Q176" s="37" t="str">
        <f>IF(COUNT(ngay21!$U$39)&gt;0,ngay21!$U$39,"")</f>
        <v/>
      </c>
      <c r="R176" s="137" t="str">
        <f t="shared" si="40"/>
        <v>x</v>
      </c>
      <c r="S176" s="49">
        <f t="shared" si="41"/>
        <v>0</v>
      </c>
      <c r="T176" s="34"/>
      <c r="U176" s="37" t="str">
        <f>IF(COUNT(ngay21!$I$12)&gt;0,ngay21!$I$12,"")</f>
        <v/>
      </c>
      <c r="V176" s="34" t="str">
        <f t="shared" si="42"/>
        <v>x</v>
      </c>
      <c r="W176" s="38">
        <f t="shared" si="43"/>
        <v>0</v>
      </c>
      <c r="X176" s="37" t="str">
        <f>IF(COUNT(ngay21!$U$48)&gt;0,ngay21!$U$48,"")</f>
        <v/>
      </c>
      <c r="Y176" s="137" t="str">
        <f t="shared" si="44"/>
        <v>x</v>
      </c>
      <c r="Z176" s="49">
        <f t="shared" si="45"/>
        <v>0</v>
      </c>
      <c r="AA176" s="34"/>
      <c r="AB176" s="37" t="str">
        <f>IF(COUNT(ngay21!$I$21)&gt;0,ngay21!$I$21,"")</f>
        <v/>
      </c>
      <c r="AC176" s="34" t="str">
        <f t="shared" si="46"/>
        <v>x</v>
      </c>
      <c r="AD176" s="38">
        <f t="shared" si="47"/>
        <v>0</v>
      </c>
    </row>
    <row r="177" spans="1:32">
      <c r="A177" s="41"/>
      <c r="B177" s="48">
        <v>19</v>
      </c>
      <c r="C177" s="37" t="str">
        <f>IF(COUNT(ngay21!$V$31)&gt;0,ngay21!$V$31,"")</f>
        <v/>
      </c>
      <c r="D177" s="137" t="str">
        <f t="shared" si="32"/>
        <v>x</v>
      </c>
      <c r="E177" s="49">
        <f t="shared" si="33"/>
        <v>0</v>
      </c>
      <c r="F177" s="34"/>
      <c r="G177" s="37" t="str">
        <f>IF(COUNT(ngay21!$J$4)&gt;0,ngay21!$J$4,"")</f>
        <v/>
      </c>
      <c r="H177" s="34" t="str">
        <f t="shared" si="34"/>
        <v>x</v>
      </c>
      <c r="I177" s="38">
        <f t="shared" si="35"/>
        <v>0</v>
      </c>
      <c r="J177" s="37" t="str">
        <f>IF(COUNT(ngay21!$V$33)&gt;0,ngay21!$V$33,"")</f>
        <v/>
      </c>
      <c r="K177" s="137" t="str">
        <f t="shared" si="36"/>
        <v>x</v>
      </c>
      <c r="L177" s="49">
        <f t="shared" si="37"/>
        <v>0</v>
      </c>
      <c r="M177" s="34"/>
      <c r="N177" s="37" t="str">
        <f>IF(COUNT(ngay21!$J$6)&gt;0,ngay21!$J$6,"")</f>
        <v/>
      </c>
      <c r="O177" s="34" t="str">
        <f t="shared" si="38"/>
        <v>x</v>
      </c>
      <c r="P177" s="38">
        <f t="shared" si="39"/>
        <v>0</v>
      </c>
      <c r="Q177" s="37" t="str">
        <f>IF(COUNT(ngay21!$V$39)&gt;0,ngay21!$V$39,"")</f>
        <v/>
      </c>
      <c r="R177" s="137" t="str">
        <f t="shared" si="40"/>
        <v>x</v>
      </c>
      <c r="S177" s="49">
        <f t="shared" si="41"/>
        <v>0</v>
      </c>
      <c r="T177" s="34"/>
      <c r="U177" s="37" t="str">
        <f>IF(COUNT(ngay21!$J$12)&gt;0,ngay21!$J$12,"")</f>
        <v/>
      </c>
      <c r="V177" s="34" t="str">
        <f t="shared" si="42"/>
        <v>x</v>
      </c>
      <c r="W177" s="38">
        <f t="shared" si="43"/>
        <v>0</v>
      </c>
      <c r="X177" s="37" t="str">
        <f>IF(COUNT(ngay21!$V$48)&gt;0,ngay21!$V$48,"")</f>
        <v/>
      </c>
      <c r="Y177" s="137" t="str">
        <f t="shared" si="44"/>
        <v>x</v>
      </c>
      <c r="Z177" s="49">
        <f t="shared" si="45"/>
        <v>0</v>
      </c>
      <c r="AA177" s="34"/>
      <c r="AB177" s="37" t="str">
        <f>IF(COUNT(ngay21!$J$21)&gt;0,ngay21!$J$21,"")</f>
        <v/>
      </c>
      <c r="AC177" s="34" t="str">
        <f t="shared" si="46"/>
        <v>x</v>
      </c>
      <c r="AD177" s="38">
        <f t="shared" si="47"/>
        <v>0</v>
      </c>
    </row>
    <row r="178" spans="1:32">
      <c r="A178" s="41"/>
      <c r="B178" s="48">
        <v>22</v>
      </c>
      <c r="C178" s="37" t="str">
        <f>IF(COUNT(ngay22!$O$31)&gt;0,ngay22!$O$31,"")</f>
        <v/>
      </c>
      <c r="D178" s="137" t="str">
        <f t="shared" si="32"/>
        <v>x</v>
      </c>
      <c r="E178" s="49">
        <f t="shared" si="33"/>
        <v>0</v>
      </c>
      <c r="F178" s="34"/>
      <c r="G178" s="37" t="str">
        <f>IF(COUNT(ngay22!$C$4)&gt;0,ngay22!$C$4,"")</f>
        <v/>
      </c>
      <c r="H178" s="34" t="str">
        <f t="shared" si="34"/>
        <v>x</v>
      </c>
      <c r="I178" s="38">
        <f t="shared" si="35"/>
        <v>0</v>
      </c>
      <c r="J178" s="37" t="str">
        <f>IF(COUNT(ngay22!$O$33)&gt;0,ngay22!$O$33,"")</f>
        <v/>
      </c>
      <c r="K178" s="137" t="str">
        <f t="shared" si="36"/>
        <v>x</v>
      </c>
      <c r="L178" s="49">
        <f t="shared" si="37"/>
        <v>0</v>
      </c>
      <c r="M178" s="34"/>
      <c r="N178" s="37" t="str">
        <f>IF(COUNT(ngay22!$C$6)&gt;0,ngay22!$C$6,"")</f>
        <v/>
      </c>
      <c r="O178" s="34" t="str">
        <f t="shared" si="38"/>
        <v>x</v>
      </c>
      <c r="P178" s="38">
        <f t="shared" si="39"/>
        <v>0</v>
      </c>
      <c r="Q178" s="37" t="str">
        <f>IF(COUNT(ngay22!$O$39)&gt;0,ngay22!$O$39,"")</f>
        <v/>
      </c>
      <c r="R178" s="137" t="str">
        <f t="shared" si="40"/>
        <v>x</v>
      </c>
      <c r="S178" s="49">
        <f t="shared" si="41"/>
        <v>0</v>
      </c>
      <c r="T178" s="34"/>
      <c r="U178" s="37" t="str">
        <f>IF(COUNT(ngay22!$C$12)&gt;0,ngay22!$C$12,"")</f>
        <v/>
      </c>
      <c r="V178" s="34" t="str">
        <f t="shared" si="42"/>
        <v>x</v>
      </c>
      <c r="W178" s="38">
        <f t="shared" si="43"/>
        <v>0</v>
      </c>
      <c r="X178" s="37" t="str">
        <f>IF(COUNT(ngay22!$O$48)&gt;0,ngay22!$O$48,"")</f>
        <v/>
      </c>
      <c r="Y178" s="137" t="str">
        <f t="shared" si="44"/>
        <v>x</v>
      </c>
      <c r="Z178" s="49">
        <f t="shared" si="45"/>
        <v>0</v>
      </c>
      <c r="AA178" s="34"/>
      <c r="AB178" s="37" t="str">
        <f>IF(COUNT(ngay22!$C$21)&gt;0,ngay22!$C$21,"")</f>
        <v/>
      </c>
      <c r="AC178" s="34" t="str">
        <f t="shared" si="46"/>
        <v>x</v>
      </c>
      <c r="AD178" s="38">
        <f t="shared" si="47"/>
        <v>0</v>
      </c>
    </row>
    <row r="179" spans="1:32" s="145" customFormat="1">
      <c r="A179" s="146">
        <v>22</v>
      </c>
      <c r="B179" s="48">
        <v>1</v>
      </c>
      <c r="C179" s="141" t="str">
        <f>IF(COUNT(ngay22!$P$31)&gt;0,ngay22!$P$31,"")</f>
        <v/>
      </c>
      <c r="D179" s="144" t="str">
        <f t="shared" si="32"/>
        <v>x</v>
      </c>
      <c r="E179" s="142">
        <f t="shared" si="33"/>
        <v>0</v>
      </c>
      <c r="F179" s="140"/>
      <c r="G179" s="141" t="str">
        <f>IF(COUNT(ngay22!$D$4)&gt;0,ngay22!$D$4,"")</f>
        <v/>
      </c>
      <c r="H179" s="140" t="str">
        <f t="shared" si="34"/>
        <v>x</v>
      </c>
      <c r="I179" s="143">
        <f t="shared" si="35"/>
        <v>0</v>
      </c>
      <c r="J179" s="141" t="str">
        <f>IF(COUNT(ngay22!$P$33)&gt;0,ngay22!$P$33,"")</f>
        <v/>
      </c>
      <c r="K179" s="144" t="str">
        <f t="shared" si="36"/>
        <v>x</v>
      </c>
      <c r="L179" s="142">
        <f t="shared" si="37"/>
        <v>0</v>
      </c>
      <c r="M179" s="140"/>
      <c r="N179" s="141" t="str">
        <f>IF(COUNT(ngay22!$D$6)&gt;0,ngay22!$D$6,"")</f>
        <v/>
      </c>
      <c r="O179" s="140" t="str">
        <f t="shared" si="38"/>
        <v>x</v>
      </c>
      <c r="P179" s="143">
        <f t="shared" si="39"/>
        <v>0</v>
      </c>
      <c r="Q179" s="141" t="str">
        <f>IF(COUNT(ngay22!$P$39)&gt;0,ngay22!$P$39,"")</f>
        <v/>
      </c>
      <c r="R179" s="144" t="str">
        <f t="shared" si="40"/>
        <v>x</v>
      </c>
      <c r="S179" s="142">
        <f t="shared" si="41"/>
        <v>0</v>
      </c>
      <c r="T179" s="140"/>
      <c r="U179" s="141" t="str">
        <f>IF(COUNT(ngay22!$D$12)&gt;0,ngay22!$D$12,"")</f>
        <v/>
      </c>
      <c r="V179" s="140" t="str">
        <f t="shared" si="42"/>
        <v>x</v>
      </c>
      <c r="W179" s="143">
        <f t="shared" si="43"/>
        <v>0</v>
      </c>
      <c r="X179" s="141" t="str">
        <f>IF(COUNT(ngay22!$P$48)&gt;0,ngay22!$P$48,"")</f>
        <v/>
      </c>
      <c r="Y179" s="144" t="str">
        <f t="shared" si="44"/>
        <v>x</v>
      </c>
      <c r="Z179" s="142">
        <f t="shared" si="45"/>
        <v>0</v>
      </c>
      <c r="AA179" s="140"/>
      <c r="AB179" s="141" t="str">
        <f>IF(COUNT(ngay22!$D$21)&gt;0,ngay22!$D$21,"")</f>
        <v/>
      </c>
      <c r="AC179" s="140" t="str">
        <f t="shared" si="46"/>
        <v>x</v>
      </c>
      <c r="AD179" s="143">
        <f t="shared" si="47"/>
        <v>0</v>
      </c>
      <c r="AE179" s="147"/>
      <c r="AF179" s="147"/>
    </row>
    <row r="180" spans="1:32">
      <c r="A180" s="41"/>
      <c r="B180" s="48">
        <v>4</v>
      </c>
      <c r="C180" s="37" t="str">
        <f>IF(COUNT(ngay22!$Q$31)&gt;0,ngay22!$Q$31,"")</f>
        <v/>
      </c>
      <c r="D180" s="137" t="str">
        <f t="shared" si="32"/>
        <v>x</v>
      </c>
      <c r="E180" s="49">
        <f t="shared" si="33"/>
        <v>0</v>
      </c>
      <c r="F180" s="34"/>
      <c r="G180" s="37" t="str">
        <f>IF(COUNT(ngay22!$E$4)&gt;0,ngay22!$E$4,"")</f>
        <v/>
      </c>
      <c r="H180" s="34" t="str">
        <f t="shared" si="34"/>
        <v>x</v>
      </c>
      <c r="I180" s="38">
        <f t="shared" si="35"/>
        <v>0</v>
      </c>
      <c r="J180" s="37" t="str">
        <f>IF(COUNT(ngay22!$Q$33)&gt;0,ngay22!$Q$33,"")</f>
        <v/>
      </c>
      <c r="K180" s="137" t="str">
        <f t="shared" si="36"/>
        <v>x</v>
      </c>
      <c r="L180" s="49">
        <f t="shared" si="37"/>
        <v>0</v>
      </c>
      <c r="M180" s="34"/>
      <c r="N180" s="37" t="str">
        <f>IF(COUNT(ngay22!$E$6)&gt;0,ngay22!$E$6,"")</f>
        <v/>
      </c>
      <c r="O180" s="34" t="str">
        <f t="shared" si="38"/>
        <v>x</v>
      </c>
      <c r="P180" s="38">
        <f t="shared" si="39"/>
        <v>0</v>
      </c>
      <c r="Q180" s="37" t="str">
        <f>IF(COUNT(ngay22!$Q$39)&gt;0,ngay22!$Q$39,"")</f>
        <v/>
      </c>
      <c r="R180" s="137" t="str">
        <f t="shared" si="40"/>
        <v>x</v>
      </c>
      <c r="S180" s="49">
        <f t="shared" si="41"/>
        <v>0</v>
      </c>
      <c r="T180" s="34"/>
      <c r="U180" s="37" t="str">
        <f>IF(COUNT(ngay22!$E$12)&gt;0,ngay22!$E$12,"")</f>
        <v/>
      </c>
      <c r="V180" s="34" t="str">
        <f t="shared" si="42"/>
        <v>x</v>
      </c>
      <c r="W180" s="38">
        <f t="shared" si="43"/>
        <v>0</v>
      </c>
      <c r="X180" s="37" t="str">
        <f>IF(COUNT(ngay22!$Q$48)&gt;0,ngay22!$Q$48,"")</f>
        <v/>
      </c>
      <c r="Y180" s="137" t="str">
        <f t="shared" si="44"/>
        <v>x</v>
      </c>
      <c r="Z180" s="49">
        <f t="shared" si="45"/>
        <v>0</v>
      </c>
      <c r="AA180" s="34"/>
      <c r="AB180" s="37" t="str">
        <f>IF(COUNT(ngay22!$E$21)&gt;0,ngay22!$E$21,"")</f>
        <v/>
      </c>
      <c r="AC180" s="34" t="str">
        <f t="shared" si="46"/>
        <v>x</v>
      </c>
      <c r="AD180" s="38">
        <f t="shared" si="47"/>
        <v>0</v>
      </c>
    </row>
    <row r="181" spans="1:32">
      <c r="A181" s="41"/>
      <c r="B181" s="139">
        <v>7</v>
      </c>
      <c r="C181" s="37" t="str">
        <f>IF(COUNT(ngay22!$R$31)&gt;0,ngay22!$R$31,"")</f>
        <v/>
      </c>
      <c r="D181" s="137" t="str">
        <f t="shared" si="32"/>
        <v>x</v>
      </c>
      <c r="E181" s="49">
        <f t="shared" si="33"/>
        <v>0</v>
      </c>
      <c r="F181" s="34"/>
      <c r="G181" s="37" t="str">
        <f>IF(COUNT(ngay22!$F$4)&gt;0,ngay22!$F$4,"")</f>
        <v/>
      </c>
      <c r="H181" s="34" t="str">
        <f t="shared" si="34"/>
        <v>x</v>
      </c>
      <c r="I181" s="38">
        <f t="shared" si="35"/>
        <v>0</v>
      </c>
      <c r="J181" s="37" t="str">
        <f>IF(COUNT(ngay22!$R$33)&gt;0,ngay22!$R$33,"")</f>
        <v/>
      </c>
      <c r="K181" s="137" t="str">
        <f t="shared" si="36"/>
        <v>x</v>
      </c>
      <c r="L181" s="49">
        <f t="shared" si="37"/>
        <v>0</v>
      </c>
      <c r="M181" s="34"/>
      <c r="N181" s="37" t="str">
        <f>IF(COUNT(ngay22!$F$6)&gt;0,ngay22!$F$6,"")</f>
        <v/>
      </c>
      <c r="O181" s="34" t="str">
        <f t="shared" si="38"/>
        <v>x</v>
      </c>
      <c r="P181" s="38">
        <f t="shared" si="39"/>
        <v>0</v>
      </c>
      <c r="Q181" s="37" t="str">
        <f>IF(COUNT(ngay22!$R$39)&gt;0,ngay22!$R$39,"")</f>
        <v/>
      </c>
      <c r="R181" s="137" t="str">
        <f t="shared" si="40"/>
        <v>x</v>
      </c>
      <c r="S181" s="49">
        <f t="shared" si="41"/>
        <v>0</v>
      </c>
      <c r="T181" s="34"/>
      <c r="U181" s="37" t="str">
        <f>IF(COUNT(ngay22!$F$12)&gt;0,ngay22!$F$12,"")</f>
        <v/>
      </c>
      <c r="V181" s="34" t="str">
        <f t="shared" si="42"/>
        <v>x</v>
      </c>
      <c r="W181" s="38">
        <f t="shared" si="43"/>
        <v>0</v>
      </c>
      <c r="X181" s="37" t="str">
        <f>IF(COUNT(ngay22!$R$48)&gt;0,ngay22!$R$48,"")</f>
        <v/>
      </c>
      <c r="Y181" s="137" t="str">
        <f t="shared" si="44"/>
        <v>x</v>
      </c>
      <c r="Z181" s="49">
        <f t="shared" si="45"/>
        <v>0</v>
      </c>
      <c r="AA181" s="34"/>
      <c r="AB181" s="37" t="str">
        <f>IF(COUNT(ngay22!$F$21)&gt;0,ngay22!$F$21,"")</f>
        <v/>
      </c>
      <c r="AC181" s="34" t="str">
        <f t="shared" si="46"/>
        <v>x</v>
      </c>
      <c r="AD181" s="38">
        <f t="shared" si="47"/>
        <v>0</v>
      </c>
    </row>
    <row r="182" spans="1:32">
      <c r="A182" s="41"/>
      <c r="B182" s="48">
        <v>10</v>
      </c>
      <c r="C182" s="37" t="str">
        <f>IF(COUNT(ngay22!$S$31)&gt;0,ngay22!$S$31,"")</f>
        <v/>
      </c>
      <c r="D182" s="137" t="str">
        <f t="shared" si="32"/>
        <v>x</v>
      </c>
      <c r="E182" s="49">
        <f t="shared" si="33"/>
        <v>0</v>
      </c>
      <c r="F182" s="34"/>
      <c r="G182" s="37" t="str">
        <f>IF(COUNT(ngay22!$G$4)&gt;0,ngay22!$G$4,"")</f>
        <v/>
      </c>
      <c r="H182" s="34" t="str">
        <f t="shared" si="34"/>
        <v>x</v>
      </c>
      <c r="I182" s="38">
        <f t="shared" si="35"/>
        <v>0</v>
      </c>
      <c r="J182" s="37" t="str">
        <f>IF(COUNT(ngay22!$S$33)&gt;0,ngay22!$S$33,"")</f>
        <v/>
      </c>
      <c r="K182" s="137" t="str">
        <f t="shared" si="36"/>
        <v>x</v>
      </c>
      <c r="L182" s="49">
        <f t="shared" si="37"/>
        <v>0</v>
      </c>
      <c r="M182" s="34"/>
      <c r="N182" s="37" t="str">
        <f>IF(COUNT(ngay22!$G$6)&gt;0,ngay22!$G$6,"")</f>
        <v/>
      </c>
      <c r="O182" s="34" t="str">
        <f t="shared" si="38"/>
        <v>x</v>
      </c>
      <c r="P182" s="38">
        <f t="shared" si="39"/>
        <v>0</v>
      </c>
      <c r="Q182" s="37" t="str">
        <f>IF(COUNT(ngay22!$S$39)&gt;0,ngay22!$S$39,"")</f>
        <v/>
      </c>
      <c r="R182" s="137" t="str">
        <f t="shared" si="40"/>
        <v>x</v>
      </c>
      <c r="S182" s="49">
        <f t="shared" si="41"/>
        <v>0</v>
      </c>
      <c r="T182" s="34"/>
      <c r="U182" s="37" t="str">
        <f>IF(COUNT(ngay22!$G$12)&gt;0,ngay22!$G$12,"")</f>
        <v/>
      </c>
      <c r="V182" s="34" t="str">
        <f t="shared" si="42"/>
        <v>x</v>
      </c>
      <c r="W182" s="38">
        <f t="shared" si="43"/>
        <v>0</v>
      </c>
      <c r="X182" s="37" t="str">
        <f>IF(COUNT(ngay22!$S$48)&gt;0,ngay22!$S$48,"")</f>
        <v/>
      </c>
      <c r="Y182" s="137" t="str">
        <f t="shared" si="44"/>
        <v>x</v>
      </c>
      <c r="Z182" s="49">
        <f t="shared" si="45"/>
        <v>0</v>
      </c>
      <c r="AA182" s="34"/>
      <c r="AB182" s="37" t="str">
        <f>IF(COUNT(ngay22!$G$21)&gt;0,ngay22!$G$21,"")</f>
        <v/>
      </c>
      <c r="AC182" s="34" t="str">
        <f t="shared" si="46"/>
        <v>x</v>
      </c>
      <c r="AD182" s="38">
        <f t="shared" si="47"/>
        <v>0</v>
      </c>
    </row>
    <row r="183" spans="1:32">
      <c r="A183" s="41"/>
      <c r="B183" s="48">
        <v>13</v>
      </c>
      <c r="C183" s="37" t="str">
        <f>IF(COUNT(ngay22!$T$31)&gt;0,ngay22!$T$31,"")</f>
        <v/>
      </c>
      <c r="D183" s="137" t="str">
        <f t="shared" si="32"/>
        <v>x</v>
      </c>
      <c r="E183" s="49">
        <f t="shared" si="33"/>
        <v>0</v>
      </c>
      <c r="F183" s="34"/>
      <c r="G183" s="37" t="str">
        <f>IF(COUNT(ngay22!$H$4)&gt;0,ngay22!$H$4,"")</f>
        <v/>
      </c>
      <c r="H183" s="34" t="str">
        <f t="shared" si="34"/>
        <v>x</v>
      </c>
      <c r="I183" s="38">
        <f t="shared" si="35"/>
        <v>0</v>
      </c>
      <c r="J183" s="37" t="str">
        <f>IF(COUNT(ngay22!$T$33)&gt;0,ngay22!$T$33,"")</f>
        <v/>
      </c>
      <c r="K183" s="137" t="str">
        <f t="shared" si="36"/>
        <v>x</v>
      </c>
      <c r="L183" s="49">
        <f t="shared" si="37"/>
        <v>0</v>
      </c>
      <c r="M183" s="34"/>
      <c r="N183" s="37" t="str">
        <f>IF(COUNT(ngay22!$H$6)&gt;0,ngay22!$H$6,"")</f>
        <v/>
      </c>
      <c r="O183" s="34" t="str">
        <f t="shared" si="38"/>
        <v>x</v>
      </c>
      <c r="P183" s="38">
        <f t="shared" si="39"/>
        <v>0</v>
      </c>
      <c r="Q183" s="37" t="str">
        <f>IF(COUNT(ngay22!$T$39)&gt;0,ngay22!$T$39,"")</f>
        <v/>
      </c>
      <c r="R183" s="137" t="str">
        <f t="shared" si="40"/>
        <v>x</v>
      </c>
      <c r="S183" s="49">
        <f t="shared" si="41"/>
        <v>0</v>
      </c>
      <c r="T183" s="34"/>
      <c r="U183" s="37" t="str">
        <f>IF(COUNT(ngay22!$H$12)&gt;0,ngay22!$H$12,"")</f>
        <v/>
      </c>
      <c r="V183" s="34" t="str">
        <f t="shared" si="42"/>
        <v>x</v>
      </c>
      <c r="W183" s="38">
        <f t="shared" si="43"/>
        <v>0</v>
      </c>
      <c r="X183" s="37" t="str">
        <f>IF(COUNT(ngay22!$T$48)&gt;0,ngay22!$T$48,"")</f>
        <v/>
      </c>
      <c r="Y183" s="137" t="str">
        <f t="shared" si="44"/>
        <v>x</v>
      </c>
      <c r="Z183" s="49">
        <f t="shared" si="45"/>
        <v>0</v>
      </c>
      <c r="AA183" s="34"/>
      <c r="AB183" s="37" t="str">
        <f>IF(COUNT(ngay22!$H$21)&gt;0,ngay22!$H$21,"")</f>
        <v/>
      </c>
      <c r="AC183" s="34" t="str">
        <f t="shared" si="46"/>
        <v>x</v>
      </c>
      <c r="AD183" s="38">
        <f t="shared" si="47"/>
        <v>0</v>
      </c>
    </row>
    <row r="184" spans="1:32">
      <c r="A184" s="41"/>
      <c r="B184" s="48">
        <v>16</v>
      </c>
      <c r="C184" s="37" t="str">
        <f>IF(COUNT(ngay22!$U$31)&gt;0,ngay22!$U$31,"")</f>
        <v/>
      </c>
      <c r="D184" s="137" t="str">
        <f t="shared" si="32"/>
        <v>x</v>
      </c>
      <c r="E184" s="49">
        <f t="shared" si="33"/>
        <v>0</v>
      </c>
      <c r="F184" s="34"/>
      <c r="G184" s="37" t="str">
        <f>IF(COUNT(ngay22!$I$4)&gt;0,ngay22!$I$4,"")</f>
        <v/>
      </c>
      <c r="H184" s="34" t="str">
        <f t="shared" si="34"/>
        <v>x</v>
      </c>
      <c r="I184" s="38">
        <f t="shared" si="35"/>
        <v>0</v>
      </c>
      <c r="J184" s="37" t="str">
        <f>IF(COUNT(ngay22!$U$33)&gt;0,ngay22!$U$33,"")</f>
        <v/>
      </c>
      <c r="K184" s="137" t="str">
        <f t="shared" si="36"/>
        <v>x</v>
      </c>
      <c r="L184" s="49">
        <f t="shared" si="37"/>
        <v>0</v>
      </c>
      <c r="M184" s="34"/>
      <c r="N184" s="37" t="str">
        <f>IF(COUNT(ngay22!$I$6)&gt;0,ngay22!$I$6,"")</f>
        <v/>
      </c>
      <c r="O184" s="34" t="str">
        <f t="shared" si="38"/>
        <v>x</v>
      </c>
      <c r="P184" s="38">
        <f t="shared" si="39"/>
        <v>0</v>
      </c>
      <c r="Q184" s="37" t="str">
        <f>IF(COUNT(ngay22!$U$39)&gt;0,ngay22!$U$39,"")</f>
        <v/>
      </c>
      <c r="R184" s="137" t="str">
        <f t="shared" si="40"/>
        <v>x</v>
      </c>
      <c r="S184" s="49">
        <f t="shared" si="41"/>
        <v>0</v>
      </c>
      <c r="T184" s="34"/>
      <c r="U184" s="37" t="str">
        <f>IF(COUNT(ngay22!$I$12)&gt;0,ngay22!$I$12,"")</f>
        <v/>
      </c>
      <c r="V184" s="34" t="str">
        <f t="shared" si="42"/>
        <v>x</v>
      </c>
      <c r="W184" s="38">
        <f t="shared" si="43"/>
        <v>0</v>
      </c>
      <c r="X184" s="37" t="str">
        <f>IF(COUNT(ngay22!$U$48)&gt;0,ngay22!$U$48,"")</f>
        <v/>
      </c>
      <c r="Y184" s="137" t="str">
        <f t="shared" si="44"/>
        <v>x</v>
      </c>
      <c r="Z184" s="49">
        <f t="shared" si="45"/>
        <v>0</v>
      </c>
      <c r="AA184" s="34"/>
      <c r="AB184" s="37" t="str">
        <f>IF(COUNT(ngay22!$I$21)&gt;0,ngay22!$I$21,"")</f>
        <v/>
      </c>
      <c r="AC184" s="34" t="str">
        <f t="shared" si="46"/>
        <v>x</v>
      </c>
      <c r="AD184" s="38">
        <f t="shared" si="47"/>
        <v>0</v>
      </c>
    </row>
    <row r="185" spans="1:32">
      <c r="A185" s="41"/>
      <c r="B185" s="48">
        <v>19</v>
      </c>
      <c r="C185" s="37" t="str">
        <f>IF(COUNT(ngay22!$V$31)&gt;0,ngay22!$V$31,"")</f>
        <v/>
      </c>
      <c r="D185" s="137" t="str">
        <f t="shared" si="32"/>
        <v>x</v>
      </c>
      <c r="E185" s="49">
        <f t="shared" si="33"/>
        <v>0</v>
      </c>
      <c r="F185" s="34"/>
      <c r="G185" s="37" t="str">
        <f>IF(COUNT(ngay22!$J$4)&gt;0,ngay22!$J$4,"")</f>
        <v/>
      </c>
      <c r="H185" s="34" t="str">
        <f t="shared" si="34"/>
        <v>x</v>
      </c>
      <c r="I185" s="38">
        <f t="shared" si="35"/>
        <v>0</v>
      </c>
      <c r="J185" s="37" t="str">
        <f>IF(COUNT(ngay22!$V$33)&gt;0,ngay22!$V$33,"")</f>
        <v/>
      </c>
      <c r="K185" s="137" t="str">
        <f t="shared" si="36"/>
        <v>x</v>
      </c>
      <c r="L185" s="49">
        <f t="shared" si="37"/>
        <v>0</v>
      </c>
      <c r="M185" s="34"/>
      <c r="N185" s="37" t="str">
        <f>IF(COUNT(ngay22!$J$6)&gt;0,ngay22!$J$6,"")</f>
        <v/>
      </c>
      <c r="O185" s="34" t="str">
        <f t="shared" si="38"/>
        <v>x</v>
      </c>
      <c r="P185" s="38">
        <f t="shared" si="39"/>
        <v>0</v>
      </c>
      <c r="Q185" s="37" t="str">
        <f>IF(COUNT(ngay22!$V$39)&gt;0,ngay22!$V$39,"")</f>
        <v/>
      </c>
      <c r="R185" s="137" t="str">
        <f t="shared" si="40"/>
        <v>x</v>
      </c>
      <c r="S185" s="49">
        <f t="shared" si="41"/>
        <v>0</v>
      </c>
      <c r="T185" s="34"/>
      <c r="U185" s="37" t="str">
        <f>IF(COUNT(ngay22!$J$12)&gt;0,ngay22!$J$12,"")</f>
        <v/>
      </c>
      <c r="V185" s="34" t="str">
        <f t="shared" si="42"/>
        <v>x</v>
      </c>
      <c r="W185" s="38">
        <f t="shared" si="43"/>
        <v>0</v>
      </c>
      <c r="X185" s="37" t="str">
        <f>IF(COUNT(ngay22!$V$48)&gt;0,ngay22!$V$48,"")</f>
        <v/>
      </c>
      <c r="Y185" s="137" t="str">
        <f t="shared" si="44"/>
        <v>x</v>
      </c>
      <c r="Z185" s="49">
        <f t="shared" si="45"/>
        <v>0</v>
      </c>
      <c r="AA185" s="34"/>
      <c r="AB185" s="37" t="str">
        <f>IF(COUNT(ngay22!$J$21)&gt;0,ngay22!$J$21,"")</f>
        <v/>
      </c>
      <c r="AC185" s="34" t="str">
        <f t="shared" si="46"/>
        <v>x</v>
      </c>
      <c r="AD185" s="38">
        <f t="shared" si="47"/>
        <v>0</v>
      </c>
    </row>
    <row r="186" spans="1:32">
      <c r="A186" s="41"/>
      <c r="B186" s="48">
        <v>22</v>
      </c>
      <c r="C186" s="37" t="str">
        <f>IF(COUNT(ngay23!$O$31)&gt;0,ngay23!$O$31,"")</f>
        <v/>
      </c>
      <c r="D186" s="137" t="str">
        <f t="shared" si="32"/>
        <v>x</v>
      </c>
      <c r="E186" s="49">
        <f t="shared" si="33"/>
        <v>0</v>
      </c>
      <c r="F186" s="34"/>
      <c r="G186" s="37" t="str">
        <f>IF(COUNT(ngay23!$C$4)&gt;0,ngay23!$C$4,"")</f>
        <v/>
      </c>
      <c r="H186" s="34" t="str">
        <f t="shared" si="34"/>
        <v>x</v>
      </c>
      <c r="I186" s="38">
        <f t="shared" si="35"/>
        <v>0</v>
      </c>
      <c r="J186" s="37" t="str">
        <f>IF(COUNT(ngay23!$O$33)&gt;0,ngay23!$O$33,"")</f>
        <v/>
      </c>
      <c r="K186" s="137" t="str">
        <f t="shared" si="36"/>
        <v>x</v>
      </c>
      <c r="L186" s="49">
        <f t="shared" si="37"/>
        <v>0</v>
      </c>
      <c r="M186" s="34"/>
      <c r="N186" s="37" t="str">
        <f>IF(COUNT(ngay23!$C$6)&gt;0,ngay23!$C$6,"")</f>
        <v/>
      </c>
      <c r="O186" s="34" t="str">
        <f t="shared" si="38"/>
        <v>x</v>
      </c>
      <c r="P186" s="38">
        <f t="shared" si="39"/>
        <v>0</v>
      </c>
      <c r="Q186" s="37" t="str">
        <f>IF(COUNT(ngay23!$O$39)&gt;0,ngay23!$O$39,"")</f>
        <v/>
      </c>
      <c r="R186" s="137" t="str">
        <f t="shared" si="40"/>
        <v>x</v>
      </c>
      <c r="S186" s="49">
        <f t="shared" si="41"/>
        <v>0</v>
      </c>
      <c r="T186" s="34"/>
      <c r="U186" s="37" t="str">
        <f>IF(COUNT(ngay23!$C$12)&gt;0,ngay23!$C$12,"")</f>
        <v/>
      </c>
      <c r="V186" s="34" t="str">
        <f t="shared" si="42"/>
        <v>x</v>
      </c>
      <c r="W186" s="38">
        <f t="shared" si="43"/>
        <v>0</v>
      </c>
      <c r="X186" s="37" t="str">
        <f>IF(COUNT(ngay23!$O$48)&gt;0,ngay23!$O$48,"")</f>
        <v/>
      </c>
      <c r="Y186" s="137" t="str">
        <f t="shared" si="44"/>
        <v>x</v>
      </c>
      <c r="Z186" s="49">
        <f t="shared" si="45"/>
        <v>0</v>
      </c>
      <c r="AA186" s="34"/>
      <c r="AB186" s="37" t="str">
        <f>IF(COUNT(ngay23!$C$21)&gt;0,ngay23!$C$21,"")</f>
        <v/>
      </c>
      <c r="AC186" s="34" t="str">
        <f t="shared" si="46"/>
        <v>x</v>
      </c>
      <c r="AD186" s="38">
        <f t="shared" si="47"/>
        <v>0</v>
      </c>
    </row>
    <row r="187" spans="1:32" s="145" customFormat="1">
      <c r="A187" s="146">
        <v>23</v>
      </c>
      <c r="B187" s="48">
        <v>1</v>
      </c>
      <c r="C187" s="141" t="str">
        <f>IF(COUNT(ngay23!$P$31)&gt;0,ngay23!$P$31,"")</f>
        <v/>
      </c>
      <c r="D187" s="144" t="str">
        <f t="shared" si="32"/>
        <v>x</v>
      </c>
      <c r="E187" s="142">
        <f t="shared" si="33"/>
        <v>0</v>
      </c>
      <c r="F187" s="140"/>
      <c r="G187" s="141" t="str">
        <f>IF(COUNT(ngay23!$D$4)&gt;0,ngay23!$D$4,"")</f>
        <v/>
      </c>
      <c r="H187" s="140" t="str">
        <f t="shared" si="34"/>
        <v>x</v>
      </c>
      <c r="I187" s="143">
        <f t="shared" si="35"/>
        <v>0</v>
      </c>
      <c r="J187" s="141" t="str">
        <f>IF(COUNT(ngay23!$P$33)&gt;0,ngay23!$P$33,"")</f>
        <v/>
      </c>
      <c r="K187" s="144" t="str">
        <f t="shared" si="36"/>
        <v>x</v>
      </c>
      <c r="L187" s="142">
        <f t="shared" si="37"/>
        <v>0</v>
      </c>
      <c r="M187" s="140"/>
      <c r="N187" s="141" t="str">
        <f>IF(COUNT(ngay23!$D$6)&gt;0,ngay23!$D$6,"")</f>
        <v/>
      </c>
      <c r="O187" s="140" t="str">
        <f t="shared" si="38"/>
        <v>x</v>
      </c>
      <c r="P187" s="143">
        <f t="shared" si="39"/>
        <v>0</v>
      </c>
      <c r="Q187" s="141" t="str">
        <f>IF(COUNT(ngay23!$P$39)&gt;0,ngay23!$P$39,"")</f>
        <v/>
      </c>
      <c r="R187" s="144" t="str">
        <f t="shared" si="40"/>
        <v>x</v>
      </c>
      <c r="S187" s="142">
        <f t="shared" si="41"/>
        <v>0</v>
      </c>
      <c r="T187" s="140"/>
      <c r="U187" s="141" t="str">
        <f>IF(COUNT(ngay23!$D$12)&gt;0,ngay23!$D$12,"")</f>
        <v/>
      </c>
      <c r="V187" s="140" t="str">
        <f t="shared" si="42"/>
        <v>x</v>
      </c>
      <c r="W187" s="143">
        <f t="shared" si="43"/>
        <v>0</v>
      </c>
      <c r="X187" s="141" t="str">
        <f>IF(COUNT(ngay23!$P$48)&gt;0,ngay23!$P$48,"")</f>
        <v/>
      </c>
      <c r="Y187" s="144" t="str">
        <f t="shared" si="44"/>
        <v>x</v>
      </c>
      <c r="Z187" s="142">
        <f t="shared" si="45"/>
        <v>0</v>
      </c>
      <c r="AA187" s="140"/>
      <c r="AB187" s="141" t="str">
        <f>IF(COUNT(ngay23!$D$21)&gt;0,ngay23!$D$21,"")</f>
        <v/>
      </c>
      <c r="AC187" s="140" t="str">
        <f t="shared" si="46"/>
        <v>x</v>
      </c>
      <c r="AD187" s="143">
        <f t="shared" si="47"/>
        <v>0</v>
      </c>
      <c r="AE187" s="147"/>
      <c r="AF187" s="147"/>
    </row>
    <row r="188" spans="1:32">
      <c r="A188" s="41"/>
      <c r="B188" s="48">
        <v>4</v>
      </c>
      <c r="C188" s="37" t="str">
        <f>IF(COUNT(ngay23!$Q$31)&gt;0,ngay23!$Q$31,"")</f>
        <v/>
      </c>
      <c r="D188" s="137" t="str">
        <f t="shared" si="32"/>
        <v>x</v>
      </c>
      <c r="E188" s="49">
        <f t="shared" si="33"/>
        <v>0</v>
      </c>
      <c r="F188" s="34"/>
      <c r="G188" s="37" t="str">
        <f>IF(COUNT(ngay23!$E$4)&gt;0,ngay23!$E$4,"")</f>
        <v/>
      </c>
      <c r="H188" s="34" t="str">
        <f t="shared" si="34"/>
        <v>x</v>
      </c>
      <c r="I188" s="38">
        <f t="shared" si="35"/>
        <v>0</v>
      </c>
      <c r="J188" s="37" t="str">
        <f>IF(COUNT(ngay23!$Q$33)&gt;0,ngay23!$Q$33,"")</f>
        <v/>
      </c>
      <c r="K188" s="137" t="str">
        <f t="shared" si="36"/>
        <v>x</v>
      </c>
      <c r="L188" s="49">
        <f t="shared" si="37"/>
        <v>0</v>
      </c>
      <c r="M188" s="34"/>
      <c r="N188" s="37" t="str">
        <f>IF(COUNT(ngay23!$E$6)&gt;0,ngay23!$E$6,"")</f>
        <v/>
      </c>
      <c r="O188" s="34" t="str">
        <f t="shared" si="38"/>
        <v>x</v>
      </c>
      <c r="P188" s="38">
        <f t="shared" si="39"/>
        <v>0</v>
      </c>
      <c r="Q188" s="37" t="str">
        <f>IF(COUNT(ngay23!$Q$39)&gt;0,ngay23!$Q$39,"")</f>
        <v/>
      </c>
      <c r="R188" s="137" t="str">
        <f t="shared" si="40"/>
        <v>x</v>
      </c>
      <c r="S188" s="49">
        <f t="shared" si="41"/>
        <v>0</v>
      </c>
      <c r="T188" s="34"/>
      <c r="U188" s="37" t="str">
        <f>IF(COUNT(ngay23!$E$12)&gt;0,ngay23!$E$12,"")</f>
        <v/>
      </c>
      <c r="V188" s="34" t="str">
        <f t="shared" si="42"/>
        <v>x</v>
      </c>
      <c r="W188" s="38">
        <f t="shared" si="43"/>
        <v>0</v>
      </c>
      <c r="X188" s="37" t="str">
        <f>IF(COUNT(ngay23!$Q$48)&gt;0,ngay23!$Q$48,"")</f>
        <v/>
      </c>
      <c r="Y188" s="137" t="str">
        <f t="shared" si="44"/>
        <v>x</v>
      </c>
      <c r="Z188" s="49">
        <f t="shared" si="45"/>
        <v>0</v>
      </c>
      <c r="AA188" s="34"/>
      <c r="AB188" s="37" t="str">
        <f>IF(COUNT(ngay23!$E$21)&gt;0,ngay23!$E$21,"")</f>
        <v/>
      </c>
      <c r="AC188" s="34" t="str">
        <f t="shared" si="46"/>
        <v>x</v>
      </c>
      <c r="AD188" s="38">
        <f t="shared" si="47"/>
        <v>0</v>
      </c>
    </row>
    <row r="189" spans="1:32">
      <c r="A189" s="41"/>
      <c r="B189" s="139">
        <v>7</v>
      </c>
      <c r="C189" s="37" t="str">
        <f>IF(COUNT(ngay23!$R$31)&gt;0,ngay23!$R$31,"")</f>
        <v/>
      </c>
      <c r="D189" s="137" t="str">
        <f t="shared" si="32"/>
        <v>x</v>
      </c>
      <c r="E189" s="49">
        <f t="shared" si="33"/>
        <v>0</v>
      </c>
      <c r="F189" s="34"/>
      <c r="G189" s="37" t="str">
        <f>IF(COUNT(ngay23!$F$4)&gt;0,ngay23!$F$4,"")</f>
        <v/>
      </c>
      <c r="H189" s="34" t="str">
        <f t="shared" si="34"/>
        <v>x</v>
      </c>
      <c r="I189" s="38">
        <f t="shared" si="35"/>
        <v>0</v>
      </c>
      <c r="J189" s="37" t="str">
        <f>IF(COUNT(ngay23!$R$33)&gt;0,ngay23!$R$33,"")</f>
        <v/>
      </c>
      <c r="K189" s="137" t="str">
        <f t="shared" si="36"/>
        <v>x</v>
      </c>
      <c r="L189" s="49">
        <f t="shared" si="37"/>
        <v>0</v>
      </c>
      <c r="M189" s="34"/>
      <c r="N189" s="37" t="str">
        <f>IF(COUNT(ngay23!$F$6)&gt;0,ngay23!$F$6,"")</f>
        <v/>
      </c>
      <c r="O189" s="34" t="str">
        <f t="shared" si="38"/>
        <v>x</v>
      </c>
      <c r="P189" s="38">
        <f t="shared" si="39"/>
        <v>0</v>
      </c>
      <c r="Q189" s="37" t="str">
        <f>IF(COUNT(ngay23!$R$39)&gt;0,ngay23!$R$39,"")</f>
        <v/>
      </c>
      <c r="R189" s="137" t="str">
        <f t="shared" si="40"/>
        <v>x</v>
      </c>
      <c r="S189" s="49">
        <f t="shared" si="41"/>
        <v>0</v>
      </c>
      <c r="T189" s="34"/>
      <c r="U189" s="37" t="str">
        <f>IF(COUNT(ngay23!$F$12)&gt;0,ngay23!$F$12,"")</f>
        <v/>
      </c>
      <c r="V189" s="34" t="str">
        <f t="shared" si="42"/>
        <v>x</v>
      </c>
      <c r="W189" s="38">
        <f t="shared" si="43"/>
        <v>0</v>
      </c>
      <c r="X189" s="37" t="str">
        <f>IF(COUNT(ngay23!$R$48)&gt;0,ngay23!$R$48,"")</f>
        <v/>
      </c>
      <c r="Y189" s="137" t="str">
        <f t="shared" si="44"/>
        <v>x</v>
      </c>
      <c r="Z189" s="49">
        <f t="shared" si="45"/>
        <v>0</v>
      </c>
      <c r="AA189" s="34"/>
      <c r="AB189" s="37" t="str">
        <f>IF(COUNT(ngay23!$F$21)&gt;0,ngay23!$F$21,"")</f>
        <v/>
      </c>
      <c r="AC189" s="34" t="str">
        <f t="shared" si="46"/>
        <v>x</v>
      </c>
      <c r="AD189" s="38">
        <f t="shared" si="47"/>
        <v>0</v>
      </c>
    </row>
    <row r="190" spans="1:32">
      <c r="A190" s="41"/>
      <c r="B190" s="48">
        <v>10</v>
      </c>
      <c r="C190" s="37" t="str">
        <f>IF(COUNT(ngay23!$S$31)&gt;0,ngay23!$S$31,"")</f>
        <v/>
      </c>
      <c r="D190" s="137" t="str">
        <f t="shared" si="32"/>
        <v>x</v>
      </c>
      <c r="E190" s="49">
        <f t="shared" si="33"/>
        <v>0</v>
      </c>
      <c r="F190" s="34"/>
      <c r="G190" s="37" t="str">
        <f>IF(COUNT(ngay23!$G$4)&gt;0,ngay23!$G$4,"")</f>
        <v/>
      </c>
      <c r="H190" s="34" t="str">
        <f t="shared" si="34"/>
        <v>x</v>
      </c>
      <c r="I190" s="38">
        <f t="shared" si="35"/>
        <v>0</v>
      </c>
      <c r="J190" s="37" t="str">
        <f>IF(COUNT(ngay23!$S$33)&gt;0,ngay23!$S$33,"")</f>
        <v/>
      </c>
      <c r="K190" s="137" t="str">
        <f t="shared" si="36"/>
        <v>x</v>
      </c>
      <c r="L190" s="49">
        <f t="shared" si="37"/>
        <v>0</v>
      </c>
      <c r="M190" s="34"/>
      <c r="N190" s="37" t="str">
        <f>IF(COUNT(ngay23!$G$6)&gt;0,ngay23!$G$6,"")</f>
        <v/>
      </c>
      <c r="O190" s="34" t="str">
        <f t="shared" si="38"/>
        <v>x</v>
      </c>
      <c r="P190" s="38">
        <f t="shared" si="39"/>
        <v>0</v>
      </c>
      <c r="Q190" s="37" t="str">
        <f>IF(COUNT(ngay23!$S$39)&gt;0,ngay23!$S$39,"")</f>
        <v/>
      </c>
      <c r="R190" s="137" t="str">
        <f t="shared" si="40"/>
        <v>x</v>
      </c>
      <c r="S190" s="49">
        <f t="shared" si="41"/>
        <v>0</v>
      </c>
      <c r="T190" s="34"/>
      <c r="U190" s="37" t="str">
        <f>IF(COUNT(ngay23!$G$12)&gt;0,ngay23!$G$12,"")</f>
        <v/>
      </c>
      <c r="V190" s="34" t="str">
        <f t="shared" si="42"/>
        <v>x</v>
      </c>
      <c r="W190" s="38">
        <f t="shared" si="43"/>
        <v>0</v>
      </c>
      <c r="X190" s="37" t="str">
        <f>IF(COUNT(ngay23!$S$48)&gt;0,ngay23!$S$48,"")</f>
        <v/>
      </c>
      <c r="Y190" s="137" t="str">
        <f t="shared" si="44"/>
        <v>x</v>
      </c>
      <c r="Z190" s="49">
        <f t="shared" si="45"/>
        <v>0</v>
      </c>
      <c r="AA190" s="34"/>
      <c r="AB190" s="37" t="str">
        <f>IF(COUNT(ngay23!$G$21)&gt;0,ngay23!$G$21,"")</f>
        <v/>
      </c>
      <c r="AC190" s="34" t="str">
        <f t="shared" si="46"/>
        <v>x</v>
      </c>
      <c r="AD190" s="38">
        <f t="shared" si="47"/>
        <v>0</v>
      </c>
    </row>
    <row r="191" spans="1:32">
      <c r="A191" s="41"/>
      <c r="B191" s="48">
        <v>13</v>
      </c>
      <c r="C191" s="37" t="str">
        <f>IF(COUNT(ngay23!$T$31)&gt;0,ngay23!$T$31,"")</f>
        <v/>
      </c>
      <c r="D191" s="137" t="str">
        <f t="shared" si="32"/>
        <v>x</v>
      </c>
      <c r="E191" s="49">
        <f t="shared" si="33"/>
        <v>0</v>
      </c>
      <c r="F191" s="34"/>
      <c r="G191" s="37" t="str">
        <f>IF(COUNT(ngay23!$H$4)&gt;0,ngay23!$H$4,"")</f>
        <v/>
      </c>
      <c r="H191" s="34" t="str">
        <f t="shared" si="34"/>
        <v>x</v>
      </c>
      <c r="I191" s="38">
        <f t="shared" si="35"/>
        <v>0</v>
      </c>
      <c r="J191" s="37" t="str">
        <f>IF(COUNT(ngay23!$T$33)&gt;0,ngay23!$T$33,"")</f>
        <v/>
      </c>
      <c r="K191" s="137" t="str">
        <f t="shared" si="36"/>
        <v>x</v>
      </c>
      <c r="L191" s="49">
        <f t="shared" si="37"/>
        <v>0</v>
      </c>
      <c r="M191" s="34"/>
      <c r="N191" s="37" t="str">
        <f>IF(COUNT(ngay23!$H$6)&gt;0,ngay23!$H$6,"")</f>
        <v/>
      </c>
      <c r="O191" s="34" t="str">
        <f t="shared" si="38"/>
        <v>x</v>
      </c>
      <c r="P191" s="38">
        <f t="shared" si="39"/>
        <v>0</v>
      </c>
      <c r="Q191" s="37" t="str">
        <f>IF(COUNT(ngay23!$T$39)&gt;0,ngay23!$T$39,"")</f>
        <v/>
      </c>
      <c r="R191" s="137" t="str">
        <f t="shared" si="40"/>
        <v>x</v>
      </c>
      <c r="S191" s="49">
        <f t="shared" si="41"/>
        <v>0</v>
      </c>
      <c r="T191" s="34"/>
      <c r="U191" s="37" t="str">
        <f>IF(COUNT(ngay23!$H$12)&gt;0,ngay23!$H$12,"")</f>
        <v/>
      </c>
      <c r="V191" s="34" t="str">
        <f t="shared" si="42"/>
        <v>x</v>
      </c>
      <c r="W191" s="38">
        <f t="shared" si="43"/>
        <v>0</v>
      </c>
      <c r="X191" s="37" t="str">
        <f>IF(COUNT(ngay23!$T$48)&gt;0,ngay23!$T$48,"")</f>
        <v/>
      </c>
      <c r="Y191" s="137" t="str">
        <f t="shared" si="44"/>
        <v>x</v>
      </c>
      <c r="Z191" s="49">
        <f t="shared" si="45"/>
        <v>0</v>
      </c>
      <c r="AA191" s="34"/>
      <c r="AB191" s="37" t="str">
        <f>IF(COUNT(ngay23!$H$21)&gt;0,ngay23!$H$21,"")</f>
        <v/>
      </c>
      <c r="AC191" s="34" t="str">
        <f t="shared" si="46"/>
        <v>x</v>
      </c>
      <c r="AD191" s="38">
        <f t="shared" si="47"/>
        <v>0</v>
      </c>
    </row>
    <row r="192" spans="1:32">
      <c r="A192" s="41"/>
      <c r="B192" s="48">
        <v>16</v>
      </c>
      <c r="C192" s="37" t="str">
        <f>IF(COUNT(ngay23!$U$31)&gt;0,ngay23!$U$31,"")</f>
        <v/>
      </c>
      <c r="D192" s="137" t="str">
        <f t="shared" si="32"/>
        <v>x</v>
      </c>
      <c r="E192" s="49">
        <f t="shared" si="33"/>
        <v>0</v>
      </c>
      <c r="F192" s="34"/>
      <c r="G192" s="37" t="str">
        <f>IF(COUNT(ngay23!$I$4)&gt;0,ngay23!$I$4,"")</f>
        <v/>
      </c>
      <c r="H192" s="34" t="str">
        <f t="shared" si="34"/>
        <v>x</v>
      </c>
      <c r="I192" s="38">
        <f t="shared" si="35"/>
        <v>0</v>
      </c>
      <c r="J192" s="37" t="str">
        <f>IF(COUNT(ngay23!$U$33)&gt;0,ngay23!$U$33,"")</f>
        <v/>
      </c>
      <c r="K192" s="137" t="str">
        <f t="shared" si="36"/>
        <v>x</v>
      </c>
      <c r="L192" s="49">
        <f t="shared" si="37"/>
        <v>0</v>
      </c>
      <c r="M192" s="34"/>
      <c r="N192" s="37" t="str">
        <f>IF(COUNT(ngay23!$I$6)&gt;0,ngay23!$I$6,"")</f>
        <v/>
      </c>
      <c r="O192" s="34" t="str">
        <f t="shared" si="38"/>
        <v>x</v>
      </c>
      <c r="P192" s="38">
        <f t="shared" si="39"/>
        <v>0</v>
      </c>
      <c r="Q192" s="37" t="str">
        <f>IF(COUNT(ngay23!$U$39)&gt;0,ngay23!$U$39,"")</f>
        <v/>
      </c>
      <c r="R192" s="137" t="str">
        <f t="shared" si="40"/>
        <v>x</v>
      </c>
      <c r="S192" s="49">
        <f t="shared" si="41"/>
        <v>0</v>
      </c>
      <c r="T192" s="34"/>
      <c r="U192" s="37" t="str">
        <f>IF(COUNT(ngay23!$I$12)&gt;0,ngay23!$I$12,"")</f>
        <v/>
      </c>
      <c r="V192" s="34" t="str">
        <f t="shared" si="42"/>
        <v>x</v>
      </c>
      <c r="W192" s="38">
        <f t="shared" si="43"/>
        <v>0</v>
      </c>
      <c r="X192" s="37" t="str">
        <f>IF(COUNT(ngay23!$U$48)&gt;0,ngay23!$U$48,"")</f>
        <v/>
      </c>
      <c r="Y192" s="137" t="str">
        <f t="shared" si="44"/>
        <v>x</v>
      </c>
      <c r="Z192" s="49">
        <f t="shared" si="45"/>
        <v>0</v>
      </c>
      <c r="AA192" s="34"/>
      <c r="AB192" s="37" t="str">
        <f>IF(COUNT(ngay23!$I$21)&gt;0,ngay23!$I$21,"")</f>
        <v/>
      </c>
      <c r="AC192" s="34" t="str">
        <f t="shared" si="46"/>
        <v>x</v>
      </c>
      <c r="AD192" s="38">
        <f t="shared" si="47"/>
        <v>0</v>
      </c>
    </row>
    <row r="193" spans="1:32">
      <c r="A193" s="41"/>
      <c r="B193" s="48">
        <v>19</v>
      </c>
      <c r="C193" s="37" t="str">
        <f>IF(COUNT(ngay23!$V$31)&gt;0,ngay23!$V$31,"")</f>
        <v/>
      </c>
      <c r="D193" s="137" t="str">
        <f t="shared" si="32"/>
        <v>x</v>
      </c>
      <c r="E193" s="49">
        <f t="shared" si="33"/>
        <v>0</v>
      </c>
      <c r="F193" s="34"/>
      <c r="G193" s="37" t="str">
        <f>IF(COUNT(ngay23!$J$4)&gt;0,ngay23!$J$4,"")</f>
        <v/>
      </c>
      <c r="H193" s="34" t="str">
        <f t="shared" si="34"/>
        <v>x</v>
      </c>
      <c r="I193" s="38">
        <f t="shared" si="35"/>
        <v>0</v>
      </c>
      <c r="J193" s="37" t="str">
        <f>IF(COUNT(ngay23!$V$33)&gt;0,ngay23!$V$33,"")</f>
        <v/>
      </c>
      <c r="K193" s="137" t="str">
        <f t="shared" si="36"/>
        <v>x</v>
      </c>
      <c r="L193" s="49">
        <f t="shared" si="37"/>
        <v>0</v>
      </c>
      <c r="M193" s="34"/>
      <c r="N193" s="37" t="str">
        <f>IF(COUNT(ngay23!$J$6)&gt;0,ngay23!$J$6,"")</f>
        <v/>
      </c>
      <c r="O193" s="34" t="str">
        <f t="shared" si="38"/>
        <v>x</v>
      </c>
      <c r="P193" s="38">
        <f t="shared" si="39"/>
        <v>0</v>
      </c>
      <c r="Q193" s="37" t="str">
        <f>IF(COUNT(ngay23!$V$39)&gt;0,ngay23!$V$39,"")</f>
        <v/>
      </c>
      <c r="R193" s="137" t="str">
        <f t="shared" si="40"/>
        <v>x</v>
      </c>
      <c r="S193" s="49">
        <f t="shared" si="41"/>
        <v>0</v>
      </c>
      <c r="T193" s="34"/>
      <c r="U193" s="37" t="str">
        <f>IF(COUNT(ngay23!$J$12)&gt;0,ngay23!$J$12,"")</f>
        <v/>
      </c>
      <c r="V193" s="34" t="str">
        <f t="shared" si="42"/>
        <v>x</v>
      </c>
      <c r="W193" s="38">
        <f t="shared" si="43"/>
        <v>0</v>
      </c>
      <c r="X193" s="37" t="str">
        <f>IF(COUNT(ngay23!$V$48)&gt;0,ngay23!$V$48,"")</f>
        <v/>
      </c>
      <c r="Y193" s="137" t="str">
        <f t="shared" si="44"/>
        <v>x</v>
      </c>
      <c r="Z193" s="49">
        <f t="shared" si="45"/>
        <v>0</v>
      </c>
      <c r="AA193" s="34"/>
      <c r="AB193" s="37" t="str">
        <f>IF(COUNT(ngay23!$J$21)&gt;0,ngay23!$J$21,"")</f>
        <v/>
      </c>
      <c r="AC193" s="34" t="str">
        <f t="shared" si="46"/>
        <v>x</v>
      </c>
      <c r="AD193" s="38">
        <f t="shared" si="47"/>
        <v>0</v>
      </c>
    </row>
    <row r="194" spans="1:32">
      <c r="A194" s="41"/>
      <c r="B194" s="48">
        <v>22</v>
      </c>
      <c r="C194" s="37" t="str">
        <f>IF(COUNT(ngay24!$O$31)&gt;0,ngay24!$O$31,"")</f>
        <v/>
      </c>
      <c r="D194" s="137" t="str">
        <f t="shared" si="32"/>
        <v>x</v>
      </c>
      <c r="E194" s="49">
        <f t="shared" si="33"/>
        <v>0</v>
      </c>
      <c r="F194" s="34"/>
      <c r="G194" s="37" t="str">
        <f>IF(COUNT(ngay24!$C$4)&gt;0,ngay24!$C$4,"")</f>
        <v/>
      </c>
      <c r="H194" s="34" t="str">
        <f t="shared" si="34"/>
        <v>x</v>
      </c>
      <c r="I194" s="38">
        <f t="shared" si="35"/>
        <v>0</v>
      </c>
      <c r="J194" s="37" t="str">
        <f>IF(COUNT(ngay24!$O$33)&gt;0,ngay24!$O$33,"")</f>
        <v/>
      </c>
      <c r="K194" s="137" t="str">
        <f t="shared" si="36"/>
        <v>x</v>
      </c>
      <c r="L194" s="49">
        <f t="shared" si="37"/>
        <v>0</v>
      </c>
      <c r="M194" s="34"/>
      <c r="N194" s="37" t="str">
        <f>IF(COUNT(ngay24!$C$6)&gt;0,ngay24!$C$6,"")</f>
        <v/>
      </c>
      <c r="O194" s="34" t="str">
        <f t="shared" si="38"/>
        <v>x</v>
      </c>
      <c r="P194" s="38">
        <f t="shared" si="39"/>
        <v>0</v>
      </c>
      <c r="Q194" s="37" t="str">
        <f>IF(COUNT(ngay24!$O$39)&gt;0,ngay24!$O$39,"")</f>
        <v/>
      </c>
      <c r="R194" s="137" t="str">
        <f t="shared" si="40"/>
        <v>x</v>
      </c>
      <c r="S194" s="49">
        <f t="shared" si="41"/>
        <v>0</v>
      </c>
      <c r="T194" s="34"/>
      <c r="U194" s="37" t="str">
        <f>IF(COUNT(ngay24!$C$12)&gt;0,ngay24!$C$12,"")</f>
        <v/>
      </c>
      <c r="V194" s="34" t="str">
        <f t="shared" si="42"/>
        <v>x</v>
      </c>
      <c r="W194" s="38">
        <f t="shared" si="43"/>
        <v>0</v>
      </c>
      <c r="X194" s="37" t="str">
        <f>IF(COUNT(ngay24!$O$48)&gt;0,ngay24!$O$48,"")</f>
        <v/>
      </c>
      <c r="Y194" s="137" t="str">
        <f t="shared" si="44"/>
        <v>x</v>
      </c>
      <c r="Z194" s="49">
        <f t="shared" si="45"/>
        <v>0</v>
      </c>
      <c r="AA194" s="34"/>
      <c r="AB194" s="37" t="str">
        <f>IF(COUNT(ngay24!$C$21)&gt;0,ngay24!$C$21,"")</f>
        <v/>
      </c>
      <c r="AC194" s="34" t="str">
        <f t="shared" si="46"/>
        <v>x</v>
      </c>
      <c r="AD194" s="38">
        <f t="shared" si="47"/>
        <v>0</v>
      </c>
    </row>
    <row r="195" spans="1:32" s="145" customFormat="1">
      <c r="A195" s="146">
        <v>24</v>
      </c>
      <c r="B195" s="48">
        <v>1</v>
      </c>
      <c r="C195" s="141" t="str">
        <f>IF(COUNT(ngay24!$P$31)&gt;0,ngay24!$P$31,"")</f>
        <v/>
      </c>
      <c r="D195" s="144" t="str">
        <f t="shared" si="32"/>
        <v>x</v>
      </c>
      <c r="E195" s="142">
        <f t="shared" si="33"/>
        <v>0</v>
      </c>
      <c r="F195" s="140"/>
      <c r="G195" s="141" t="str">
        <f>IF(COUNT(ngay24!$D$4)&gt;0,ngay24!$D$4,"")</f>
        <v/>
      </c>
      <c r="H195" s="140" t="str">
        <f t="shared" si="34"/>
        <v>x</v>
      </c>
      <c r="I195" s="143">
        <f t="shared" si="35"/>
        <v>0</v>
      </c>
      <c r="J195" s="141" t="str">
        <f>IF(COUNT(ngay24!$P$33)&gt;0,ngay24!$P$33,"")</f>
        <v/>
      </c>
      <c r="K195" s="144" t="str">
        <f t="shared" si="36"/>
        <v>x</v>
      </c>
      <c r="L195" s="142">
        <f t="shared" si="37"/>
        <v>0</v>
      </c>
      <c r="M195" s="140"/>
      <c r="N195" s="141" t="str">
        <f>IF(COUNT(ngay24!$D$6)&gt;0,ngay24!$D$6,"")</f>
        <v/>
      </c>
      <c r="O195" s="140" t="str">
        <f t="shared" si="38"/>
        <v>x</v>
      </c>
      <c r="P195" s="143">
        <f t="shared" si="39"/>
        <v>0</v>
      </c>
      <c r="Q195" s="141" t="str">
        <f>IF(COUNT(ngay24!$P$39)&gt;0,ngay24!$P$39,"")</f>
        <v/>
      </c>
      <c r="R195" s="144" t="str">
        <f t="shared" si="40"/>
        <v>x</v>
      </c>
      <c r="S195" s="142">
        <f t="shared" si="41"/>
        <v>0</v>
      </c>
      <c r="T195" s="140"/>
      <c r="U195" s="141" t="str">
        <f>IF(COUNT(ngay24!$D$12)&gt;0,ngay24!$D$12,"")</f>
        <v/>
      </c>
      <c r="V195" s="140" t="str">
        <f t="shared" si="42"/>
        <v>x</v>
      </c>
      <c r="W195" s="143">
        <f t="shared" si="43"/>
        <v>0</v>
      </c>
      <c r="X195" s="141" t="str">
        <f>IF(COUNT(ngay24!$P$48)&gt;0,ngay24!$P$48,"")</f>
        <v/>
      </c>
      <c r="Y195" s="144" t="str">
        <f t="shared" si="44"/>
        <v>x</v>
      </c>
      <c r="Z195" s="142">
        <f t="shared" si="45"/>
        <v>0</v>
      </c>
      <c r="AA195" s="140"/>
      <c r="AB195" s="141" t="str">
        <f>IF(COUNT(ngay24!$D$21)&gt;0,ngay24!$D$21,"")</f>
        <v/>
      </c>
      <c r="AC195" s="140" t="str">
        <f t="shared" si="46"/>
        <v>x</v>
      </c>
      <c r="AD195" s="143">
        <f t="shared" si="47"/>
        <v>0</v>
      </c>
      <c r="AE195" s="147"/>
      <c r="AF195" s="147"/>
    </row>
    <row r="196" spans="1:32">
      <c r="A196" s="41"/>
      <c r="B196" s="48">
        <v>4</v>
      </c>
      <c r="C196" s="37" t="str">
        <f>IF(COUNT(ngay24!$Q$31)&gt;0,ngay24!$Q$31,"")</f>
        <v/>
      </c>
      <c r="D196" s="137" t="str">
        <f t="shared" si="32"/>
        <v>x</v>
      </c>
      <c r="E196" s="49">
        <f t="shared" si="33"/>
        <v>0</v>
      </c>
      <c r="F196" s="34"/>
      <c r="G196" s="37" t="str">
        <f>IF(COUNT(ngay24!$E$4)&gt;0,ngay24!$E$4,"")</f>
        <v/>
      </c>
      <c r="H196" s="34" t="str">
        <f t="shared" si="34"/>
        <v>x</v>
      </c>
      <c r="I196" s="38">
        <f t="shared" si="35"/>
        <v>0</v>
      </c>
      <c r="J196" s="37" t="str">
        <f>IF(COUNT(ngay24!$Q$33)&gt;0,ngay24!$Q$33,"")</f>
        <v/>
      </c>
      <c r="K196" s="137" t="str">
        <f t="shared" si="36"/>
        <v>x</v>
      </c>
      <c r="L196" s="49">
        <f t="shared" si="37"/>
        <v>0</v>
      </c>
      <c r="M196" s="34"/>
      <c r="N196" s="37" t="str">
        <f>IF(COUNT(ngay24!$E$6)&gt;0,ngay24!$E$6,"")</f>
        <v/>
      </c>
      <c r="O196" s="34" t="str">
        <f t="shared" si="38"/>
        <v>x</v>
      </c>
      <c r="P196" s="38">
        <f t="shared" si="39"/>
        <v>0</v>
      </c>
      <c r="Q196" s="37" t="str">
        <f>IF(COUNT(ngay24!$Q$39)&gt;0,ngay24!$Q$39,"")</f>
        <v/>
      </c>
      <c r="R196" s="137" t="str">
        <f t="shared" si="40"/>
        <v>x</v>
      </c>
      <c r="S196" s="49">
        <f t="shared" si="41"/>
        <v>0</v>
      </c>
      <c r="T196" s="34"/>
      <c r="U196" s="37" t="str">
        <f>IF(COUNT(ngay24!$E$12)&gt;0,ngay24!$E$12,"")</f>
        <v/>
      </c>
      <c r="V196" s="34" t="str">
        <f t="shared" si="42"/>
        <v>x</v>
      </c>
      <c r="W196" s="38">
        <f t="shared" si="43"/>
        <v>0</v>
      </c>
      <c r="X196" s="37" t="str">
        <f>IF(COUNT(ngay24!$Q$48)&gt;0,ngay24!$Q$48,"")</f>
        <v/>
      </c>
      <c r="Y196" s="137" t="str">
        <f t="shared" si="44"/>
        <v>x</v>
      </c>
      <c r="Z196" s="49">
        <f t="shared" si="45"/>
        <v>0</v>
      </c>
      <c r="AA196" s="34"/>
      <c r="AB196" s="37" t="str">
        <f>IF(COUNT(ngay24!$E$21)&gt;0,ngay24!$E$21,"")</f>
        <v/>
      </c>
      <c r="AC196" s="34" t="str">
        <f t="shared" si="46"/>
        <v>x</v>
      </c>
      <c r="AD196" s="38">
        <f t="shared" si="47"/>
        <v>0</v>
      </c>
    </row>
    <row r="197" spans="1:32">
      <c r="A197" s="41"/>
      <c r="B197" s="139">
        <v>7</v>
      </c>
      <c r="C197" s="37" t="str">
        <f>IF(COUNT(ngay24!$R$31)&gt;0,ngay24!$R$31,"")</f>
        <v/>
      </c>
      <c r="D197" s="137" t="str">
        <f t="shared" si="32"/>
        <v>x</v>
      </c>
      <c r="E197" s="49">
        <f t="shared" si="33"/>
        <v>0</v>
      </c>
      <c r="F197" s="34"/>
      <c r="G197" s="37" t="str">
        <f>IF(COUNT(ngay24!$F$4)&gt;0,ngay24!$F$4,"")</f>
        <v/>
      </c>
      <c r="H197" s="34" t="str">
        <f t="shared" si="34"/>
        <v>x</v>
      </c>
      <c r="I197" s="38">
        <f t="shared" si="35"/>
        <v>0</v>
      </c>
      <c r="J197" s="37" t="str">
        <f>IF(COUNT(ngay24!$R$33)&gt;0,ngay24!$R$33,"")</f>
        <v/>
      </c>
      <c r="K197" s="137" t="str">
        <f t="shared" si="36"/>
        <v>x</v>
      </c>
      <c r="L197" s="49">
        <f t="shared" si="37"/>
        <v>0</v>
      </c>
      <c r="M197" s="34"/>
      <c r="N197" s="37" t="str">
        <f>IF(COUNT(ngay24!$F$6)&gt;0,ngay24!$F$6,"")</f>
        <v/>
      </c>
      <c r="O197" s="34" t="str">
        <f t="shared" si="38"/>
        <v>x</v>
      </c>
      <c r="P197" s="38">
        <f t="shared" si="39"/>
        <v>0</v>
      </c>
      <c r="Q197" s="37" t="str">
        <f>IF(COUNT(ngay24!$R$39)&gt;0,ngay24!$R$39,"")</f>
        <v/>
      </c>
      <c r="R197" s="137" t="str">
        <f t="shared" si="40"/>
        <v>x</v>
      </c>
      <c r="S197" s="49">
        <f t="shared" si="41"/>
        <v>0</v>
      </c>
      <c r="T197" s="34"/>
      <c r="U197" s="37" t="str">
        <f>IF(COUNT(ngay24!$F$12)&gt;0,ngay24!$F$12,"")</f>
        <v/>
      </c>
      <c r="V197" s="34" t="str">
        <f t="shared" si="42"/>
        <v>x</v>
      </c>
      <c r="W197" s="38">
        <f t="shared" si="43"/>
        <v>0</v>
      </c>
      <c r="X197" s="37" t="str">
        <f>IF(COUNT(ngay24!$R$48)&gt;0,ngay24!$R$48,"")</f>
        <v/>
      </c>
      <c r="Y197" s="137" t="str">
        <f t="shared" si="44"/>
        <v>x</v>
      </c>
      <c r="Z197" s="49">
        <f t="shared" si="45"/>
        <v>0</v>
      </c>
      <c r="AA197" s="34"/>
      <c r="AB197" s="37" t="str">
        <f>IF(COUNT(ngay24!$F$21)&gt;0,ngay24!$F$21,"")</f>
        <v/>
      </c>
      <c r="AC197" s="34" t="str">
        <f t="shared" si="46"/>
        <v>x</v>
      </c>
      <c r="AD197" s="38">
        <f t="shared" si="47"/>
        <v>0</v>
      </c>
    </row>
    <row r="198" spans="1:32">
      <c r="A198" s="41"/>
      <c r="B198" s="48">
        <v>10</v>
      </c>
      <c r="C198" s="37" t="str">
        <f>IF(COUNT(ngay24!$S$31)&gt;0,ngay24!$S$31,"")</f>
        <v/>
      </c>
      <c r="D198" s="137" t="str">
        <f t="shared" si="32"/>
        <v>x</v>
      </c>
      <c r="E198" s="49">
        <f t="shared" si="33"/>
        <v>0</v>
      </c>
      <c r="F198" s="34"/>
      <c r="G198" s="37" t="str">
        <f>IF(COUNT(ngay24!$G$4)&gt;0,ngay24!$G$4,"")</f>
        <v/>
      </c>
      <c r="H198" s="34" t="str">
        <f t="shared" si="34"/>
        <v>x</v>
      </c>
      <c r="I198" s="38">
        <f t="shared" si="35"/>
        <v>0</v>
      </c>
      <c r="J198" s="37" t="str">
        <f>IF(COUNT(ngay24!$S$33)&gt;0,ngay24!$S$33,"")</f>
        <v/>
      </c>
      <c r="K198" s="137" t="str">
        <f t="shared" si="36"/>
        <v>x</v>
      </c>
      <c r="L198" s="49">
        <f t="shared" si="37"/>
        <v>0</v>
      </c>
      <c r="M198" s="34"/>
      <c r="N198" s="37" t="str">
        <f>IF(COUNT(ngay24!$G$6)&gt;0,ngay24!$G$6,"")</f>
        <v/>
      </c>
      <c r="O198" s="34" t="str">
        <f t="shared" si="38"/>
        <v>x</v>
      </c>
      <c r="P198" s="38">
        <f t="shared" si="39"/>
        <v>0</v>
      </c>
      <c r="Q198" s="37" t="str">
        <f>IF(COUNT(ngay24!$S$39)&gt;0,ngay24!$S$39,"")</f>
        <v/>
      </c>
      <c r="R198" s="137" t="str">
        <f t="shared" si="40"/>
        <v>x</v>
      </c>
      <c r="S198" s="49">
        <f t="shared" si="41"/>
        <v>0</v>
      </c>
      <c r="T198" s="34"/>
      <c r="U198" s="37" t="str">
        <f>IF(COUNT(ngay24!$G$12)&gt;0,ngay24!$G$12,"")</f>
        <v/>
      </c>
      <c r="V198" s="34" t="str">
        <f t="shared" si="42"/>
        <v>x</v>
      </c>
      <c r="W198" s="38">
        <f t="shared" si="43"/>
        <v>0</v>
      </c>
      <c r="X198" s="37" t="str">
        <f>IF(COUNT(ngay24!$S$48)&gt;0,ngay24!$S$48,"")</f>
        <v/>
      </c>
      <c r="Y198" s="137" t="str">
        <f t="shared" si="44"/>
        <v>x</v>
      </c>
      <c r="Z198" s="49">
        <f t="shared" si="45"/>
        <v>0</v>
      </c>
      <c r="AA198" s="34"/>
      <c r="AB198" s="37" t="str">
        <f>IF(COUNT(ngay24!$G$21)&gt;0,ngay24!$G$21,"")</f>
        <v/>
      </c>
      <c r="AC198" s="34" t="str">
        <f t="shared" si="46"/>
        <v>x</v>
      </c>
      <c r="AD198" s="38">
        <f t="shared" si="47"/>
        <v>0</v>
      </c>
    </row>
    <row r="199" spans="1:32">
      <c r="A199" s="41"/>
      <c r="B199" s="48">
        <v>13</v>
      </c>
      <c r="C199" s="37" t="str">
        <f>IF(COUNT(ngay24!$T$31)&gt;0,ngay24!$T$31,"")</f>
        <v/>
      </c>
      <c r="D199" s="137" t="str">
        <f t="shared" si="32"/>
        <v>x</v>
      </c>
      <c r="E199" s="49">
        <f t="shared" si="33"/>
        <v>0</v>
      </c>
      <c r="F199" s="34"/>
      <c r="G199" s="37" t="str">
        <f>IF(COUNT(ngay24!$H$4)&gt;0,ngay24!$H$4,"")</f>
        <v/>
      </c>
      <c r="H199" s="34" t="str">
        <f t="shared" si="34"/>
        <v>x</v>
      </c>
      <c r="I199" s="38">
        <f t="shared" si="35"/>
        <v>0</v>
      </c>
      <c r="J199" s="37" t="str">
        <f>IF(COUNT(ngay24!$T$33)&gt;0,ngay24!$T$33,"")</f>
        <v/>
      </c>
      <c r="K199" s="137" t="str">
        <f t="shared" si="36"/>
        <v>x</v>
      </c>
      <c r="L199" s="49">
        <f t="shared" si="37"/>
        <v>0</v>
      </c>
      <c r="M199" s="34"/>
      <c r="N199" s="37" t="str">
        <f>IF(COUNT(ngay24!$H$6)&gt;0,ngay24!$H$6,"")</f>
        <v/>
      </c>
      <c r="O199" s="34" t="str">
        <f t="shared" si="38"/>
        <v>x</v>
      </c>
      <c r="P199" s="38">
        <f t="shared" si="39"/>
        <v>0</v>
      </c>
      <c r="Q199" s="37" t="str">
        <f>IF(COUNT(ngay24!$T$39)&gt;0,ngay24!$T$39,"")</f>
        <v/>
      </c>
      <c r="R199" s="137" t="str">
        <f t="shared" si="40"/>
        <v>x</v>
      </c>
      <c r="S199" s="49">
        <f t="shared" si="41"/>
        <v>0</v>
      </c>
      <c r="T199" s="34"/>
      <c r="U199" s="37" t="str">
        <f>IF(COUNT(ngay24!$H$12)&gt;0,ngay24!$H$12,"")</f>
        <v/>
      </c>
      <c r="V199" s="34" t="str">
        <f t="shared" si="42"/>
        <v>x</v>
      </c>
      <c r="W199" s="38">
        <f t="shared" si="43"/>
        <v>0</v>
      </c>
      <c r="X199" s="37" t="str">
        <f>IF(COUNT(ngay24!$T$48)&gt;0,ngay24!$T$48,"")</f>
        <v/>
      </c>
      <c r="Y199" s="137" t="str">
        <f t="shared" si="44"/>
        <v>x</v>
      </c>
      <c r="Z199" s="49">
        <f t="shared" si="45"/>
        <v>0</v>
      </c>
      <c r="AA199" s="34"/>
      <c r="AB199" s="37" t="str">
        <f>IF(COUNT(ngay24!$H$21)&gt;0,ngay24!$H$21,"")</f>
        <v/>
      </c>
      <c r="AC199" s="34" t="str">
        <f t="shared" si="46"/>
        <v>x</v>
      </c>
      <c r="AD199" s="38">
        <f t="shared" si="47"/>
        <v>0</v>
      </c>
    </row>
    <row r="200" spans="1:32">
      <c r="A200" s="41"/>
      <c r="B200" s="48">
        <v>16</v>
      </c>
      <c r="C200" s="37" t="str">
        <f>IF(COUNT(ngay24!$U$31)&gt;0,ngay24!$U$31,"")</f>
        <v/>
      </c>
      <c r="D200" s="137" t="str">
        <f t="shared" si="32"/>
        <v>x</v>
      </c>
      <c r="E200" s="49">
        <f t="shared" si="33"/>
        <v>0</v>
      </c>
      <c r="F200" s="34"/>
      <c r="G200" s="37" t="str">
        <f>IF(COUNT(ngay24!$I$4)&gt;0,ngay24!$I$4,"")</f>
        <v/>
      </c>
      <c r="H200" s="34" t="str">
        <f t="shared" si="34"/>
        <v>x</v>
      </c>
      <c r="I200" s="38">
        <f t="shared" si="35"/>
        <v>0</v>
      </c>
      <c r="J200" s="37" t="str">
        <f>IF(COUNT(ngay24!$U$33)&gt;0,ngay24!$U$33,"")</f>
        <v/>
      </c>
      <c r="K200" s="137" t="str">
        <f t="shared" si="36"/>
        <v>x</v>
      </c>
      <c r="L200" s="49">
        <f t="shared" si="37"/>
        <v>0</v>
      </c>
      <c r="M200" s="34"/>
      <c r="N200" s="37" t="str">
        <f>IF(COUNT(ngay24!$I$6)&gt;0,ngay24!$I$6,"")</f>
        <v/>
      </c>
      <c r="O200" s="34" t="str">
        <f t="shared" si="38"/>
        <v>x</v>
      </c>
      <c r="P200" s="38">
        <f t="shared" si="39"/>
        <v>0</v>
      </c>
      <c r="Q200" s="37" t="str">
        <f>IF(COUNT(ngay24!$U$39)&gt;0,ngay24!$U$39,"")</f>
        <v/>
      </c>
      <c r="R200" s="137" t="str">
        <f t="shared" si="40"/>
        <v>x</v>
      </c>
      <c r="S200" s="49">
        <f t="shared" si="41"/>
        <v>0</v>
      </c>
      <c r="T200" s="34"/>
      <c r="U200" s="37" t="str">
        <f>IF(COUNT(ngay24!$I$12)&gt;0,ngay24!$I$12,"")</f>
        <v/>
      </c>
      <c r="V200" s="34" t="str">
        <f t="shared" si="42"/>
        <v>x</v>
      </c>
      <c r="W200" s="38">
        <f t="shared" si="43"/>
        <v>0</v>
      </c>
      <c r="X200" s="37" t="str">
        <f>IF(COUNT(ngay24!$U$48)&gt;0,ngay24!$U$48,"")</f>
        <v/>
      </c>
      <c r="Y200" s="137" t="str">
        <f t="shared" si="44"/>
        <v>x</v>
      </c>
      <c r="Z200" s="49">
        <f t="shared" si="45"/>
        <v>0</v>
      </c>
      <c r="AA200" s="34"/>
      <c r="AB200" s="37" t="str">
        <f>IF(COUNT(ngay24!$I$21)&gt;0,ngay24!$I$21,"")</f>
        <v/>
      </c>
      <c r="AC200" s="34" t="str">
        <f t="shared" si="46"/>
        <v>x</v>
      </c>
      <c r="AD200" s="38">
        <f t="shared" si="47"/>
        <v>0</v>
      </c>
    </row>
    <row r="201" spans="1:32">
      <c r="A201" s="41"/>
      <c r="B201" s="48">
        <v>19</v>
      </c>
      <c r="C201" s="37" t="str">
        <f>IF(COUNT(ngay24!$V$31)&gt;0,ngay24!$V$31,"")</f>
        <v/>
      </c>
      <c r="D201" s="137" t="str">
        <f t="shared" si="32"/>
        <v>x</v>
      </c>
      <c r="E201" s="49">
        <f t="shared" si="33"/>
        <v>0</v>
      </c>
      <c r="F201" s="34"/>
      <c r="G201" s="37" t="str">
        <f>IF(COUNT(ngay24!$J$4)&gt;0,ngay24!$J$4,"")</f>
        <v/>
      </c>
      <c r="H201" s="34" t="str">
        <f t="shared" si="34"/>
        <v>x</v>
      </c>
      <c r="I201" s="38">
        <f t="shared" si="35"/>
        <v>0</v>
      </c>
      <c r="J201" s="37" t="str">
        <f>IF(COUNT(ngay24!$V$33)&gt;0,ngay24!$V$33,"")</f>
        <v/>
      </c>
      <c r="K201" s="137" t="str">
        <f t="shared" si="36"/>
        <v>x</v>
      </c>
      <c r="L201" s="49">
        <f t="shared" si="37"/>
        <v>0</v>
      </c>
      <c r="M201" s="34"/>
      <c r="N201" s="37" t="str">
        <f>IF(COUNT(ngay24!$J$6)&gt;0,ngay24!$J$6,"")</f>
        <v/>
      </c>
      <c r="O201" s="34" t="str">
        <f t="shared" si="38"/>
        <v>x</v>
      </c>
      <c r="P201" s="38">
        <f t="shared" si="39"/>
        <v>0</v>
      </c>
      <c r="Q201" s="37" t="str">
        <f>IF(COUNT(ngay24!$V$39)&gt;0,ngay24!$V$39,"")</f>
        <v/>
      </c>
      <c r="R201" s="137" t="str">
        <f t="shared" si="40"/>
        <v>x</v>
      </c>
      <c r="S201" s="49">
        <f t="shared" si="41"/>
        <v>0</v>
      </c>
      <c r="T201" s="34"/>
      <c r="U201" s="37" t="str">
        <f>IF(COUNT(ngay24!$J$12)&gt;0,ngay24!$J$12,"")</f>
        <v/>
      </c>
      <c r="V201" s="34" t="str">
        <f t="shared" si="42"/>
        <v>x</v>
      </c>
      <c r="W201" s="38">
        <f t="shared" si="43"/>
        <v>0</v>
      </c>
      <c r="X201" s="37" t="str">
        <f>IF(COUNT(ngay24!$V$48)&gt;0,ngay24!$V$48,"")</f>
        <v/>
      </c>
      <c r="Y201" s="137" t="str">
        <f t="shared" si="44"/>
        <v>x</v>
      </c>
      <c r="Z201" s="49">
        <f t="shared" si="45"/>
        <v>0</v>
      </c>
      <c r="AA201" s="34"/>
      <c r="AB201" s="37" t="str">
        <f>IF(COUNT(ngay24!$J$21)&gt;0,ngay24!$J$21,"")</f>
        <v/>
      </c>
      <c r="AC201" s="34" t="str">
        <f t="shared" si="46"/>
        <v>x</v>
      </c>
      <c r="AD201" s="38">
        <f t="shared" si="47"/>
        <v>0</v>
      </c>
    </row>
    <row r="202" spans="1:32">
      <c r="A202" s="41"/>
      <c r="B202" s="48">
        <v>22</v>
      </c>
      <c r="C202" s="37" t="str">
        <f>IF(COUNT(ngay25!$O$31)&gt;0,ngay25!$O$31,"")</f>
        <v/>
      </c>
      <c r="D202" s="137" t="str">
        <f t="shared" si="32"/>
        <v>x</v>
      </c>
      <c r="E202" s="49">
        <f t="shared" si="33"/>
        <v>0</v>
      </c>
      <c r="F202" s="34"/>
      <c r="G202" s="37" t="str">
        <f>IF(COUNT(ngay25!$C$4)&gt;0,ngay25!$C$4,"")</f>
        <v/>
      </c>
      <c r="H202" s="34" t="str">
        <f t="shared" si="34"/>
        <v>x</v>
      </c>
      <c r="I202" s="38">
        <f t="shared" si="35"/>
        <v>0</v>
      </c>
      <c r="J202" s="37" t="str">
        <f>IF(COUNT(ngay25!$O$33)&gt;0,ngay25!$O$33,"")</f>
        <v/>
      </c>
      <c r="K202" s="137" t="str">
        <f t="shared" si="36"/>
        <v>x</v>
      </c>
      <c r="L202" s="49">
        <f t="shared" si="37"/>
        <v>0</v>
      </c>
      <c r="M202" s="34"/>
      <c r="N202" s="37" t="str">
        <f>IF(COUNT(ngay25!$C$6)&gt;0,ngay25!$C$6,"")</f>
        <v/>
      </c>
      <c r="O202" s="34" t="str">
        <f t="shared" si="38"/>
        <v>x</v>
      </c>
      <c r="P202" s="38">
        <f t="shared" si="39"/>
        <v>0</v>
      </c>
      <c r="Q202" s="37" t="str">
        <f>IF(COUNT(ngay25!$O$39)&gt;0,ngay25!$O$39,"")</f>
        <v/>
      </c>
      <c r="R202" s="137" t="str">
        <f t="shared" si="40"/>
        <v>x</v>
      </c>
      <c r="S202" s="49">
        <f t="shared" si="41"/>
        <v>0</v>
      </c>
      <c r="T202" s="34"/>
      <c r="U202" s="37" t="str">
        <f>IF(COUNT(ngay25!$C$12)&gt;0,ngay25!$C$12,"")</f>
        <v/>
      </c>
      <c r="V202" s="34" t="str">
        <f t="shared" si="42"/>
        <v>x</v>
      </c>
      <c r="W202" s="38">
        <f t="shared" si="43"/>
        <v>0</v>
      </c>
      <c r="X202" s="37" t="str">
        <f>IF(COUNT(ngay25!$O$48)&gt;0,ngay25!$O$48,"")</f>
        <v/>
      </c>
      <c r="Y202" s="137" t="str">
        <f t="shared" si="44"/>
        <v>x</v>
      </c>
      <c r="Z202" s="49">
        <f t="shared" si="45"/>
        <v>0</v>
      </c>
      <c r="AA202" s="34"/>
      <c r="AB202" s="37" t="str">
        <f>IF(COUNT(ngay25!$C$21)&gt;0,ngay25!$C$21,"")</f>
        <v/>
      </c>
      <c r="AC202" s="34" t="str">
        <f t="shared" si="46"/>
        <v>x</v>
      </c>
      <c r="AD202" s="38">
        <f t="shared" si="47"/>
        <v>0</v>
      </c>
    </row>
    <row r="203" spans="1:32" s="145" customFormat="1">
      <c r="A203" s="146">
        <v>25</v>
      </c>
      <c r="B203" s="48">
        <v>1</v>
      </c>
      <c r="C203" s="141" t="str">
        <f>IF(COUNT(ngay25!$P$31)&gt;0,ngay25!$P$31,"")</f>
        <v/>
      </c>
      <c r="D203" s="144" t="str">
        <f t="shared" ref="D203:D258" si="48">IF(COUNT(C195,C203)=2,C203-C195,"x")</f>
        <v>x</v>
      </c>
      <c r="E203" s="142">
        <f t="shared" ref="E203:E258" si="49">IF(COUNT(D203,E202)=2,D203+E202,E202)</f>
        <v>0</v>
      </c>
      <c r="F203" s="140"/>
      <c r="G203" s="141" t="str">
        <f>IF(COUNT(ngay25!$D$4)&gt;0,ngay25!$D$4,"")</f>
        <v/>
      </c>
      <c r="H203" s="140" t="str">
        <f t="shared" ref="H203:H258" si="50">IF(COUNT(G195,G203)=2,G203-G195,"x")</f>
        <v>x</v>
      </c>
      <c r="I203" s="143">
        <f t="shared" ref="I203:I258" si="51">IF(COUNT(H203,I202)=2,H203+I202,I202)</f>
        <v>0</v>
      </c>
      <c r="J203" s="141" t="str">
        <f>IF(COUNT(ngay25!$P$33)&gt;0,ngay25!$P$33,"")</f>
        <v/>
      </c>
      <c r="K203" s="144" t="str">
        <f t="shared" ref="K203:K258" si="52">IF(COUNT(J195,J203)=2,J203-J195,"x")</f>
        <v>x</v>
      </c>
      <c r="L203" s="142">
        <f t="shared" ref="L203:L258" si="53">IF(COUNT(K203,L202)=2,K203+L202,L202)</f>
        <v>0</v>
      </c>
      <c r="M203" s="140"/>
      <c r="N203" s="141" t="str">
        <f>IF(COUNT(ngay25!$D$6)&gt;0,ngay25!$D$6,"")</f>
        <v/>
      </c>
      <c r="O203" s="140" t="str">
        <f t="shared" ref="O203:O258" si="54">IF(COUNT(N195,N203)=2,N203-N195,"x")</f>
        <v>x</v>
      </c>
      <c r="P203" s="143">
        <f t="shared" ref="P203:P258" si="55">IF(COUNT(O203,P202)=2,O203+P202,P202)</f>
        <v>0</v>
      </c>
      <c r="Q203" s="141" t="str">
        <f>IF(COUNT(ngay25!$P$39)&gt;0,ngay25!$P$39,"")</f>
        <v/>
      </c>
      <c r="R203" s="144" t="str">
        <f t="shared" ref="R203:R258" si="56">IF(COUNT(Q195,Q203)=2,Q203-Q195,"x")</f>
        <v>x</v>
      </c>
      <c r="S203" s="142">
        <f t="shared" ref="S203:S258" si="57">IF(COUNT(R203,S202)=2,R203+S202,S202)</f>
        <v>0</v>
      </c>
      <c r="T203" s="140"/>
      <c r="U203" s="141" t="str">
        <f>IF(COUNT(ngay25!$D$12)&gt;0,ngay25!$D$12,"")</f>
        <v/>
      </c>
      <c r="V203" s="140" t="str">
        <f t="shared" ref="V203:V258" si="58">IF(COUNT(U195,U203)=2,U203-U195,"x")</f>
        <v>x</v>
      </c>
      <c r="W203" s="143">
        <f t="shared" ref="W203:W258" si="59">IF(COUNT(V203,W202)=2,V203+W202,W202)</f>
        <v>0</v>
      </c>
      <c r="X203" s="141" t="str">
        <f>IF(COUNT(ngay25!$P$48)&gt;0,ngay25!$P$48,"")</f>
        <v/>
      </c>
      <c r="Y203" s="144" t="str">
        <f t="shared" ref="Y203:Y258" si="60">IF(COUNT(X195,X203)=2,X203-X195,"x")</f>
        <v>x</v>
      </c>
      <c r="Z203" s="142">
        <f t="shared" ref="Z203:Z258" si="61">IF(COUNT(Y203,Z202)=2,Y203+Z202,Z202)</f>
        <v>0</v>
      </c>
      <c r="AA203" s="140"/>
      <c r="AB203" s="141" t="str">
        <f>IF(COUNT(ngay25!$D$21)&gt;0,ngay25!$D$21,"")</f>
        <v/>
      </c>
      <c r="AC203" s="140" t="str">
        <f t="shared" ref="AC203:AC258" si="62">IF(COUNT(AB195,AB203)=2,AB203-AB195,"x")</f>
        <v>x</v>
      </c>
      <c r="AD203" s="143">
        <f t="shared" ref="AD203:AD258" si="63">IF(COUNT(AC203,AD202)=2,AC203+AD202,AD202)</f>
        <v>0</v>
      </c>
      <c r="AE203" s="147"/>
      <c r="AF203" s="147"/>
    </row>
    <row r="204" spans="1:32">
      <c r="A204" s="41"/>
      <c r="B204" s="48">
        <v>4</v>
      </c>
      <c r="C204" s="37" t="str">
        <f>IF(COUNT(ngay25!$Q$31)&gt;0,ngay25!$Q$31,"")</f>
        <v/>
      </c>
      <c r="D204" s="137" t="str">
        <f t="shared" si="48"/>
        <v>x</v>
      </c>
      <c r="E204" s="49">
        <f t="shared" si="49"/>
        <v>0</v>
      </c>
      <c r="F204" s="34"/>
      <c r="G204" s="37" t="str">
        <f>IF(COUNT(ngay25!$E$4)&gt;0,ngay25!$E$4,"")</f>
        <v/>
      </c>
      <c r="H204" s="34" t="str">
        <f t="shared" si="50"/>
        <v>x</v>
      </c>
      <c r="I204" s="38">
        <f t="shared" si="51"/>
        <v>0</v>
      </c>
      <c r="J204" s="37" t="str">
        <f>IF(COUNT(ngay25!$Q$33)&gt;0,ngay25!$Q$33,"")</f>
        <v/>
      </c>
      <c r="K204" s="137" t="str">
        <f t="shared" si="52"/>
        <v>x</v>
      </c>
      <c r="L204" s="49">
        <f t="shared" si="53"/>
        <v>0</v>
      </c>
      <c r="M204" s="34"/>
      <c r="N204" s="37" t="str">
        <f>IF(COUNT(ngay25!$E$6)&gt;0,ngay25!$E$6,"")</f>
        <v/>
      </c>
      <c r="O204" s="34" t="str">
        <f t="shared" si="54"/>
        <v>x</v>
      </c>
      <c r="P204" s="38">
        <f t="shared" si="55"/>
        <v>0</v>
      </c>
      <c r="Q204" s="37" t="str">
        <f>IF(COUNT(ngay25!$Q$39)&gt;0,ngay25!$Q$39,"")</f>
        <v/>
      </c>
      <c r="R204" s="137" t="str">
        <f t="shared" si="56"/>
        <v>x</v>
      </c>
      <c r="S204" s="49">
        <f t="shared" si="57"/>
        <v>0</v>
      </c>
      <c r="T204" s="34"/>
      <c r="U204" s="37" t="str">
        <f>IF(COUNT(ngay25!$E$12)&gt;0,ngay25!$E$12,"")</f>
        <v/>
      </c>
      <c r="V204" s="34" t="str">
        <f t="shared" si="58"/>
        <v>x</v>
      </c>
      <c r="W204" s="38">
        <f t="shared" si="59"/>
        <v>0</v>
      </c>
      <c r="X204" s="37" t="str">
        <f>IF(COUNT(ngay25!$Q$48)&gt;0,ngay25!$Q$48,"")</f>
        <v/>
      </c>
      <c r="Y204" s="137" t="str">
        <f t="shared" si="60"/>
        <v>x</v>
      </c>
      <c r="Z204" s="49">
        <f t="shared" si="61"/>
        <v>0</v>
      </c>
      <c r="AA204" s="34"/>
      <c r="AB204" s="37" t="str">
        <f>IF(COUNT(ngay25!$E$21)&gt;0,ngay25!$E$21,"")</f>
        <v/>
      </c>
      <c r="AC204" s="34" t="str">
        <f t="shared" si="62"/>
        <v>x</v>
      </c>
      <c r="AD204" s="38">
        <f t="shared" si="63"/>
        <v>0</v>
      </c>
    </row>
    <row r="205" spans="1:32">
      <c r="A205" s="41"/>
      <c r="B205" s="139">
        <v>7</v>
      </c>
      <c r="C205" s="37" t="str">
        <f>IF(COUNT(ngay25!$R$31)&gt;0,ngay25!$R$31,"")</f>
        <v/>
      </c>
      <c r="D205" s="137" t="str">
        <f t="shared" si="48"/>
        <v>x</v>
      </c>
      <c r="E205" s="49">
        <f t="shared" si="49"/>
        <v>0</v>
      </c>
      <c r="F205" s="34"/>
      <c r="G205" s="37" t="str">
        <f>IF(COUNT(ngay25!$F$4)&gt;0,ngay25!$F$4,"")</f>
        <v/>
      </c>
      <c r="H205" s="34" t="str">
        <f t="shared" si="50"/>
        <v>x</v>
      </c>
      <c r="I205" s="38">
        <f t="shared" si="51"/>
        <v>0</v>
      </c>
      <c r="J205" s="37" t="str">
        <f>IF(COUNT(ngay25!$R$33)&gt;0,ngay25!$R$33,"")</f>
        <v/>
      </c>
      <c r="K205" s="137" t="str">
        <f t="shared" si="52"/>
        <v>x</v>
      </c>
      <c r="L205" s="49">
        <f t="shared" si="53"/>
        <v>0</v>
      </c>
      <c r="M205" s="34"/>
      <c r="N205" s="37" t="str">
        <f>IF(COUNT(ngay25!$F$6)&gt;0,ngay25!$F$6,"")</f>
        <v/>
      </c>
      <c r="O205" s="34" t="str">
        <f t="shared" si="54"/>
        <v>x</v>
      </c>
      <c r="P205" s="38">
        <f t="shared" si="55"/>
        <v>0</v>
      </c>
      <c r="Q205" s="37" t="str">
        <f>IF(COUNT(ngay25!$R$39)&gt;0,ngay25!$R$39,"")</f>
        <v/>
      </c>
      <c r="R205" s="137" t="str">
        <f t="shared" si="56"/>
        <v>x</v>
      </c>
      <c r="S205" s="49">
        <f t="shared" si="57"/>
        <v>0</v>
      </c>
      <c r="T205" s="34"/>
      <c r="U205" s="37" t="str">
        <f>IF(COUNT(ngay25!$F$12)&gt;0,ngay25!$F$12,"")</f>
        <v/>
      </c>
      <c r="V205" s="34" t="str">
        <f t="shared" si="58"/>
        <v>x</v>
      </c>
      <c r="W205" s="38">
        <f t="shared" si="59"/>
        <v>0</v>
      </c>
      <c r="X205" s="37" t="str">
        <f>IF(COUNT(ngay25!$R$48)&gt;0,ngay25!$R$48,"")</f>
        <v/>
      </c>
      <c r="Y205" s="137" t="str">
        <f t="shared" si="60"/>
        <v>x</v>
      </c>
      <c r="Z205" s="49">
        <f t="shared" si="61"/>
        <v>0</v>
      </c>
      <c r="AA205" s="34"/>
      <c r="AB205" s="37" t="str">
        <f>IF(COUNT(ngay25!$F$21)&gt;0,ngay25!$F$21,"")</f>
        <v/>
      </c>
      <c r="AC205" s="34" t="str">
        <f t="shared" si="62"/>
        <v>x</v>
      </c>
      <c r="AD205" s="38">
        <f t="shared" si="63"/>
        <v>0</v>
      </c>
    </row>
    <row r="206" spans="1:32">
      <c r="A206" s="41"/>
      <c r="B206" s="48">
        <v>10</v>
      </c>
      <c r="C206" s="37" t="str">
        <f>IF(COUNT(ngay25!$S$31)&gt;0,ngay25!$S$31,"")</f>
        <v/>
      </c>
      <c r="D206" s="137" t="str">
        <f t="shared" si="48"/>
        <v>x</v>
      </c>
      <c r="E206" s="49">
        <f t="shared" si="49"/>
        <v>0</v>
      </c>
      <c r="F206" s="34"/>
      <c r="G206" s="37" t="str">
        <f>IF(COUNT(ngay25!$G$4)&gt;0,ngay25!$G$4,"")</f>
        <v/>
      </c>
      <c r="H206" s="34" t="str">
        <f t="shared" si="50"/>
        <v>x</v>
      </c>
      <c r="I206" s="38">
        <f t="shared" si="51"/>
        <v>0</v>
      </c>
      <c r="J206" s="37" t="str">
        <f>IF(COUNT(ngay25!$S$33)&gt;0,ngay25!$S$33,"")</f>
        <v/>
      </c>
      <c r="K206" s="137" t="str">
        <f t="shared" si="52"/>
        <v>x</v>
      </c>
      <c r="L206" s="49">
        <f t="shared" si="53"/>
        <v>0</v>
      </c>
      <c r="M206" s="34"/>
      <c r="N206" s="37" t="str">
        <f>IF(COUNT(ngay25!$G$6)&gt;0,ngay25!$G$6,"")</f>
        <v/>
      </c>
      <c r="O206" s="34" t="str">
        <f t="shared" si="54"/>
        <v>x</v>
      </c>
      <c r="P206" s="38">
        <f t="shared" si="55"/>
        <v>0</v>
      </c>
      <c r="Q206" s="37" t="str">
        <f>IF(COUNT(ngay25!$S$39)&gt;0,ngay25!$S$39,"")</f>
        <v/>
      </c>
      <c r="R206" s="137" t="str">
        <f t="shared" si="56"/>
        <v>x</v>
      </c>
      <c r="S206" s="49">
        <f t="shared" si="57"/>
        <v>0</v>
      </c>
      <c r="T206" s="34"/>
      <c r="U206" s="37" t="str">
        <f>IF(COUNT(ngay25!$G$12)&gt;0,ngay25!$G$12,"")</f>
        <v/>
      </c>
      <c r="V206" s="34" t="str">
        <f t="shared" si="58"/>
        <v>x</v>
      </c>
      <c r="W206" s="38">
        <f t="shared" si="59"/>
        <v>0</v>
      </c>
      <c r="X206" s="37" t="str">
        <f>IF(COUNT(ngay25!$S$48)&gt;0,ngay25!$S$48,"")</f>
        <v/>
      </c>
      <c r="Y206" s="137" t="str">
        <f t="shared" si="60"/>
        <v>x</v>
      </c>
      <c r="Z206" s="49">
        <f t="shared" si="61"/>
        <v>0</v>
      </c>
      <c r="AA206" s="34"/>
      <c r="AB206" s="37" t="str">
        <f>IF(COUNT(ngay25!$G$21)&gt;0,ngay25!$G$21,"")</f>
        <v/>
      </c>
      <c r="AC206" s="34" t="str">
        <f t="shared" si="62"/>
        <v>x</v>
      </c>
      <c r="AD206" s="38">
        <f t="shared" si="63"/>
        <v>0</v>
      </c>
    </row>
    <row r="207" spans="1:32">
      <c r="A207" s="41"/>
      <c r="B207" s="48">
        <v>13</v>
      </c>
      <c r="C207" s="37" t="str">
        <f>IF(COUNT(ngay25!$T$31)&gt;0,ngay25!$T$31,"")</f>
        <v/>
      </c>
      <c r="D207" s="137" t="str">
        <f t="shared" si="48"/>
        <v>x</v>
      </c>
      <c r="E207" s="49">
        <f t="shared" si="49"/>
        <v>0</v>
      </c>
      <c r="F207" s="34"/>
      <c r="G207" s="37" t="str">
        <f>IF(COUNT(ngay25!$H$4)&gt;0,ngay25!$H$4,"")</f>
        <v/>
      </c>
      <c r="H207" s="34" t="str">
        <f t="shared" si="50"/>
        <v>x</v>
      </c>
      <c r="I207" s="38">
        <f t="shared" si="51"/>
        <v>0</v>
      </c>
      <c r="J207" s="37" t="str">
        <f>IF(COUNT(ngay25!$T$33)&gt;0,ngay25!$T$33,"")</f>
        <v/>
      </c>
      <c r="K207" s="137" t="str">
        <f t="shared" si="52"/>
        <v>x</v>
      </c>
      <c r="L207" s="49">
        <f t="shared" si="53"/>
        <v>0</v>
      </c>
      <c r="M207" s="34"/>
      <c r="N207" s="37" t="str">
        <f>IF(COUNT(ngay25!$H$6)&gt;0,ngay25!$H$6,"")</f>
        <v/>
      </c>
      <c r="O207" s="34" t="str">
        <f t="shared" si="54"/>
        <v>x</v>
      </c>
      <c r="P207" s="38">
        <f t="shared" si="55"/>
        <v>0</v>
      </c>
      <c r="Q207" s="37" t="str">
        <f>IF(COUNT(ngay25!$T$39)&gt;0,ngay25!$T$39,"")</f>
        <v/>
      </c>
      <c r="R207" s="137" t="str">
        <f t="shared" si="56"/>
        <v>x</v>
      </c>
      <c r="S207" s="49">
        <f t="shared" si="57"/>
        <v>0</v>
      </c>
      <c r="T207" s="34"/>
      <c r="U207" s="37" t="str">
        <f>IF(COUNT(ngay25!$H$12)&gt;0,ngay25!$H$12,"")</f>
        <v/>
      </c>
      <c r="V207" s="34" t="str">
        <f t="shared" si="58"/>
        <v>x</v>
      </c>
      <c r="W207" s="38">
        <f t="shared" si="59"/>
        <v>0</v>
      </c>
      <c r="X207" s="37" t="str">
        <f>IF(COUNT(ngay25!$T$48)&gt;0,ngay25!$T$48,"")</f>
        <v/>
      </c>
      <c r="Y207" s="137" t="str">
        <f t="shared" si="60"/>
        <v>x</v>
      </c>
      <c r="Z207" s="49">
        <f t="shared" si="61"/>
        <v>0</v>
      </c>
      <c r="AA207" s="34"/>
      <c r="AB207" s="37" t="str">
        <f>IF(COUNT(ngay25!$H$21)&gt;0,ngay25!$H$21,"")</f>
        <v/>
      </c>
      <c r="AC207" s="34" t="str">
        <f t="shared" si="62"/>
        <v>x</v>
      </c>
      <c r="AD207" s="38">
        <f t="shared" si="63"/>
        <v>0</v>
      </c>
    </row>
    <row r="208" spans="1:32">
      <c r="A208" s="41"/>
      <c r="B208" s="48">
        <v>16</v>
      </c>
      <c r="C208" s="37" t="str">
        <f>IF(COUNT(ngay25!$U$31)&gt;0,ngay25!$U$31,"")</f>
        <v/>
      </c>
      <c r="D208" s="137" t="str">
        <f t="shared" si="48"/>
        <v>x</v>
      </c>
      <c r="E208" s="49">
        <f t="shared" si="49"/>
        <v>0</v>
      </c>
      <c r="F208" s="34"/>
      <c r="G208" s="37" t="str">
        <f>IF(COUNT(ngay25!$I$4)&gt;0,ngay25!$I$4,"")</f>
        <v/>
      </c>
      <c r="H208" s="34" t="str">
        <f t="shared" si="50"/>
        <v>x</v>
      </c>
      <c r="I208" s="38">
        <f t="shared" si="51"/>
        <v>0</v>
      </c>
      <c r="J208" s="37" t="str">
        <f>IF(COUNT(ngay25!$U$33)&gt;0,ngay25!$U$33,"")</f>
        <v/>
      </c>
      <c r="K208" s="137" t="str">
        <f t="shared" si="52"/>
        <v>x</v>
      </c>
      <c r="L208" s="49">
        <f t="shared" si="53"/>
        <v>0</v>
      </c>
      <c r="M208" s="34"/>
      <c r="N208" s="37" t="str">
        <f>IF(COUNT(ngay25!$I$6)&gt;0,ngay25!$I$6,"")</f>
        <v/>
      </c>
      <c r="O208" s="34" t="str">
        <f t="shared" si="54"/>
        <v>x</v>
      </c>
      <c r="P208" s="38">
        <f t="shared" si="55"/>
        <v>0</v>
      </c>
      <c r="Q208" s="37" t="str">
        <f>IF(COUNT(ngay25!$U$39)&gt;0,ngay25!$U$39,"")</f>
        <v/>
      </c>
      <c r="R208" s="137" t="str">
        <f t="shared" si="56"/>
        <v>x</v>
      </c>
      <c r="S208" s="49">
        <f t="shared" si="57"/>
        <v>0</v>
      </c>
      <c r="T208" s="34"/>
      <c r="U208" s="37" t="str">
        <f>IF(COUNT(ngay25!$I$12)&gt;0,ngay25!$I$12,"")</f>
        <v/>
      </c>
      <c r="V208" s="34" t="str">
        <f t="shared" si="58"/>
        <v>x</v>
      </c>
      <c r="W208" s="38">
        <f t="shared" si="59"/>
        <v>0</v>
      </c>
      <c r="X208" s="37" t="str">
        <f>IF(COUNT(ngay25!$U$48)&gt;0,ngay25!$U$48,"")</f>
        <v/>
      </c>
      <c r="Y208" s="137" t="str">
        <f t="shared" si="60"/>
        <v>x</v>
      </c>
      <c r="Z208" s="49">
        <f t="shared" si="61"/>
        <v>0</v>
      </c>
      <c r="AA208" s="34"/>
      <c r="AB208" s="37" t="str">
        <f>IF(COUNT(ngay25!$I$21)&gt;0,ngay25!$I$21,"")</f>
        <v/>
      </c>
      <c r="AC208" s="34" t="str">
        <f t="shared" si="62"/>
        <v>x</v>
      </c>
      <c r="AD208" s="38">
        <f t="shared" si="63"/>
        <v>0</v>
      </c>
    </row>
    <row r="209" spans="1:32">
      <c r="A209" s="41"/>
      <c r="B209" s="48">
        <v>19</v>
      </c>
      <c r="C209" s="37" t="str">
        <f>IF(COUNT(ngay25!$V$31)&gt;0,ngay25!$V$31,"")</f>
        <v/>
      </c>
      <c r="D209" s="137" t="str">
        <f t="shared" si="48"/>
        <v>x</v>
      </c>
      <c r="E209" s="49">
        <f t="shared" si="49"/>
        <v>0</v>
      </c>
      <c r="F209" s="34"/>
      <c r="G209" s="37" t="str">
        <f>IF(COUNT(ngay25!$J$4)&gt;0,ngay25!$J$4,"")</f>
        <v/>
      </c>
      <c r="H209" s="34" t="str">
        <f t="shared" si="50"/>
        <v>x</v>
      </c>
      <c r="I209" s="38">
        <f t="shared" si="51"/>
        <v>0</v>
      </c>
      <c r="J209" s="37" t="str">
        <f>IF(COUNT(ngay25!$V$33)&gt;0,ngay25!$V$33,"")</f>
        <v/>
      </c>
      <c r="K209" s="137" t="str">
        <f t="shared" si="52"/>
        <v>x</v>
      </c>
      <c r="L209" s="49">
        <f t="shared" si="53"/>
        <v>0</v>
      </c>
      <c r="M209" s="34"/>
      <c r="N209" s="37" t="str">
        <f>IF(COUNT(ngay25!$J$6)&gt;0,ngay25!$J$6,"")</f>
        <v/>
      </c>
      <c r="O209" s="34" t="str">
        <f t="shared" si="54"/>
        <v>x</v>
      </c>
      <c r="P209" s="38">
        <f t="shared" si="55"/>
        <v>0</v>
      </c>
      <c r="Q209" s="37" t="str">
        <f>IF(COUNT(ngay25!$V$39)&gt;0,ngay25!$V$39,"")</f>
        <v/>
      </c>
      <c r="R209" s="137" t="str">
        <f t="shared" si="56"/>
        <v>x</v>
      </c>
      <c r="S209" s="49">
        <f t="shared" si="57"/>
        <v>0</v>
      </c>
      <c r="T209" s="34"/>
      <c r="U209" s="37" t="str">
        <f>IF(COUNT(ngay25!$J$12)&gt;0,ngay25!$J$12,"")</f>
        <v/>
      </c>
      <c r="V209" s="34" t="str">
        <f t="shared" si="58"/>
        <v>x</v>
      </c>
      <c r="W209" s="38">
        <f t="shared" si="59"/>
        <v>0</v>
      </c>
      <c r="X209" s="37" t="str">
        <f>IF(COUNT(ngay25!$V$48)&gt;0,ngay25!$V$48,"")</f>
        <v/>
      </c>
      <c r="Y209" s="137" t="str">
        <f t="shared" si="60"/>
        <v>x</v>
      </c>
      <c r="Z209" s="49">
        <f t="shared" si="61"/>
        <v>0</v>
      </c>
      <c r="AA209" s="34"/>
      <c r="AB209" s="37" t="str">
        <f>IF(COUNT(ngay25!$J$21)&gt;0,ngay25!$J$21,"")</f>
        <v/>
      </c>
      <c r="AC209" s="34" t="str">
        <f t="shared" si="62"/>
        <v>x</v>
      </c>
      <c r="AD209" s="38">
        <f t="shared" si="63"/>
        <v>0</v>
      </c>
    </row>
    <row r="210" spans="1:32">
      <c r="A210" s="41"/>
      <c r="B210" s="48">
        <v>22</v>
      </c>
      <c r="C210" s="37" t="str">
        <f>IF(COUNT(ngay26!$O$31)&gt;0,ngay26!$O$31,"")</f>
        <v/>
      </c>
      <c r="D210" s="137" t="str">
        <f t="shared" si="48"/>
        <v>x</v>
      </c>
      <c r="E210" s="49">
        <f t="shared" si="49"/>
        <v>0</v>
      </c>
      <c r="F210" s="34"/>
      <c r="G210" s="37" t="str">
        <f>IF(COUNT(ngay26!$C$4)&gt;0,ngay26!$C$4,"")</f>
        <v/>
      </c>
      <c r="H210" s="34" t="str">
        <f t="shared" si="50"/>
        <v>x</v>
      </c>
      <c r="I210" s="38">
        <f t="shared" si="51"/>
        <v>0</v>
      </c>
      <c r="J210" s="37" t="str">
        <f>IF(COUNT(ngay26!$O$33)&gt;0,ngay26!$O$33,"")</f>
        <v/>
      </c>
      <c r="K210" s="137" t="str">
        <f t="shared" si="52"/>
        <v>x</v>
      </c>
      <c r="L210" s="49">
        <f t="shared" si="53"/>
        <v>0</v>
      </c>
      <c r="M210" s="34"/>
      <c r="N210" s="37" t="str">
        <f>IF(COUNT(ngay26!$C$6)&gt;0,ngay26!$C$6,"")</f>
        <v/>
      </c>
      <c r="O210" s="34" t="str">
        <f t="shared" si="54"/>
        <v>x</v>
      </c>
      <c r="P210" s="38">
        <f t="shared" si="55"/>
        <v>0</v>
      </c>
      <c r="Q210" s="37" t="str">
        <f>IF(COUNT(ngay26!$O$39)&gt;0,ngay26!$O$39,"")</f>
        <v/>
      </c>
      <c r="R210" s="137" t="str">
        <f t="shared" si="56"/>
        <v>x</v>
      </c>
      <c r="S210" s="49">
        <f t="shared" si="57"/>
        <v>0</v>
      </c>
      <c r="T210" s="34"/>
      <c r="U210" s="37" t="str">
        <f>IF(COUNT(ngay26!$C$12)&gt;0,ngay26!$C$12,"")</f>
        <v/>
      </c>
      <c r="V210" s="34" t="str">
        <f t="shared" si="58"/>
        <v>x</v>
      </c>
      <c r="W210" s="38">
        <f t="shared" si="59"/>
        <v>0</v>
      </c>
      <c r="X210" s="37" t="str">
        <f>IF(COUNT(ngay26!$O$48)&gt;0,ngay26!$O$48,"")</f>
        <v/>
      </c>
      <c r="Y210" s="137" t="str">
        <f t="shared" si="60"/>
        <v>x</v>
      </c>
      <c r="Z210" s="49">
        <f t="shared" si="61"/>
        <v>0</v>
      </c>
      <c r="AA210" s="34"/>
      <c r="AB210" s="37" t="str">
        <f>IF(COUNT(ngay26!$C$21)&gt;0,ngay26!$C$21,"")</f>
        <v/>
      </c>
      <c r="AC210" s="34" t="str">
        <f t="shared" si="62"/>
        <v>x</v>
      </c>
      <c r="AD210" s="38">
        <f t="shared" si="63"/>
        <v>0</v>
      </c>
    </row>
    <row r="211" spans="1:32" s="145" customFormat="1">
      <c r="A211" s="146">
        <v>26</v>
      </c>
      <c r="B211" s="48">
        <v>1</v>
      </c>
      <c r="C211" s="141" t="str">
        <f>IF(COUNT(ngay26!$P$31)&gt;0,ngay26!$P$31,"")</f>
        <v/>
      </c>
      <c r="D211" s="144" t="str">
        <f t="shared" si="48"/>
        <v>x</v>
      </c>
      <c r="E211" s="142">
        <f t="shared" si="49"/>
        <v>0</v>
      </c>
      <c r="F211" s="140"/>
      <c r="G211" s="141" t="str">
        <f>IF(COUNT(ngay26!$D$4)&gt;0,ngay26!$D$4,"")</f>
        <v/>
      </c>
      <c r="H211" s="140" t="str">
        <f t="shared" si="50"/>
        <v>x</v>
      </c>
      <c r="I211" s="143">
        <f t="shared" si="51"/>
        <v>0</v>
      </c>
      <c r="J211" s="141" t="str">
        <f>IF(COUNT(ngay26!$P$33)&gt;0,ngay26!$P$33,"")</f>
        <v/>
      </c>
      <c r="K211" s="144" t="str">
        <f t="shared" si="52"/>
        <v>x</v>
      </c>
      <c r="L211" s="142">
        <f t="shared" si="53"/>
        <v>0</v>
      </c>
      <c r="M211" s="140"/>
      <c r="N211" s="141" t="str">
        <f>IF(COUNT(ngay26!$D$6)&gt;0,ngay26!$D$6,"")</f>
        <v/>
      </c>
      <c r="O211" s="140" t="str">
        <f t="shared" si="54"/>
        <v>x</v>
      </c>
      <c r="P211" s="143">
        <f t="shared" si="55"/>
        <v>0</v>
      </c>
      <c r="Q211" s="141" t="str">
        <f>IF(COUNT(ngay26!$P$39)&gt;0,ngay26!$P$39,"")</f>
        <v/>
      </c>
      <c r="R211" s="144" t="str">
        <f t="shared" si="56"/>
        <v>x</v>
      </c>
      <c r="S211" s="142">
        <f t="shared" si="57"/>
        <v>0</v>
      </c>
      <c r="T211" s="140"/>
      <c r="U211" s="141" t="str">
        <f>IF(COUNT(ngay26!$D$12)&gt;0,ngay26!$D$12,"")</f>
        <v/>
      </c>
      <c r="V211" s="140" t="str">
        <f t="shared" si="58"/>
        <v>x</v>
      </c>
      <c r="W211" s="143">
        <f t="shared" si="59"/>
        <v>0</v>
      </c>
      <c r="X211" s="141" t="str">
        <f>IF(COUNT(ngay26!$P$48)&gt;0,ngay26!$P$48,"")</f>
        <v/>
      </c>
      <c r="Y211" s="144" t="str">
        <f t="shared" si="60"/>
        <v>x</v>
      </c>
      <c r="Z211" s="142">
        <f t="shared" si="61"/>
        <v>0</v>
      </c>
      <c r="AA211" s="140"/>
      <c r="AB211" s="141" t="str">
        <f>IF(COUNT(ngay26!$D$21)&gt;0,ngay26!$D$21,"")</f>
        <v/>
      </c>
      <c r="AC211" s="140" t="str">
        <f t="shared" si="62"/>
        <v>x</v>
      </c>
      <c r="AD211" s="143">
        <f t="shared" si="63"/>
        <v>0</v>
      </c>
      <c r="AE211" s="147"/>
      <c r="AF211" s="147"/>
    </row>
    <row r="212" spans="1:32">
      <c r="A212" s="41"/>
      <c r="B212" s="48">
        <v>4</v>
      </c>
      <c r="C212" s="37" t="str">
        <f>IF(COUNT(ngay26!$Q$31)&gt;0,ngay26!$Q$31,"")</f>
        <v/>
      </c>
      <c r="D212" s="137" t="str">
        <f t="shared" si="48"/>
        <v>x</v>
      </c>
      <c r="E212" s="49">
        <f t="shared" si="49"/>
        <v>0</v>
      </c>
      <c r="F212" s="34"/>
      <c r="G212" s="37" t="str">
        <f>IF(COUNT(ngay26!$E$4)&gt;0,ngay26!$E$4,"")</f>
        <v/>
      </c>
      <c r="H212" s="34" t="str">
        <f t="shared" si="50"/>
        <v>x</v>
      </c>
      <c r="I212" s="38">
        <f t="shared" si="51"/>
        <v>0</v>
      </c>
      <c r="J212" s="37" t="str">
        <f>IF(COUNT(ngay26!$Q$33)&gt;0,ngay26!$Q$33,"")</f>
        <v/>
      </c>
      <c r="K212" s="137" t="str">
        <f t="shared" si="52"/>
        <v>x</v>
      </c>
      <c r="L212" s="49">
        <f t="shared" si="53"/>
        <v>0</v>
      </c>
      <c r="M212" s="34"/>
      <c r="N212" s="37" t="str">
        <f>IF(COUNT(ngay26!$E$6)&gt;0,ngay26!$E$6,"")</f>
        <v/>
      </c>
      <c r="O212" s="34" t="str">
        <f t="shared" si="54"/>
        <v>x</v>
      </c>
      <c r="P212" s="38">
        <f t="shared" si="55"/>
        <v>0</v>
      </c>
      <c r="Q212" s="37" t="str">
        <f>IF(COUNT(ngay26!$Q$39)&gt;0,ngay26!$Q$39,"")</f>
        <v/>
      </c>
      <c r="R212" s="137" t="str">
        <f t="shared" si="56"/>
        <v>x</v>
      </c>
      <c r="S212" s="49">
        <f t="shared" si="57"/>
        <v>0</v>
      </c>
      <c r="T212" s="34"/>
      <c r="U212" s="37" t="str">
        <f>IF(COUNT(ngay26!$E$12)&gt;0,ngay26!$E$12,"")</f>
        <v/>
      </c>
      <c r="V212" s="34" t="str">
        <f t="shared" si="58"/>
        <v>x</v>
      </c>
      <c r="W212" s="38">
        <f t="shared" si="59"/>
        <v>0</v>
      </c>
      <c r="X212" s="37" t="str">
        <f>IF(COUNT(ngay26!$Q$48)&gt;0,ngay26!$Q$48,"")</f>
        <v/>
      </c>
      <c r="Y212" s="137" t="str">
        <f t="shared" si="60"/>
        <v>x</v>
      </c>
      <c r="Z212" s="49">
        <f t="shared" si="61"/>
        <v>0</v>
      </c>
      <c r="AA212" s="34"/>
      <c r="AB212" s="37" t="str">
        <f>IF(COUNT(ngay26!$E$21)&gt;0,ngay26!$E$21,"")</f>
        <v/>
      </c>
      <c r="AC212" s="34" t="str">
        <f t="shared" si="62"/>
        <v>x</v>
      </c>
      <c r="AD212" s="38">
        <f t="shared" si="63"/>
        <v>0</v>
      </c>
    </row>
    <row r="213" spans="1:32">
      <c r="A213" s="41"/>
      <c r="B213" s="139">
        <v>7</v>
      </c>
      <c r="C213" s="37" t="str">
        <f>IF(COUNT(ngay26!$R$31)&gt;0,ngay26!$R$31,"")</f>
        <v/>
      </c>
      <c r="D213" s="137" t="str">
        <f t="shared" si="48"/>
        <v>x</v>
      </c>
      <c r="E213" s="49">
        <f t="shared" si="49"/>
        <v>0</v>
      </c>
      <c r="F213" s="34"/>
      <c r="G213" s="37" t="str">
        <f>IF(COUNT(ngay26!$F$4)&gt;0,ngay26!$F$4,"")</f>
        <v/>
      </c>
      <c r="H213" s="34" t="str">
        <f t="shared" si="50"/>
        <v>x</v>
      </c>
      <c r="I213" s="38">
        <f t="shared" si="51"/>
        <v>0</v>
      </c>
      <c r="J213" s="37" t="str">
        <f>IF(COUNT(ngay26!$R$33)&gt;0,ngay26!$R$33,"")</f>
        <v/>
      </c>
      <c r="K213" s="137" t="str">
        <f t="shared" si="52"/>
        <v>x</v>
      </c>
      <c r="L213" s="49">
        <f t="shared" si="53"/>
        <v>0</v>
      </c>
      <c r="M213" s="34"/>
      <c r="N213" s="37" t="str">
        <f>IF(COUNT(ngay26!$F$6)&gt;0,ngay26!$F$6,"")</f>
        <v/>
      </c>
      <c r="O213" s="34" t="str">
        <f t="shared" si="54"/>
        <v>x</v>
      </c>
      <c r="P213" s="38">
        <f t="shared" si="55"/>
        <v>0</v>
      </c>
      <c r="Q213" s="37" t="str">
        <f>IF(COUNT(ngay26!$R$39)&gt;0,ngay26!$R$39,"")</f>
        <v/>
      </c>
      <c r="R213" s="137" t="str">
        <f t="shared" si="56"/>
        <v>x</v>
      </c>
      <c r="S213" s="49">
        <f t="shared" si="57"/>
        <v>0</v>
      </c>
      <c r="T213" s="34"/>
      <c r="U213" s="37" t="str">
        <f>IF(COUNT(ngay26!$F$12)&gt;0,ngay26!$F$12,"")</f>
        <v/>
      </c>
      <c r="V213" s="34" t="str">
        <f t="shared" si="58"/>
        <v>x</v>
      </c>
      <c r="W213" s="38">
        <f t="shared" si="59"/>
        <v>0</v>
      </c>
      <c r="X213" s="37" t="str">
        <f>IF(COUNT(ngay26!$R$48)&gt;0,ngay26!$R$48,"")</f>
        <v/>
      </c>
      <c r="Y213" s="137" t="str">
        <f t="shared" si="60"/>
        <v>x</v>
      </c>
      <c r="Z213" s="49">
        <f t="shared" si="61"/>
        <v>0</v>
      </c>
      <c r="AA213" s="34"/>
      <c r="AB213" s="37" t="str">
        <f>IF(COUNT(ngay26!$F$21)&gt;0,ngay26!$F$21,"")</f>
        <v/>
      </c>
      <c r="AC213" s="34" t="str">
        <f t="shared" si="62"/>
        <v>x</v>
      </c>
      <c r="AD213" s="38">
        <f t="shared" si="63"/>
        <v>0</v>
      </c>
    </row>
    <row r="214" spans="1:32">
      <c r="A214" s="41"/>
      <c r="B214" s="48">
        <v>10</v>
      </c>
      <c r="C214" s="37" t="str">
        <f>IF(COUNT(ngay26!$S$31)&gt;0,ngay26!$S$31,"")</f>
        <v/>
      </c>
      <c r="D214" s="137" t="str">
        <f t="shared" si="48"/>
        <v>x</v>
      </c>
      <c r="E214" s="49">
        <f t="shared" si="49"/>
        <v>0</v>
      </c>
      <c r="F214" s="34"/>
      <c r="G214" s="37" t="str">
        <f>IF(COUNT(ngay26!$G$4)&gt;0,ngay26!$G$4,"")</f>
        <v/>
      </c>
      <c r="H214" s="34" t="str">
        <f t="shared" si="50"/>
        <v>x</v>
      </c>
      <c r="I214" s="38">
        <f t="shared" si="51"/>
        <v>0</v>
      </c>
      <c r="J214" s="37" t="str">
        <f>IF(COUNT(ngay26!$S$33)&gt;0,ngay26!$S$33,"")</f>
        <v/>
      </c>
      <c r="K214" s="137" t="str">
        <f t="shared" si="52"/>
        <v>x</v>
      </c>
      <c r="L214" s="49">
        <f t="shared" si="53"/>
        <v>0</v>
      </c>
      <c r="M214" s="34"/>
      <c r="N214" s="37" t="str">
        <f>IF(COUNT(ngay26!$G$6)&gt;0,ngay26!$G$6,"")</f>
        <v/>
      </c>
      <c r="O214" s="34" t="str">
        <f t="shared" si="54"/>
        <v>x</v>
      </c>
      <c r="P214" s="38">
        <f t="shared" si="55"/>
        <v>0</v>
      </c>
      <c r="Q214" s="37" t="str">
        <f>IF(COUNT(ngay26!$S$39)&gt;0,ngay26!$S$39,"")</f>
        <v/>
      </c>
      <c r="R214" s="137" t="str">
        <f t="shared" si="56"/>
        <v>x</v>
      </c>
      <c r="S214" s="49">
        <f t="shared" si="57"/>
        <v>0</v>
      </c>
      <c r="T214" s="34"/>
      <c r="U214" s="37" t="str">
        <f>IF(COUNT(ngay26!$G$12)&gt;0,ngay26!$G$12,"")</f>
        <v/>
      </c>
      <c r="V214" s="34" t="str">
        <f t="shared" si="58"/>
        <v>x</v>
      </c>
      <c r="W214" s="38">
        <f t="shared" si="59"/>
        <v>0</v>
      </c>
      <c r="X214" s="37" t="str">
        <f>IF(COUNT(ngay26!$S$48)&gt;0,ngay26!$S$48,"")</f>
        <v/>
      </c>
      <c r="Y214" s="137" t="str">
        <f t="shared" si="60"/>
        <v>x</v>
      </c>
      <c r="Z214" s="49">
        <f t="shared" si="61"/>
        <v>0</v>
      </c>
      <c r="AA214" s="34"/>
      <c r="AB214" s="37" t="str">
        <f>IF(COUNT(ngay26!$G$21)&gt;0,ngay26!$G$21,"")</f>
        <v/>
      </c>
      <c r="AC214" s="34" t="str">
        <f t="shared" si="62"/>
        <v>x</v>
      </c>
      <c r="AD214" s="38">
        <f t="shared" si="63"/>
        <v>0</v>
      </c>
    </row>
    <row r="215" spans="1:32">
      <c r="A215" s="41"/>
      <c r="B215" s="48">
        <v>13</v>
      </c>
      <c r="C215" s="37" t="str">
        <f>IF(COUNT(ngay26!$T$31)&gt;0,ngay26!$T$31,"")</f>
        <v/>
      </c>
      <c r="D215" s="137" t="str">
        <f t="shared" si="48"/>
        <v>x</v>
      </c>
      <c r="E215" s="49">
        <f t="shared" si="49"/>
        <v>0</v>
      </c>
      <c r="F215" s="34"/>
      <c r="G215" s="37" t="str">
        <f>IF(COUNT(ngay26!$H$4)&gt;0,ngay26!$H$4,"")</f>
        <v/>
      </c>
      <c r="H215" s="34" t="str">
        <f t="shared" si="50"/>
        <v>x</v>
      </c>
      <c r="I215" s="38">
        <f t="shared" si="51"/>
        <v>0</v>
      </c>
      <c r="J215" s="37" t="str">
        <f>IF(COUNT(ngay26!$T$33)&gt;0,ngay26!$T$33,"")</f>
        <v/>
      </c>
      <c r="K215" s="137" t="str">
        <f t="shared" si="52"/>
        <v>x</v>
      </c>
      <c r="L215" s="49">
        <f t="shared" si="53"/>
        <v>0</v>
      </c>
      <c r="M215" s="34"/>
      <c r="N215" s="37" t="str">
        <f>IF(COUNT(ngay26!$H$6)&gt;0,ngay26!$H$6,"")</f>
        <v/>
      </c>
      <c r="O215" s="34" t="str">
        <f t="shared" si="54"/>
        <v>x</v>
      </c>
      <c r="P215" s="38">
        <f t="shared" si="55"/>
        <v>0</v>
      </c>
      <c r="Q215" s="37" t="str">
        <f>IF(COUNT(ngay26!$T$39)&gt;0,ngay26!$T$39,"")</f>
        <v/>
      </c>
      <c r="R215" s="137" t="str">
        <f t="shared" si="56"/>
        <v>x</v>
      </c>
      <c r="S215" s="49">
        <f t="shared" si="57"/>
        <v>0</v>
      </c>
      <c r="T215" s="34"/>
      <c r="U215" s="37" t="str">
        <f>IF(COUNT(ngay26!$H$12)&gt;0,ngay26!$H$12,"")</f>
        <v/>
      </c>
      <c r="V215" s="34" t="str">
        <f t="shared" si="58"/>
        <v>x</v>
      </c>
      <c r="W215" s="38">
        <f t="shared" si="59"/>
        <v>0</v>
      </c>
      <c r="X215" s="37" t="str">
        <f>IF(COUNT(ngay26!$T$48)&gt;0,ngay26!$T$48,"")</f>
        <v/>
      </c>
      <c r="Y215" s="137" t="str">
        <f t="shared" si="60"/>
        <v>x</v>
      </c>
      <c r="Z215" s="49">
        <f t="shared" si="61"/>
        <v>0</v>
      </c>
      <c r="AA215" s="34"/>
      <c r="AB215" s="37" t="str">
        <f>IF(COUNT(ngay26!$H$21)&gt;0,ngay26!$H$21,"")</f>
        <v/>
      </c>
      <c r="AC215" s="34" t="str">
        <f t="shared" si="62"/>
        <v>x</v>
      </c>
      <c r="AD215" s="38">
        <f t="shared" si="63"/>
        <v>0</v>
      </c>
    </row>
    <row r="216" spans="1:32">
      <c r="A216" s="41"/>
      <c r="B216" s="48">
        <v>16</v>
      </c>
      <c r="C216" s="37" t="str">
        <f>IF(COUNT(ngay26!$U$31)&gt;0,ngay26!$U$31,"")</f>
        <v/>
      </c>
      <c r="D216" s="137" t="str">
        <f t="shared" si="48"/>
        <v>x</v>
      </c>
      <c r="E216" s="49">
        <f t="shared" si="49"/>
        <v>0</v>
      </c>
      <c r="F216" s="34"/>
      <c r="G216" s="37" t="str">
        <f>IF(COUNT(ngay26!$I$4)&gt;0,ngay26!$I$4,"")</f>
        <v/>
      </c>
      <c r="H216" s="34" t="str">
        <f t="shared" si="50"/>
        <v>x</v>
      </c>
      <c r="I216" s="38">
        <f t="shared" si="51"/>
        <v>0</v>
      </c>
      <c r="J216" s="37" t="str">
        <f>IF(COUNT(ngay26!$U$33)&gt;0,ngay26!$U$33,"")</f>
        <v/>
      </c>
      <c r="K216" s="137" t="str">
        <f t="shared" si="52"/>
        <v>x</v>
      </c>
      <c r="L216" s="49">
        <f t="shared" si="53"/>
        <v>0</v>
      </c>
      <c r="M216" s="34"/>
      <c r="N216" s="37" t="str">
        <f>IF(COUNT(ngay26!$I$6)&gt;0,ngay26!$I$6,"")</f>
        <v/>
      </c>
      <c r="O216" s="34" t="str">
        <f t="shared" si="54"/>
        <v>x</v>
      </c>
      <c r="P216" s="38">
        <f t="shared" si="55"/>
        <v>0</v>
      </c>
      <c r="Q216" s="37" t="str">
        <f>IF(COUNT(ngay26!$U$39)&gt;0,ngay26!$U$39,"")</f>
        <v/>
      </c>
      <c r="R216" s="137" t="str">
        <f t="shared" si="56"/>
        <v>x</v>
      </c>
      <c r="S216" s="49">
        <f t="shared" si="57"/>
        <v>0</v>
      </c>
      <c r="T216" s="34"/>
      <c r="U216" s="37" t="str">
        <f>IF(COUNT(ngay26!$I$12)&gt;0,ngay26!$I$12,"")</f>
        <v/>
      </c>
      <c r="V216" s="34" t="str">
        <f t="shared" si="58"/>
        <v>x</v>
      </c>
      <c r="W216" s="38">
        <f t="shared" si="59"/>
        <v>0</v>
      </c>
      <c r="X216" s="37" t="str">
        <f>IF(COUNT(ngay26!$U$48)&gt;0,ngay26!$U$48,"")</f>
        <v/>
      </c>
      <c r="Y216" s="137" t="str">
        <f t="shared" si="60"/>
        <v>x</v>
      </c>
      <c r="Z216" s="49">
        <f t="shared" si="61"/>
        <v>0</v>
      </c>
      <c r="AA216" s="34"/>
      <c r="AB216" s="37" t="str">
        <f>IF(COUNT(ngay26!$I$21)&gt;0,ngay26!$I$21,"")</f>
        <v/>
      </c>
      <c r="AC216" s="34" t="str">
        <f t="shared" si="62"/>
        <v>x</v>
      </c>
      <c r="AD216" s="38">
        <f t="shared" si="63"/>
        <v>0</v>
      </c>
    </row>
    <row r="217" spans="1:32">
      <c r="A217" s="41"/>
      <c r="B217" s="48">
        <v>19</v>
      </c>
      <c r="C217" s="37" t="str">
        <f>IF(COUNT(ngay26!$V$31)&gt;0,ngay26!$V$31,"")</f>
        <v/>
      </c>
      <c r="D217" s="137" t="str">
        <f t="shared" si="48"/>
        <v>x</v>
      </c>
      <c r="E217" s="49">
        <f t="shared" si="49"/>
        <v>0</v>
      </c>
      <c r="F217" s="34"/>
      <c r="G217" s="37" t="str">
        <f>IF(COUNT(ngay26!$J$4)&gt;0,ngay26!$J$4,"")</f>
        <v/>
      </c>
      <c r="H217" s="34" t="str">
        <f t="shared" si="50"/>
        <v>x</v>
      </c>
      <c r="I217" s="38">
        <f t="shared" si="51"/>
        <v>0</v>
      </c>
      <c r="J217" s="37" t="str">
        <f>IF(COUNT(ngay26!$V$33)&gt;0,ngay26!$V$33,"")</f>
        <v/>
      </c>
      <c r="K217" s="137" t="str">
        <f t="shared" si="52"/>
        <v>x</v>
      </c>
      <c r="L217" s="49">
        <f t="shared" si="53"/>
        <v>0</v>
      </c>
      <c r="M217" s="34"/>
      <c r="N217" s="37" t="str">
        <f>IF(COUNT(ngay26!$J$6)&gt;0,ngay26!$J$6,"")</f>
        <v/>
      </c>
      <c r="O217" s="34" t="str">
        <f t="shared" si="54"/>
        <v>x</v>
      </c>
      <c r="P217" s="38">
        <f t="shared" si="55"/>
        <v>0</v>
      </c>
      <c r="Q217" s="37" t="str">
        <f>IF(COUNT(ngay26!$V$39)&gt;0,ngay26!$V$39,"")</f>
        <v/>
      </c>
      <c r="R217" s="137" t="str">
        <f t="shared" si="56"/>
        <v>x</v>
      </c>
      <c r="S217" s="49">
        <f t="shared" si="57"/>
        <v>0</v>
      </c>
      <c r="T217" s="34"/>
      <c r="U217" s="37" t="str">
        <f>IF(COUNT(ngay26!$J$12)&gt;0,ngay26!$J$12,"")</f>
        <v/>
      </c>
      <c r="V217" s="34" t="str">
        <f t="shared" si="58"/>
        <v>x</v>
      </c>
      <c r="W217" s="38">
        <f t="shared" si="59"/>
        <v>0</v>
      </c>
      <c r="X217" s="37" t="str">
        <f>IF(COUNT(ngay26!$V$48)&gt;0,ngay26!$V$48,"")</f>
        <v/>
      </c>
      <c r="Y217" s="137" t="str">
        <f t="shared" si="60"/>
        <v>x</v>
      </c>
      <c r="Z217" s="49">
        <f t="shared" si="61"/>
        <v>0</v>
      </c>
      <c r="AA217" s="34"/>
      <c r="AB217" s="37" t="str">
        <f>IF(COUNT(ngay26!$J$21)&gt;0,ngay26!$J$21,"")</f>
        <v/>
      </c>
      <c r="AC217" s="34" t="str">
        <f t="shared" si="62"/>
        <v>x</v>
      </c>
      <c r="AD217" s="38">
        <f t="shared" si="63"/>
        <v>0</v>
      </c>
    </row>
    <row r="218" spans="1:32">
      <c r="A218" s="41"/>
      <c r="B218" s="48">
        <v>22</v>
      </c>
      <c r="C218" s="37" t="str">
        <f>IF(COUNT(ngay27!$O$31)&gt;0,ngay27!$O$31,"")</f>
        <v/>
      </c>
      <c r="D218" s="137" t="str">
        <f t="shared" si="48"/>
        <v>x</v>
      </c>
      <c r="E218" s="49">
        <f t="shared" si="49"/>
        <v>0</v>
      </c>
      <c r="F218" s="34"/>
      <c r="G218" s="37" t="str">
        <f>IF(COUNT(ngay27!$C$4)&gt;0,ngay27!$C$4,"")</f>
        <v/>
      </c>
      <c r="H218" s="34" t="str">
        <f t="shared" si="50"/>
        <v>x</v>
      </c>
      <c r="I218" s="38">
        <f t="shared" si="51"/>
        <v>0</v>
      </c>
      <c r="J218" s="37" t="str">
        <f>IF(COUNT(ngay27!$O$33)&gt;0,ngay27!$O$33,"")</f>
        <v/>
      </c>
      <c r="K218" s="137" t="str">
        <f t="shared" si="52"/>
        <v>x</v>
      </c>
      <c r="L218" s="49">
        <f t="shared" si="53"/>
        <v>0</v>
      </c>
      <c r="M218" s="34"/>
      <c r="N218" s="37" t="str">
        <f>IF(COUNT(ngay27!$C$6)&gt;0,ngay27!$C$6,"")</f>
        <v/>
      </c>
      <c r="O218" s="34" t="str">
        <f t="shared" si="54"/>
        <v>x</v>
      </c>
      <c r="P218" s="38">
        <f t="shared" si="55"/>
        <v>0</v>
      </c>
      <c r="Q218" s="37" t="str">
        <f>IF(COUNT(ngay27!$O$39)&gt;0,ngay27!$O$39,"")</f>
        <v/>
      </c>
      <c r="R218" s="137" t="str">
        <f t="shared" si="56"/>
        <v>x</v>
      </c>
      <c r="S218" s="49">
        <f t="shared" si="57"/>
        <v>0</v>
      </c>
      <c r="T218" s="34"/>
      <c r="U218" s="37" t="str">
        <f>IF(COUNT(ngay27!$C$12)&gt;0,ngay27!$C$12,"")</f>
        <v/>
      </c>
      <c r="V218" s="34" t="str">
        <f t="shared" si="58"/>
        <v>x</v>
      </c>
      <c r="W218" s="38">
        <f t="shared" si="59"/>
        <v>0</v>
      </c>
      <c r="X218" s="37" t="str">
        <f>IF(COUNT(ngay27!$O$48)&gt;0,ngay27!$O$48,"")</f>
        <v/>
      </c>
      <c r="Y218" s="137" t="str">
        <f t="shared" si="60"/>
        <v>x</v>
      </c>
      <c r="Z218" s="49">
        <f t="shared" si="61"/>
        <v>0</v>
      </c>
      <c r="AA218" s="34"/>
      <c r="AB218" s="37" t="str">
        <f>IF(COUNT(ngay27!$C$21)&gt;0,ngay27!$C$21,"")</f>
        <v/>
      </c>
      <c r="AC218" s="34" t="str">
        <f t="shared" si="62"/>
        <v>x</v>
      </c>
      <c r="AD218" s="38">
        <f t="shared" si="63"/>
        <v>0</v>
      </c>
    </row>
    <row r="219" spans="1:32" s="145" customFormat="1">
      <c r="A219" s="146">
        <v>27</v>
      </c>
      <c r="B219" s="48">
        <v>1</v>
      </c>
      <c r="C219" s="141" t="str">
        <f>IF(COUNT(ngay27!$P$31)&gt;0,ngay27!$P$31,"")</f>
        <v/>
      </c>
      <c r="D219" s="144" t="str">
        <f t="shared" si="48"/>
        <v>x</v>
      </c>
      <c r="E219" s="142">
        <f t="shared" si="49"/>
        <v>0</v>
      </c>
      <c r="F219" s="140"/>
      <c r="G219" s="141" t="str">
        <f>IF(COUNT(ngay27!$D$4)&gt;0,ngay27!$D$4,"")</f>
        <v/>
      </c>
      <c r="H219" s="140" t="str">
        <f t="shared" si="50"/>
        <v>x</v>
      </c>
      <c r="I219" s="143">
        <f t="shared" si="51"/>
        <v>0</v>
      </c>
      <c r="J219" s="141" t="str">
        <f>IF(COUNT(ngay27!$P$33)&gt;0,ngay27!$P$33,"")</f>
        <v/>
      </c>
      <c r="K219" s="144" t="str">
        <f t="shared" si="52"/>
        <v>x</v>
      </c>
      <c r="L219" s="142">
        <f t="shared" si="53"/>
        <v>0</v>
      </c>
      <c r="M219" s="140"/>
      <c r="N219" s="141" t="str">
        <f>IF(COUNT(ngay27!$D$6)&gt;0,ngay27!$D$6,"")</f>
        <v/>
      </c>
      <c r="O219" s="140" t="str">
        <f t="shared" si="54"/>
        <v>x</v>
      </c>
      <c r="P219" s="143">
        <f t="shared" si="55"/>
        <v>0</v>
      </c>
      <c r="Q219" s="141" t="str">
        <f>IF(COUNT(ngay27!$P$39)&gt;0,ngay27!$P$39,"")</f>
        <v/>
      </c>
      <c r="R219" s="144" t="str">
        <f t="shared" si="56"/>
        <v>x</v>
      </c>
      <c r="S219" s="142">
        <f t="shared" si="57"/>
        <v>0</v>
      </c>
      <c r="T219" s="140"/>
      <c r="U219" s="141" t="str">
        <f>IF(COUNT(ngay27!$D$12)&gt;0,ngay27!$D$12,"")</f>
        <v/>
      </c>
      <c r="V219" s="140" t="str">
        <f t="shared" si="58"/>
        <v>x</v>
      </c>
      <c r="W219" s="143">
        <f t="shared" si="59"/>
        <v>0</v>
      </c>
      <c r="X219" s="141" t="str">
        <f>IF(COUNT(ngay27!$P$48)&gt;0,ngay27!$P$48,"")</f>
        <v/>
      </c>
      <c r="Y219" s="144" t="str">
        <f t="shared" si="60"/>
        <v>x</v>
      </c>
      <c r="Z219" s="142">
        <f t="shared" si="61"/>
        <v>0</v>
      </c>
      <c r="AA219" s="140"/>
      <c r="AB219" s="141" t="str">
        <f>IF(COUNT(ngay27!$D$21)&gt;0,ngay27!$D$21,"")</f>
        <v/>
      </c>
      <c r="AC219" s="140" t="str">
        <f t="shared" si="62"/>
        <v>x</v>
      </c>
      <c r="AD219" s="143">
        <f t="shared" si="63"/>
        <v>0</v>
      </c>
      <c r="AE219" s="147"/>
      <c r="AF219" s="147"/>
    </row>
    <row r="220" spans="1:32">
      <c r="A220" s="41"/>
      <c r="B220" s="48">
        <v>4</v>
      </c>
      <c r="C220" s="37" t="str">
        <f>IF(COUNT(ngay27!$Q$31)&gt;0,ngay27!$Q$31,"")</f>
        <v/>
      </c>
      <c r="D220" s="137" t="str">
        <f t="shared" si="48"/>
        <v>x</v>
      </c>
      <c r="E220" s="49">
        <f t="shared" si="49"/>
        <v>0</v>
      </c>
      <c r="F220" s="34"/>
      <c r="G220" s="37" t="str">
        <f>IF(COUNT(ngay27!$E$4)&gt;0,ngay27!$E$4,"")</f>
        <v/>
      </c>
      <c r="H220" s="34" t="str">
        <f t="shared" si="50"/>
        <v>x</v>
      </c>
      <c r="I220" s="38">
        <f t="shared" si="51"/>
        <v>0</v>
      </c>
      <c r="J220" s="37" t="str">
        <f>IF(COUNT(ngay27!$Q$33)&gt;0,ngay27!$Q$33,"")</f>
        <v/>
      </c>
      <c r="K220" s="137" t="str">
        <f t="shared" si="52"/>
        <v>x</v>
      </c>
      <c r="L220" s="49">
        <f t="shared" si="53"/>
        <v>0</v>
      </c>
      <c r="M220" s="34"/>
      <c r="N220" s="37" t="str">
        <f>IF(COUNT(ngay27!$E$6)&gt;0,ngay27!$E$6,"")</f>
        <v/>
      </c>
      <c r="O220" s="34" t="str">
        <f t="shared" si="54"/>
        <v>x</v>
      </c>
      <c r="P220" s="38">
        <f t="shared" si="55"/>
        <v>0</v>
      </c>
      <c r="Q220" s="37" t="str">
        <f>IF(COUNT(ngay27!$Q$39)&gt;0,ngay27!$Q$39,"")</f>
        <v/>
      </c>
      <c r="R220" s="137" t="str">
        <f t="shared" si="56"/>
        <v>x</v>
      </c>
      <c r="S220" s="49">
        <f t="shared" si="57"/>
        <v>0</v>
      </c>
      <c r="T220" s="34"/>
      <c r="U220" s="37" t="str">
        <f>IF(COUNT(ngay27!$E$12)&gt;0,ngay27!$E$12,"")</f>
        <v/>
      </c>
      <c r="V220" s="34" t="str">
        <f t="shared" si="58"/>
        <v>x</v>
      </c>
      <c r="W220" s="38">
        <f t="shared" si="59"/>
        <v>0</v>
      </c>
      <c r="X220" s="37" t="str">
        <f>IF(COUNT(ngay27!$Q$48)&gt;0,ngay27!$Q$48,"")</f>
        <v/>
      </c>
      <c r="Y220" s="137" t="str">
        <f t="shared" si="60"/>
        <v>x</v>
      </c>
      <c r="Z220" s="49">
        <f t="shared" si="61"/>
        <v>0</v>
      </c>
      <c r="AA220" s="34"/>
      <c r="AB220" s="37" t="str">
        <f>IF(COUNT(ngay27!$E$21)&gt;0,ngay27!$E$21,"")</f>
        <v/>
      </c>
      <c r="AC220" s="34" t="str">
        <f t="shared" si="62"/>
        <v>x</v>
      </c>
      <c r="AD220" s="38">
        <f t="shared" si="63"/>
        <v>0</v>
      </c>
    </row>
    <row r="221" spans="1:32">
      <c r="A221" s="41"/>
      <c r="B221" s="139">
        <v>7</v>
      </c>
      <c r="C221" s="37" t="str">
        <f>IF(COUNT(ngay27!$R$31)&gt;0,ngay27!$R$31,"")</f>
        <v/>
      </c>
      <c r="D221" s="137" t="str">
        <f t="shared" si="48"/>
        <v>x</v>
      </c>
      <c r="E221" s="49">
        <f t="shared" si="49"/>
        <v>0</v>
      </c>
      <c r="F221" s="34"/>
      <c r="G221" s="37" t="str">
        <f>IF(COUNT(ngay27!$F$4)&gt;0,ngay27!$F$4,"")</f>
        <v/>
      </c>
      <c r="H221" s="34" t="str">
        <f t="shared" si="50"/>
        <v>x</v>
      </c>
      <c r="I221" s="38">
        <f t="shared" si="51"/>
        <v>0</v>
      </c>
      <c r="J221" s="37" t="str">
        <f>IF(COUNT(ngay27!$R$33)&gt;0,ngay27!$R$33,"")</f>
        <v/>
      </c>
      <c r="K221" s="137" t="str">
        <f t="shared" si="52"/>
        <v>x</v>
      </c>
      <c r="L221" s="49">
        <f t="shared" si="53"/>
        <v>0</v>
      </c>
      <c r="M221" s="34"/>
      <c r="N221" s="37" t="str">
        <f>IF(COUNT(ngay27!$F$6)&gt;0,ngay27!$F$6,"")</f>
        <v/>
      </c>
      <c r="O221" s="34" t="str">
        <f t="shared" si="54"/>
        <v>x</v>
      </c>
      <c r="P221" s="38">
        <f t="shared" si="55"/>
        <v>0</v>
      </c>
      <c r="Q221" s="37" t="str">
        <f>IF(COUNT(ngay27!$R$39)&gt;0,ngay27!$R$39,"")</f>
        <v/>
      </c>
      <c r="R221" s="137" t="str">
        <f t="shared" si="56"/>
        <v>x</v>
      </c>
      <c r="S221" s="49">
        <f t="shared" si="57"/>
        <v>0</v>
      </c>
      <c r="T221" s="34"/>
      <c r="U221" s="37" t="str">
        <f>IF(COUNT(ngay27!$F$12)&gt;0,ngay27!$F$12,"")</f>
        <v/>
      </c>
      <c r="V221" s="34" t="str">
        <f t="shared" si="58"/>
        <v>x</v>
      </c>
      <c r="W221" s="38">
        <f t="shared" si="59"/>
        <v>0</v>
      </c>
      <c r="X221" s="37" t="str">
        <f>IF(COUNT(ngay27!$R$48)&gt;0,ngay27!$R$48,"")</f>
        <v/>
      </c>
      <c r="Y221" s="137" t="str">
        <f t="shared" si="60"/>
        <v>x</v>
      </c>
      <c r="Z221" s="49">
        <f t="shared" si="61"/>
        <v>0</v>
      </c>
      <c r="AA221" s="34"/>
      <c r="AB221" s="37" t="str">
        <f>IF(COUNT(ngay27!$F$21)&gt;0,ngay27!$F$21,"")</f>
        <v/>
      </c>
      <c r="AC221" s="34" t="str">
        <f t="shared" si="62"/>
        <v>x</v>
      </c>
      <c r="AD221" s="38">
        <f t="shared" si="63"/>
        <v>0</v>
      </c>
    </row>
    <row r="222" spans="1:32">
      <c r="A222" s="41"/>
      <c r="B222" s="48">
        <v>10</v>
      </c>
      <c r="C222" s="37" t="str">
        <f>IF(COUNT(ngay27!$S$31)&gt;0,ngay27!$S$31,"")</f>
        <v/>
      </c>
      <c r="D222" s="137" t="str">
        <f t="shared" si="48"/>
        <v>x</v>
      </c>
      <c r="E222" s="49">
        <f t="shared" si="49"/>
        <v>0</v>
      </c>
      <c r="F222" s="34"/>
      <c r="G222" s="37" t="str">
        <f>IF(COUNT(ngay27!$G$4)&gt;0,ngay27!$G$4,"")</f>
        <v/>
      </c>
      <c r="H222" s="34" t="str">
        <f t="shared" si="50"/>
        <v>x</v>
      </c>
      <c r="I222" s="38">
        <f t="shared" si="51"/>
        <v>0</v>
      </c>
      <c r="J222" s="37" t="str">
        <f>IF(COUNT(ngay27!$S$33)&gt;0,ngay27!$S$33,"")</f>
        <v/>
      </c>
      <c r="K222" s="137" t="str">
        <f t="shared" si="52"/>
        <v>x</v>
      </c>
      <c r="L222" s="49">
        <f t="shared" si="53"/>
        <v>0</v>
      </c>
      <c r="M222" s="34"/>
      <c r="N222" s="37" t="str">
        <f>IF(COUNT(ngay27!$G$6)&gt;0,ngay27!$G$6,"")</f>
        <v/>
      </c>
      <c r="O222" s="34" t="str">
        <f t="shared" si="54"/>
        <v>x</v>
      </c>
      <c r="P222" s="38">
        <f t="shared" si="55"/>
        <v>0</v>
      </c>
      <c r="Q222" s="37" t="str">
        <f>IF(COUNT(ngay27!$S$39)&gt;0,ngay27!$S$39,"")</f>
        <v/>
      </c>
      <c r="R222" s="137" t="str">
        <f t="shared" si="56"/>
        <v>x</v>
      </c>
      <c r="S222" s="49">
        <f t="shared" si="57"/>
        <v>0</v>
      </c>
      <c r="T222" s="34"/>
      <c r="U222" s="37" t="str">
        <f>IF(COUNT(ngay27!$G$12)&gt;0,ngay27!$G$12,"")</f>
        <v/>
      </c>
      <c r="V222" s="34" t="str">
        <f t="shared" si="58"/>
        <v>x</v>
      </c>
      <c r="W222" s="38">
        <f t="shared" si="59"/>
        <v>0</v>
      </c>
      <c r="X222" s="37" t="str">
        <f>IF(COUNT(ngay27!$S$48)&gt;0,ngay27!$S$48,"")</f>
        <v/>
      </c>
      <c r="Y222" s="137" t="str">
        <f t="shared" si="60"/>
        <v>x</v>
      </c>
      <c r="Z222" s="49">
        <f t="shared" si="61"/>
        <v>0</v>
      </c>
      <c r="AA222" s="34"/>
      <c r="AB222" s="37" t="str">
        <f>IF(COUNT(ngay27!$G$21)&gt;0,ngay27!$G$21,"")</f>
        <v/>
      </c>
      <c r="AC222" s="34" t="str">
        <f t="shared" si="62"/>
        <v>x</v>
      </c>
      <c r="AD222" s="38">
        <f t="shared" si="63"/>
        <v>0</v>
      </c>
    </row>
    <row r="223" spans="1:32">
      <c r="A223" s="41"/>
      <c r="B223" s="48">
        <v>13</v>
      </c>
      <c r="C223" s="37" t="str">
        <f>IF(COUNT(ngay27!$T$31)&gt;0,ngay27!$T$31,"")</f>
        <v/>
      </c>
      <c r="D223" s="137" t="str">
        <f t="shared" si="48"/>
        <v>x</v>
      </c>
      <c r="E223" s="49">
        <f t="shared" si="49"/>
        <v>0</v>
      </c>
      <c r="F223" s="34"/>
      <c r="G223" s="37" t="str">
        <f>IF(COUNT(ngay27!$H$4)&gt;0,ngay27!$H$4,"")</f>
        <v/>
      </c>
      <c r="H223" s="34" t="str">
        <f t="shared" si="50"/>
        <v>x</v>
      </c>
      <c r="I223" s="38">
        <f t="shared" si="51"/>
        <v>0</v>
      </c>
      <c r="J223" s="37" t="str">
        <f>IF(COUNT(ngay27!$T$33)&gt;0,ngay27!$T$33,"")</f>
        <v/>
      </c>
      <c r="K223" s="137" t="str">
        <f t="shared" si="52"/>
        <v>x</v>
      </c>
      <c r="L223" s="49">
        <f t="shared" si="53"/>
        <v>0</v>
      </c>
      <c r="M223" s="34"/>
      <c r="N223" s="37" t="str">
        <f>IF(COUNT(ngay27!$H$6)&gt;0,ngay27!$H$6,"")</f>
        <v/>
      </c>
      <c r="O223" s="34" t="str">
        <f t="shared" si="54"/>
        <v>x</v>
      </c>
      <c r="P223" s="38">
        <f t="shared" si="55"/>
        <v>0</v>
      </c>
      <c r="Q223" s="37" t="str">
        <f>IF(COUNT(ngay27!$T$39)&gt;0,ngay27!$T$39,"")</f>
        <v/>
      </c>
      <c r="R223" s="137" t="str">
        <f t="shared" si="56"/>
        <v>x</v>
      </c>
      <c r="S223" s="49">
        <f t="shared" si="57"/>
        <v>0</v>
      </c>
      <c r="T223" s="34"/>
      <c r="U223" s="37" t="str">
        <f>IF(COUNT(ngay27!$H$12)&gt;0,ngay27!$H$12,"")</f>
        <v/>
      </c>
      <c r="V223" s="34" t="str">
        <f t="shared" si="58"/>
        <v>x</v>
      </c>
      <c r="W223" s="38">
        <f t="shared" si="59"/>
        <v>0</v>
      </c>
      <c r="X223" s="37" t="str">
        <f>IF(COUNT(ngay27!$T$48)&gt;0,ngay27!$T$48,"")</f>
        <v/>
      </c>
      <c r="Y223" s="137" t="str">
        <f t="shared" si="60"/>
        <v>x</v>
      </c>
      <c r="Z223" s="49">
        <f t="shared" si="61"/>
        <v>0</v>
      </c>
      <c r="AA223" s="34"/>
      <c r="AB223" s="37" t="str">
        <f>IF(COUNT(ngay27!$H$21)&gt;0,ngay27!$H$21,"")</f>
        <v/>
      </c>
      <c r="AC223" s="34" t="str">
        <f t="shared" si="62"/>
        <v>x</v>
      </c>
      <c r="AD223" s="38">
        <f t="shared" si="63"/>
        <v>0</v>
      </c>
    </row>
    <row r="224" spans="1:32">
      <c r="A224" s="41"/>
      <c r="B224" s="48">
        <v>16</v>
      </c>
      <c r="C224" s="37" t="str">
        <f>IF(COUNT(ngay27!$U$31)&gt;0,ngay27!$U$31,"")</f>
        <v/>
      </c>
      <c r="D224" s="137" t="str">
        <f t="shared" si="48"/>
        <v>x</v>
      </c>
      <c r="E224" s="49">
        <f t="shared" si="49"/>
        <v>0</v>
      </c>
      <c r="F224" s="34"/>
      <c r="G224" s="37" t="str">
        <f>IF(COUNT(ngay27!$I$4)&gt;0,ngay27!$I$4,"")</f>
        <v/>
      </c>
      <c r="H224" s="34" t="str">
        <f t="shared" si="50"/>
        <v>x</v>
      </c>
      <c r="I224" s="38">
        <f t="shared" si="51"/>
        <v>0</v>
      </c>
      <c r="J224" s="37" t="str">
        <f>IF(COUNT(ngay27!$U$33)&gt;0,ngay27!$U$33,"")</f>
        <v/>
      </c>
      <c r="K224" s="137" t="str">
        <f t="shared" si="52"/>
        <v>x</v>
      </c>
      <c r="L224" s="49">
        <f t="shared" si="53"/>
        <v>0</v>
      </c>
      <c r="M224" s="34"/>
      <c r="N224" s="37" t="str">
        <f>IF(COUNT(ngay27!$I$6)&gt;0,ngay27!$I$6,"")</f>
        <v/>
      </c>
      <c r="O224" s="34" t="str">
        <f t="shared" si="54"/>
        <v>x</v>
      </c>
      <c r="P224" s="38">
        <f t="shared" si="55"/>
        <v>0</v>
      </c>
      <c r="Q224" s="37" t="str">
        <f>IF(COUNT(ngay27!$U$39)&gt;0,ngay27!$U$39,"")</f>
        <v/>
      </c>
      <c r="R224" s="137" t="str">
        <f t="shared" si="56"/>
        <v>x</v>
      </c>
      <c r="S224" s="49">
        <f t="shared" si="57"/>
        <v>0</v>
      </c>
      <c r="T224" s="34"/>
      <c r="U224" s="37" t="str">
        <f>IF(COUNT(ngay27!$I$12)&gt;0,ngay27!$I$12,"")</f>
        <v/>
      </c>
      <c r="V224" s="34" t="str">
        <f t="shared" si="58"/>
        <v>x</v>
      </c>
      <c r="W224" s="38">
        <f t="shared" si="59"/>
        <v>0</v>
      </c>
      <c r="X224" s="37" t="str">
        <f>IF(COUNT(ngay27!$U$48)&gt;0,ngay27!$U$48,"")</f>
        <v/>
      </c>
      <c r="Y224" s="137" t="str">
        <f t="shared" si="60"/>
        <v>x</v>
      </c>
      <c r="Z224" s="49">
        <f t="shared" si="61"/>
        <v>0</v>
      </c>
      <c r="AA224" s="34"/>
      <c r="AB224" s="37" t="str">
        <f>IF(COUNT(ngay27!$I$21)&gt;0,ngay27!$I$21,"")</f>
        <v/>
      </c>
      <c r="AC224" s="34" t="str">
        <f t="shared" si="62"/>
        <v>x</v>
      </c>
      <c r="AD224" s="38">
        <f t="shared" si="63"/>
        <v>0</v>
      </c>
    </row>
    <row r="225" spans="1:32">
      <c r="A225" s="41"/>
      <c r="B225" s="48">
        <v>19</v>
      </c>
      <c r="C225" s="37" t="str">
        <f>IF(COUNT(ngay27!$V$31)&gt;0,ngay27!$V$31,"")</f>
        <v/>
      </c>
      <c r="D225" s="137" t="str">
        <f t="shared" si="48"/>
        <v>x</v>
      </c>
      <c r="E225" s="49">
        <f t="shared" si="49"/>
        <v>0</v>
      </c>
      <c r="F225" s="34"/>
      <c r="G225" s="37" t="str">
        <f>IF(COUNT(ngay27!$J$4)&gt;0,ngay27!$J$4,"")</f>
        <v/>
      </c>
      <c r="H225" s="34" t="str">
        <f t="shared" si="50"/>
        <v>x</v>
      </c>
      <c r="I225" s="38">
        <f t="shared" si="51"/>
        <v>0</v>
      </c>
      <c r="J225" s="37" t="str">
        <f>IF(COUNT(ngay27!$V$33)&gt;0,ngay27!$V$33,"")</f>
        <v/>
      </c>
      <c r="K225" s="137" t="str">
        <f t="shared" si="52"/>
        <v>x</v>
      </c>
      <c r="L225" s="49">
        <f t="shared" si="53"/>
        <v>0</v>
      </c>
      <c r="M225" s="34"/>
      <c r="N225" s="37" t="str">
        <f>IF(COUNT(ngay27!$J$6)&gt;0,ngay27!$J$6,"")</f>
        <v/>
      </c>
      <c r="O225" s="34" t="str">
        <f t="shared" si="54"/>
        <v>x</v>
      </c>
      <c r="P225" s="38">
        <f t="shared" si="55"/>
        <v>0</v>
      </c>
      <c r="Q225" s="37" t="str">
        <f>IF(COUNT(ngay27!$V$39)&gt;0,ngay27!$V$39,"")</f>
        <v/>
      </c>
      <c r="R225" s="137" t="str">
        <f t="shared" si="56"/>
        <v>x</v>
      </c>
      <c r="S225" s="49">
        <f t="shared" si="57"/>
        <v>0</v>
      </c>
      <c r="T225" s="34"/>
      <c r="U225" s="37" t="str">
        <f>IF(COUNT(ngay27!$J$12)&gt;0,ngay27!$J$12,"")</f>
        <v/>
      </c>
      <c r="V225" s="34" t="str">
        <f t="shared" si="58"/>
        <v>x</v>
      </c>
      <c r="W225" s="38">
        <f t="shared" si="59"/>
        <v>0</v>
      </c>
      <c r="X225" s="37" t="str">
        <f>IF(COUNT(ngay27!$V$48)&gt;0,ngay27!$V$48,"")</f>
        <v/>
      </c>
      <c r="Y225" s="137" t="str">
        <f t="shared" si="60"/>
        <v>x</v>
      </c>
      <c r="Z225" s="49">
        <f t="shared" si="61"/>
        <v>0</v>
      </c>
      <c r="AA225" s="34"/>
      <c r="AB225" s="37" t="str">
        <f>IF(COUNT(ngay27!$J$21)&gt;0,ngay27!$J$21,"")</f>
        <v/>
      </c>
      <c r="AC225" s="34" t="str">
        <f t="shared" si="62"/>
        <v>x</v>
      </c>
      <c r="AD225" s="38">
        <f t="shared" si="63"/>
        <v>0</v>
      </c>
    </row>
    <row r="226" spans="1:32">
      <c r="A226" s="41"/>
      <c r="B226" s="48">
        <v>22</v>
      </c>
      <c r="C226" s="37" t="str">
        <f>IF(COUNT(ngay28!$O$31)&gt;0,ngay28!$O$31,"")</f>
        <v/>
      </c>
      <c r="D226" s="137" t="str">
        <f t="shared" si="48"/>
        <v>x</v>
      </c>
      <c r="E226" s="49">
        <f t="shared" si="49"/>
        <v>0</v>
      </c>
      <c r="F226" s="34"/>
      <c r="G226" s="37" t="str">
        <f>IF(COUNT(ngay28!$C$4)&gt;0,ngay28!$C$4,"")</f>
        <v/>
      </c>
      <c r="H226" s="34" t="str">
        <f t="shared" si="50"/>
        <v>x</v>
      </c>
      <c r="I226" s="38">
        <f t="shared" si="51"/>
        <v>0</v>
      </c>
      <c r="J226" s="37" t="str">
        <f>IF(COUNT(ngay28!$O$33)&gt;0,ngay28!$O$33,"")</f>
        <v/>
      </c>
      <c r="K226" s="137" t="str">
        <f t="shared" si="52"/>
        <v>x</v>
      </c>
      <c r="L226" s="49">
        <f t="shared" si="53"/>
        <v>0</v>
      </c>
      <c r="M226" s="34"/>
      <c r="N226" s="37" t="str">
        <f>IF(COUNT(ngay28!$C$6)&gt;0,ngay28!$C$6,"")</f>
        <v/>
      </c>
      <c r="O226" s="34" t="str">
        <f t="shared" si="54"/>
        <v>x</v>
      </c>
      <c r="P226" s="38">
        <f t="shared" si="55"/>
        <v>0</v>
      </c>
      <c r="Q226" s="37" t="str">
        <f>IF(COUNT(ngay28!$O$39)&gt;0,ngay28!$O$39,"")</f>
        <v/>
      </c>
      <c r="R226" s="137" t="str">
        <f t="shared" si="56"/>
        <v>x</v>
      </c>
      <c r="S226" s="49">
        <f t="shared" si="57"/>
        <v>0</v>
      </c>
      <c r="T226" s="34"/>
      <c r="U226" s="37" t="str">
        <f>IF(COUNT(ngay28!$C$12)&gt;0,ngay28!$C$12,"")</f>
        <v/>
      </c>
      <c r="V226" s="34" t="str">
        <f t="shared" si="58"/>
        <v>x</v>
      </c>
      <c r="W226" s="38">
        <f t="shared" si="59"/>
        <v>0</v>
      </c>
      <c r="X226" s="37" t="str">
        <f>IF(COUNT(ngay28!$O$48)&gt;0,ngay28!$O$48,"")</f>
        <v/>
      </c>
      <c r="Y226" s="137" t="str">
        <f t="shared" si="60"/>
        <v>x</v>
      </c>
      <c r="Z226" s="49">
        <f t="shared" si="61"/>
        <v>0</v>
      </c>
      <c r="AA226" s="34"/>
      <c r="AB226" s="37" t="str">
        <f>IF(COUNT(ngay28!$C$21)&gt;0,ngay28!$C$21,"")</f>
        <v/>
      </c>
      <c r="AC226" s="34" t="str">
        <f t="shared" si="62"/>
        <v>x</v>
      </c>
      <c r="AD226" s="38">
        <f t="shared" si="63"/>
        <v>0</v>
      </c>
    </row>
    <row r="227" spans="1:32" s="145" customFormat="1">
      <c r="A227" s="146">
        <v>28</v>
      </c>
      <c r="B227" s="48">
        <v>1</v>
      </c>
      <c r="C227" s="141" t="str">
        <f>IF(COUNT(ngay28!$P$31)&gt;0,ngay28!$P$31,"")</f>
        <v/>
      </c>
      <c r="D227" s="144" t="str">
        <f t="shared" si="48"/>
        <v>x</v>
      </c>
      <c r="E227" s="142">
        <f t="shared" si="49"/>
        <v>0</v>
      </c>
      <c r="F227" s="140"/>
      <c r="G227" s="141" t="str">
        <f>IF(COUNT(ngay28!$D$4)&gt;0,ngay28!$D$4,"")</f>
        <v/>
      </c>
      <c r="H227" s="140" t="str">
        <f t="shared" si="50"/>
        <v>x</v>
      </c>
      <c r="I227" s="143">
        <f t="shared" si="51"/>
        <v>0</v>
      </c>
      <c r="J227" s="141" t="str">
        <f>IF(COUNT(ngay28!$P$33)&gt;0,ngay28!$P$33,"")</f>
        <v/>
      </c>
      <c r="K227" s="144" t="str">
        <f t="shared" si="52"/>
        <v>x</v>
      </c>
      <c r="L227" s="142">
        <f t="shared" si="53"/>
        <v>0</v>
      </c>
      <c r="M227" s="140"/>
      <c r="N227" s="141" t="str">
        <f>IF(COUNT(ngay28!$D$6)&gt;0,ngay28!$D$6,"")</f>
        <v/>
      </c>
      <c r="O227" s="140" t="str">
        <f t="shared" si="54"/>
        <v>x</v>
      </c>
      <c r="P227" s="143">
        <f t="shared" si="55"/>
        <v>0</v>
      </c>
      <c r="Q227" s="141" t="str">
        <f>IF(COUNT(ngay28!$P$39)&gt;0,ngay28!$P$39,"")</f>
        <v/>
      </c>
      <c r="R227" s="144" t="str">
        <f t="shared" si="56"/>
        <v>x</v>
      </c>
      <c r="S227" s="142">
        <f t="shared" si="57"/>
        <v>0</v>
      </c>
      <c r="T227" s="140"/>
      <c r="U227" s="141" t="str">
        <f>IF(COUNT(ngay28!$D$12)&gt;0,ngay28!$D$12,"")</f>
        <v/>
      </c>
      <c r="V227" s="140" t="str">
        <f t="shared" si="58"/>
        <v>x</v>
      </c>
      <c r="W227" s="143">
        <f t="shared" si="59"/>
        <v>0</v>
      </c>
      <c r="X227" s="141" t="str">
        <f>IF(COUNT(ngay28!$P$48)&gt;0,ngay28!$P$48,"")</f>
        <v/>
      </c>
      <c r="Y227" s="144" t="str">
        <f t="shared" si="60"/>
        <v>x</v>
      </c>
      <c r="Z227" s="142">
        <f t="shared" si="61"/>
        <v>0</v>
      </c>
      <c r="AA227" s="140"/>
      <c r="AB227" s="141" t="str">
        <f>IF(COUNT(ngay28!$D$21)&gt;0,ngay28!$D$21,"")</f>
        <v/>
      </c>
      <c r="AC227" s="140" t="str">
        <f t="shared" si="62"/>
        <v>x</v>
      </c>
      <c r="AD227" s="143">
        <f t="shared" si="63"/>
        <v>0</v>
      </c>
      <c r="AE227" s="147"/>
      <c r="AF227" s="147"/>
    </row>
    <row r="228" spans="1:32">
      <c r="A228" s="41"/>
      <c r="B228" s="48">
        <v>4</v>
      </c>
      <c r="C228" s="37" t="str">
        <f>IF(COUNT(ngay28!$Q$31)&gt;0,ngay28!$Q$31,"")</f>
        <v/>
      </c>
      <c r="D228" s="137" t="str">
        <f t="shared" si="48"/>
        <v>x</v>
      </c>
      <c r="E228" s="49">
        <f t="shared" si="49"/>
        <v>0</v>
      </c>
      <c r="F228" s="34"/>
      <c r="G228" s="37" t="str">
        <f>IF(COUNT(ngay28!$E$4)&gt;0,ngay28!$E$4,"")</f>
        <v/>
      </c>
      <c r="H228" s="34" t="str">
        <f t="shared" si="50"/>
        <v>x</v>
      </c>
      <c r="I228" s="38">
        <f t="shared" si="51"/>
        <v>0</v>
      </c>
      <c r="J228" s="37" t="str">
        <f>IF(COUNT(ngay28!$Q$33)&gt;0,ngay28!$Q$33,"")</f>
        <v/>
      </c>
      <c r="K228" s="137" t="str">
        <f t="shared" si="52"/>
        <v>x</v>
      </c>
      <c r="L228" s="49">
        <f t="shared" si="53"/>
        <v>0</v>
      </c>
      <c r="M228" s="34"/>
      <c r="N228" s="37" t="str">
        <f>IF(COUNT(ngay28!$E$6)&gt;0,ngay28!$E$6,"")</f>
        <v/>
      </c>
      <c r="O228" s="34" t="str">
        <f t="shared" si="54"/>
        <v>x</v>
      </c>
      <c r="P228" s="38">
        <f t="shared" si="55"/>
        <v>0</v>
      </c>
      <c r="Q228" s="37" t="str">
        <f>IF(COUNT(ngay28!$Q$39)&gt;0,ngay28!$Q$39,"")</f>
        <v/>
      </c>
      <c r="R228" s="137" t="str">
        <f t="shared" si="56"/>
        <v>x</v>
      </c>
      <c r="S228" s="49">
        <f t="shared" si="57"/>
        <v>0</v>
      </c>
      <c r="T228" s="34"/>
      <c r="U228" s="37" t="str">
        <f>IF(COUNT(ngay28!$E$12)&gt;0,ngay28!$E$12,"")</f>
        <v/>
      </c>
      <c r="V228" s="34" t="str">
        <f t="shared" si="58"/>
        <v>x</v>
      </c>
      <c r="W228" s="38">
        <f t="shared" si="59"/>
        <v>0</v>
      </c>
      <c r="X228" s="37" t="str">
        <f>IF(COUNT(ngay28!$Q$48)&gt;0,ngay28!$Q$48,"")</f>
        <v/>
      </c>
      <c r="Y228" s="137" t="str">
        <f t="shared" si="60"/>
        <v>x</v>
      </c>
      <c r="Z228" s="49">
        <f t="shared" si="61"/>
        <v>0</v>
      </c>
      <c r="AA228" s="34"/>
      <c r="AB228" s="37" t="str">
        <f>IF(COUNT(ngay28!$E$21)&gt;0,ngay28!$E$21,"")</f>
        <v/>
      </c>
      <c r="AC228" s="34" t="str">
        <f t="shared" si="62"/>
        <v>x</v>
      </c>
      <c r="AD228" s="38">
        <f t="shared" si="63"/>
        <v>0</v>
      </c>
    </row>
    <row r="229" spans="1:32">
      <c r="A229" s="41"/>
      <c r="B229" s="139">
        <v>7</v>
      </c>
      <c r="C229" s="37" t="str">
        <f>IF(COUNT(ngay28!$R$31)&gt;0,ngay28!$R$31,"")</f>
        <v/>
      </c>
      <c r="D229" s="137" t="str">
        <f t="shared" si="48"/>
        <v>x</v>
      </c>
      <c r="E229" s="49">
        <f t="shared" si="49"/>
        <v>0</v>
      </c>
      <c r="F229" s="34"/>
      <c r="G229" s="37" t="str">
        <f>IF(COUNT(ngay28!$F$4)&gt;0,ngay28!$F$4,"")</f>
        <v/>
      </c>
      <c r="H229" s="34" t="str">
        <f t="shared" si="50"/>
        <v>x</v>
      </c>
      <c r="I229" s="38">
        <f t="shared" si="51"/>
        <v>0</v>
      </c>
      <c r="J229" s="37" t="str">
        <f>IF(COUNT(ngay28!$R$33)&gt;0,ngay28!$R$33,"")</f>
        <v/>
      </c>
      <c r="K229" s="137" t="str">
        <f t="shared" si="52"/>
        <v>x</v>
      </c>
      <c r="L229" s="49">
        <f t="shared" si="53"/>
        <v>0</v>
      </c>
      <c r="M229" s="34"/>
      <c r="N229" s="37" t="str">
        <f>IF(COUNT(ngay28!$F$6)&gt;0,ngay28!$F$6,"")</f>
        <v/>
      </c>
      <c r="O229" s="34" t="str">
        <f t="shared" si="54"/>
        <v>x</v>
      </c>
      <c r="P229" s="38">
        <f t="shared" si="55"/>
        <v>0</v>
      </c>
      <c r="Q229" s="37" t="str">
        <f>IF(COUNT(ngay28!$R$39)&gt;0,ngay28!$R$39,"")</f>
        <v/>
      </c>
      <c r="R229" s="137" t="str">
        <f t="shared" si="56"/>
        <v>x</v>
      </c>
      <c r="S229" s="49">
        <f t="shared" si="57"/>
        <v>0</v>
      </c>
      <c r="T229" s="34"/>
      <c r="U229" s="37" t="str">
        <f>IF(COUNT(ngay28!$F$12)&gt;0,ngay28!$F$12,"")</f>
        <v/>
      </c>
      <c r="V229" s="34" t="str">
        <f t="shared" si="58"/>
        <v>x</v>
      </c>
      <c r="W229" s="38">
        <f t="shared" si="59"/>
        <v>0</v>
      </c>
      <c r="X229" s="37" t="str">
        <f>IF(COUNT(ngay28!$R$48)&gt;0,ngay28!$R$48,"")</f>
        <v/>
      </c>
      <c r="Y229" s="137" t="str">
        <f t="shared" si="60"/>
        <v>x</v>
      </c>
      <c r="Z229" s="49">
        <f t="shared" si="61"/>
        <v>0</v>
      </c>
      <c r="AA229" s="34"/>
      <c r="AB229" s="37" t="str">
        <f>IF(COUNT(ngay28!$F$21)&gt;0,ngay28!$F$21,"")</f>
        <v/>
      </c>
      <c r="AC229" s="34" t="str">
        <f t="shared" si="62"/>
        <v>x</v>
      </c>
      <c r="AD229" s="38">
        <f t="shared" si="63"/>
        <v>0</v>
      </c>
    </row>
    <row r="230" spans="1:32">
      <c r="A230" s="41"/>
      <c r="B230" s="48">
        <v>10</v>
      </c>
      <c r="C230" s="37" t="str">
        <f>IF(COUNT(ngay28!$S$31)&gt;0,ngay28!$S$31,"")</f>
        <v/>
      </c>
      <c r="D230" s="137" t="str">
        <f t="shared" si="48"/>
        <v>x</v>
      </c>
      <c r="E230" s="49">
        <f t="shared" si="49"/>
        <v>0</v>
      </c>
      <c r="F230" s="34"/>
      <c r="G230" s="37" t="str">
        <f>IF(COUNT(ngay28!$G$4)&gt;0,ngay28!$G$4,"")</f>
        <v/>
      </c>
      <c r="H230" s="34" t="str">
        <f t="shared" si="50"/>
        <v>x</v>
      </c>
      <c r="I230" s="38">
        <f t="shared" si="51"/>
        <v>0</v>
      </c>
      <c r="J230" s="37" t="str">
        <f>IF(COUNT(ngay28!$S$33)&gt;0,ngay28!$S$33,"")</f>
        <v/>
      </c>
      <c r="K230" s="137" t="str">
        <f t="shared" si="52"/>
        <v>x</v>
      </c>
      <c r="L230" s="49">
        <f t="shared" si="53"/>
        <v>0</v>
      </c>
      <c r="M230" s="34"/>
      <c r="N230" s="37" t="str">
        <f>IF(COUNT(ngay28!$G$6)&gt;0,ngay28!$G$6,"")</f>
        <v/>
      </c>
      <c r="O230" s="34" t="str">
        <f t="shared" si="54"/>
        <v>x</v>
      </c>
      <c r="P230" s="38">
        <f t="shared" si="55"/>
        <v>0</v>
      </c>
      <c r="Q230" s="37" t="str">
        <f>IF(COUNT(ngay28!$S$39)&gt;0,ngay28!$S$39,"")</f>
        <v/>
      </c>
      <c r="R230" s="137" t="str">
        <f t="shared" si="56"/>
        <v>x</v>
      </c>
      <c r="S230" s="49">
        <f t="shared" si="57"/>
        <v>0</v>
      </c>
      <c r="T230" s="34"/>
      <c r="U230" s="37" t="str">
        <f>IF(COUNT(ngay28!$G$12)&gt;0,ngay28!$G$12,"")</f>
        <v/>
      </c>
      <c r="V230" s="34" t="str">
        <f t="shared" si="58"/>
        <v>x</v>
      </c>
      <c r="W230" s="38">
        <f t="shared" si="59"/>
        <v>0</v>
      </c>
      <c r="X230" s="37" t="str">
        <f>IF(COUNT(ngay28!$S$48)&gt;0,ngay28!$S$48,"")</f>
        <v/>
      </c>
      <c r="Y230" s="137" t="str">
        <f t="shared" si="60"/>
        <v>x</v>
      </c>
      <c r="Z230" s="49">
        <f t="shared" si="61"/>
        <v>0</v>
      </c>
      <c r="AA230" s="34"/>
      <c r="AB230" s="37" t="str">
        <f>IF(COUNT(ngay28!$G$21)&gt;0,ngay28!$G$21,"")</f>
        <v/>
      </c>
      <c r="AC230" s="34" t="str">
        <f t="shared" si="62"/>
        <v>x</v>
      </c>
      <c r="AD230" s="38">
        <f t="shared" si="63"/>
        <v>0</v>
      </c>
    </row>
    <row r="231" spans="1:32">
      <c r="A231" s="41"/>
      <c r="B231" s="48">
        <v>13</v>
      </c>
      <c r="C231" s="37" t="str">
        <f>IF(COUNT(ngay28!$T$31)&gt;0,ngay28!$T$31,"")</f>
        <v/>
      </c>
      <c r="D231" s="137" t="str">
        <f t="shared" si="48"/>
        <v>x</v>
      </c>
      <c r="E231" s="49">
        <f t="shared" si="49"/>
        <v>0</v>
      </c>
      <c r="F231" s="34"/>
      <c r="G231" s="37" t="str">
        <f>IF(COUNT(ngay28!$H$4)&gt;0,ngay28!$H$4,"")</f>
        <v/>
      </c>
      <c r="H231" s="34" t="str">
        <f t="shared" si="50"/>
        <v>x</v>
      </c>
      <c r="I231" s="38">
        <f t="shared" si="51"/>
        <v>0</v>
      </c>
      <c r="J231" s="37" t="str">
        <f>IF(COUNT(ngay28!$T$33)&gt;0,ngay28!$T$33,"")</f>
        <v/>
      </c>
      <c r="K231" s="137" t="str">
        <f t="shared" si="52"/>
        <v>x</v>
      </c>
      <c r="L231" s="49">
        <f t="shared" si="53"/>
        <v>0</v>
      </c>
      <c r="M231" s="34"/>
      <c r="N231" s="37" t="str">
        <f>IF(COUNT(ngay28!$H$6)&gt;0,ngay28!$H$6,"")</f>
        <v/>
      </c>
      <c r="O231" s="34" t="str">
        <f t="shared" si="54"/>
        <v>x</v>
      </c>
      <c r="P231" s="38">
        <f t="shared" si="55"/>
        <v>0</v>
      </c>
      <c r="Q231" s="37" t="str">
        <f>IF(COUNT(ngay28!$T$39)&gt;0,ngay28!$T$39,"")</f>
        <v/>
      </c>
      <c r="R231" s="137" t="str">
        <f t="shared" si="56"/>
        <v>x</v>
      </c>
      <c r="S231" s="49">
        <f t="shared" si="57"/>
        <v>0</v>
      </c>
      <c r="T231" s="34"/>
      <c r="U231" s="37" t="str">
        <f>IF(COUNT(ngay28!$H$12)&gt;0,ngay28!$H$12,"")</f>
        <v/>
      </c>
      <c r="V231" s="34" t="str">
        <f t="shared" si="58"/>
        <v>x</v>
      </c>
      <c r="W231" s="38">
        <f t="shared" si="59"/>
        <v>0</v>
      </c>
      <c r="X231" s="37" t="str">
        <f>IF(COUNT(ngay28!$T$48)&gt;0,ngay28!$T$48,"")</f>
        <v/>
      </c>
      <c r="Y231" s="137" t="str">
        <f t="shared" si="60"/>
        <v>x</v>
      </c>
      <c r="Z231" s="49">
        <f t="shared" si="61"/>
        <v>0</v>
      </c>
      <c r="AA231" s="34"/>
      <c r="AB231" s="37" t="str">
        <f>IF(COUNT(ngay28!$H$21)&gt;0,ngay28!$H$21,"")</f>
        <v/>
      </c>
      <c r="AC231" s="34" t="str">
        <f t="shared" si="62"/>
        <v>x</v>
      </c>
      <c r="AD231" s="38">
        <f t="shared" si="63"/>
        <v>0</v>
      </c>
    </row>
    <row r="232" spans="1:32">
      <c r="A232" s="41"/>
      <c r="B232" s="48">
        <v>16</v>
      </c>
      <c r="C232" s="37" t="str">
        <f>IF(COUNT(ngay28!$U$31)&gt;0,ngay28!$U$31,"")</f>
        <v/>
      </c>
      <c r="D232" s="137" t="str">
        <f t="shared" si="48"/>
        <v>x</v>
      </c>
      <c r="E232" s="49">
        <f t="shared" si="49"/>
        <v>0</v>
      </c>
      <c r="F232" s="34"/>
      <c r="G232" s="37" t="str">
        <f>IF(COUNT(ngay28!$I$4)&gt;0,ngay28!$I$4,"")</f>
        <v/>
      </c>
      <c r="H232" s="34" t="str">
        <f t="shared" si="50"/>
        <v>x</v>
      </c>
      <c r="I232" s="38">
        <f t="shared" si="51"/>
        <v>0</v>
      </c>
      <c r="J232" s="37" t="str">
        <f>IF(COUNT(ngay28!$U$33)&gt;0,ngay28!$U$33,"")</f>
        <v/>
      </c>
      <c r="K232" s="137" t="str">
        <f t="shared" si="52"/>
        <v>x</v>
      </c>
      <c r="L232" s="49">
        <f t="shared" si="53"/>
        <v>0</v>
      </c>
      <c r="M232" s="34"/>
      <c r="N232" s="37" t="str">
        <f>IF(COUNT(ngay28!$I$6)&gt;0,ngay28!$I$6,"")</f>
        <v/>
      </c>
      <c r="O232" s="34" t="str">
        <f t="shared" si="54"/>
        <v>x</v>
      </c>
      <c r="P232" s="38">
        <f t="shared" si="55"/>
        <v>0</v>
      </c>
      <c r="Q232" s="37" t="str">
        <f>IF(COUNT(ngay28!$U$39)&gt;0,ngay28!$U$39,"")</f>
        <v/>
      </c>
      <c r="R232" s="137" t="str">
        <f t="shared" si="56"/>
        <v>x</v>
      </c>
      <c r="S232" s="49">
        <f t="shared" si="57"/>
        <v>0</v>
      </c>
      <c r="T232" s="34"/>
      <c r="U232" s="37" t="str">
        <f>IF(COUNT(ngay28!$I$12)&gt;0,ngay28!$I$12,"")</f>
        <v/>
      </c>
      <c r="V232" s="34" t="str">
        <f t="shared" si="58"/>
        <v>x</v>
      </c>
      <c r="W232" s="38">
        <f t="shared" si="59"/>
        <v>0</v>
      </c>
      <c r="X232" s="37" t="str">
        <f>IF(COUNT(ngay28!$U$48)&gt;0,ngay28!$U$48,"")</f>
        <v/>
      </c>
      <c r="Y232" s="137" t="str">
        <f t="shared" si="60"/>
        <v>x</v>
      </c>
      <c r="Z232" s="49">
        <f t="shared" si="61"/>
        <v>0</v>
      </c>
      <c r="AA232" s="34"/>
      <c r="AB232" s="37" t="str">
        <f>IF(COUNT(ngay28!$I$21)&gt;0,ngay28!$I$21,"")</f>
        <v/>
      </c>
      <c r="AC232" s="34" t="str">
        <f t="shared" si="62"/>
        <v>x</v>
      </c>
      <c r="AD232" s="38">
        <f t="shared" si="63"/>
        <v>0</v>
      </c>
    </row>
    <row r="233" spans="1:32">
      <c r="A233" s="41"/>
      <c r="B233" s="48">
        <v>19</v>
      </c>
      <c r="C233" s="37" t="str">
        <f>IF(COUNT(ngay28!$V$31)&gt;0,ngay28!$V$31,"")</f>
        <v/>
      </c>
      <c r="D233" s="137" t="str">
        <f t="shared" si="48"/>
        <v>x</v>
      </c>
      <c r="E233" s="49">
        <f t="shared" si="49"/>
        <v>0</v>
      </c>
      <c r="F233" s="34"/>
      <c r="G233" s="37" t="str">
        <f>IF(COUNT(ngay28!$J$4)&gt;0,ngay28!$J$4,"")</f>
        <v/>
      </c>
      <c r="H233" s="34" t="str">
        <f t="shared" si="50"/>
        <v>x</v>
      </c>
      <c r="I233" s="38">
        <f t="shared" si="51"/>
        <v>0</v>
      </c>
      <c r="J233" s="37" t="str">
        <f>IF(COUNT(ngay28!$V$33)&gt;0,ngay28!$V$33,"")</f>
        <v/>
      </c>
      <c r="K233" s="137" t="str">
        <f t="shared" si="52"/>
        <v>x</v>
      </c>
      <c r="L233" s="49">
        <f t="shared" si="53"/>
        <v>0</v>
      </c>
      <c r="M233" s="34"/>
      <c r="N233" s="37" t="str">
        <f>IF(COUNT(ngay28!$J$6)&gt;0,ngay28!$J$6,"")</f>
        <v/>
      </c>
      <c r="O233" s="34" t="str">
        <f t="shared" si="54"/>
        <v>x</v>
      </c>
      <c r="P233" s="38">
        <f t="shared" si="55"/>
        <v>0</v>
      </c>
      <c r="Q233" s="37" t="str">
        <f>IF(COUNT(ngay28!$V$39)&gt;0,ngay28!$V$39,"")</f>
        <v/>
      </c>
      <c r="R233" s="137" t="str">
        <f t="shared" si="56"/>
        <v>x</v>
      </c>
      <c r="S233" s="49">
        <f t="shared" si="57"/>
        <v>0</v>
      </c>
      <c r="T233" s="34"/>
      <c r="U233" s="37" t="str">
        <f>IF(COUNT(ngay28!$J$12)&gt;0,ngay28!$J$12,"")</f>
        <v/>
      </c>
      <c r="V233" s="34" t="str">
        <f t="shared" si="58"/>
        <v>x</v>
      </c>
      <c r="W233" s="38">
        <f t="shared" si="59"/>
        <v>0</v>
      </c>
      <c r="X233" s="37" t="str">
        <f>IF(COUNT(ngay28!$V$48)&gt;0,ngay28!$V$48,"")</f>
        <v/>
      </c>
      <c r="Y233" s="137" t="str">
        <f t="shared" si="60"/>
        <v>x</v>
      </c>
      <c r="Z233" s="49">
        <f t="shared" si="61"/>
        <v>0</v>
      </c>
      <c r="AA233" s="34"/>
      <c r="AB233" s="37" t="str">
        <f>IF(COUNT(ngay28!$J$21)&gt;0,ngay28!$J$21,"")</f>
        <v/>
      </c>
      <c r="AC233" s="34" t="str">
        <f t="shared" si="62"/>
        <v>x</v>
      </c>
      <c r="AD233" s="38">
        <f t="shared" si="63"/>
        <v>0</v>
      </c>
    </row>
    <row r="234" spans="1:32">
      <c r="A234" s="41"/>
      <c r="B234" s="48">
        <v>22</v>
      </c>
      <c r="C234" s="37" t="str">
        <f>IF(COUNT(ngay29!$O$31)&gt;0,ngay29!$O$31,"")</f>
        <v/>
      </c>
      <c r="D234" s="137" t="str">
        <f t="shared" si="48"/>
        <v>x</v>
      </c>
      <c r="E234" s="49">
        <f t="shared" si="49"/>
        <v>0</v>
      </c>
      <c r="F234" s="34"/>
      <c r="G234" s="37" t="str">
        <f>IF(COUNT(ngay29!$C$4)&gt;0,ngay29!$C$4,"")</f>
        <v/>
      </c>
      <c r="H234" s="34" t="str">
        <f t="shared" si="50"/>
        <v>x</v>
      </c>
      <c r="I234" s="38">
        <f t="shared" si="51"/>
        <v>0</v>
      </c>
      <c r="J234" s="37" t="str">
        <f>IF(COUNT(ngay29!$O$33)&gt;0,ngay29!$O$33,"")</f>
        <v/>
      </c>
      <c r="K234" s="137" t="str">
        <f t="shared" si="52"/>
        <v>x</v>
      </c>
      <c r="L234" s="49">
        <f t="shared" si="53"/>
        <v>0</v>
      </c>
      <c r="M234" s="34"/>
      <c r="N234" s="37" t="str">
        <f>IF(COUNT(ngay29!$C$6)&gt;0,ngay29!$C$6,"")</f>
        <v/>
      </c>
      <c r="O234" s="34" t="str">
        <f t="shared" si="54"/>
        <v>x</v>
      </c>
      <c r="P234" s="38">
        <f t="shared" si="55"/>
        <v>0</v>
      </c>
      <c r="Q234" s="37" t="str">
        <f>IF(COUNT(ngay29!$O$39)&gt;0,ngay29!$O$39,"")</f>
        <v/>
      </c>
      <c r="R234" s="137" t="str">
        <f t="shared" si="56"/>
        <v>x</v>
      </c>
      <c r="S234" s="49">
        <f t="shared" si="57"/>
        <v>0</v>
      </c>
      <c r="T234" s="34"/>
      <c r="U234" s="37" t="str">
        <f>IF(COUNT(ngay29!$C$12)&gt;0,ngay29!$C$12,"")</f>
        <v/>
      </c>
      <c r="V234" s="34" t="str">
        <f t="shared" si="58"/>
        <v>x</v>
      </c>
      <c r="W234" s="38">
        <f t="shared" si="59"/>
        <v>0</v>
      </c>
      <c r="X234" s="37" t="str">
        <f>IF(COUNT(ngay29!$O$48)&gt;0,ngay29!$O$48,"")</f>
        <v/>
      </c>
      <c r="Y234" s="137" t="str">
        <f t="shared" si="60"/>
        <v>x</v>
      </c>
      <c r="Z234" s="49">
        <f t="shared" si="61"/>
        <v>0</v>
      </c>
      <c r="AA234" s="34"/>
      <c r="AB234" s="37" t="str">
        <f>IF(COUNT(ngay29!$C$21)&gt;0,ngay29!$C$21,"")</f>
        <v/>
      </c>
      <c r="AC234" s="34" t="str">
        <f t="shared" si="62"/>
        <v>x</v>
      </c>
      <c r="AD234" s="38">
        <f t="shared" si="63"/>
        <v>0</v>
      </c>
    </row>
    <row r="235" spans="1:32" s="145" customFormat="1">
      <c r="A235" s="146">
        <v>29</v>
      </c>
      <c r="B235" s="48">
        <v>1</v>
      </c>
      <c r="C235" s="141" t="str">
        <f>IF(COUNT(ngay29!$P$31)&gt;0,ngay29!$P$31,"")</f>
        <v/>
      </c>
      <c r="D235" s="144" t="str">
        <f t="shared" si="48"/>
        <v>x</v>
      </c>
      <c r="E235" s="142">
        <f t="shared" si="49"/>
        <v>0</v>
      </c>
      <c r="F235" s="140"/>
      <c r="G235" s="141" t="str">
        <f>IF(COUNT(ngay29!$D$4)&gt;0,ngay29!$D$4,"")</f>
        <v/>
      </c>
      <c r="H235" s="140" t="str">
        <f t="shared" si="50"/>
        <v>x</v>
      </c>
      <c r="I235" s="143">
        <f t="shared" si="51"/>
        <v>0</v>
      </c>
      <c r="J235" s="141" t="str">
        <f>IF(COUNT(ngay29!$P$33)&gt;0,ngay29!$P$33,"")</f>
        <v/>
      </c>
      <c r="K235" s="144" t="str">
        <f t="shared" si="52"/>
        <v>x</v>
      </c>
      <c r="L235" s="142">
        <f t="shared" si="53"/>
        <v>0</v>
      </c>
      <c r="M235" s="140"/>
      <c r="N235" s="141" t="str">
        <f>IF(COUNT(ngay29!$D$6)&gt;0,ngay29!$D$6,"")</f>
        <v/>
      </c>
      <c r="O235" s="140" t="str">
        <f t="shared" si="54"/>
        <v>x</v>
      </c>
      <c r="P235" s="143">
        <f t="shared" si="55"/>
        <v>0</v>
      </c>
      <c r="Q235" s="141" t="str">
        <f>IF(COUNT(ngay29!$P$39)&gt;0,ngay29!$P$39,"")</f>
        <v/>
      </c>
      <c r="R235" s="144" t="str">
        <f t="shared" si="56"/>
        <v>x</v>
      </c>
      <c r="S235" s="142">
        <f t="shared" si="57"/>
        <v>0</v>
      </c>
      <c r="T235" s="140"/>
      <c r="U235" s="141" t="str">
        <f>IF(COUNT(ngay29!$D$12)&gt;0,ngay29!$D$12,"")</f>
        <v/>
      </c>
      <c r="V235" s="140" t="str">
        <f t="shared" si="58"/>
        <v>x</v>
      </c>
      <c r="W235" s="143">
        <f t="shared" si="59"/>
        <v>0</v>
      </c>
      <c r="X235" s="141" t="str">
        <f>IF(COUNT(ngay29!$P$48)&gt;0,ngay29!$P$48,"")</f>
        <v/>
      </c>
      <c r="Y235" s="144" t="str">
        <f t="shared" si="60"/>
        <v>x</v>
      </c>
      <c r="Z235" s="142">
        <f t="shared" si="61"/>
        <v>0</v>
      </c>
      <c r="AA235" s="140"/>
      <c r="AB235" s="141" t="str">
        <f>IF(COUNT(ngay29!$D$21)&gt;0,ngay29!$D$21,"")</f>
        <v/>
      </c>
      <c r="AC235" s="140" t="str">
        <f t="shared" si="62"/>
        <v>x</v>
      </c>
      <c r="AD235" s="143">
        <f t="shared" si="63"/>
        <v>0</v>
      </c>
      <c r="AE235" s="147"/>
      <c r="AF235" s="147"/>
    </row>
    <row r="236" spans="1:32">
      <c r="A236" s="41"/>
      <c r="B236" s="48">
        <v>4</v>
      </c>
      <c r="C236" s="37" t="str">
        <f>IF(COUNT(ngay29!$Q$31)&gt;0,ngay29!$Q$31,"")</f>
        <v/>
      </c>
      <c r="D236" s="137" t="str">
        <f t="shared" si="48"/>
        <v>x</v>
      </c>
      <c r="E236" s="49">
        <f t="shared" si="49"/>
        <v>0</v>
      </c>
      <c r="F236" s="34"/>
      <c r="G236" s="37" t="str">
        <f>IF(COUNT(ngay29!$E$4)&gt;0,ngay29!$E$4,"")</f>
        <v/>
      </c>
      <c r="H236" s="34" t="str">
        <f t="shared" si="50"/>
        <v>x</v>
      </c>
      <c r="I236" s="38">
        <f t="shared" si="51"/>
        <v>0</v>
      </c>
      <c r="J236" s="37" t="str">
        <f>IF(COUNT(ngay29!$Q$33)&gt;0,ngay29!$Q$33,"")</f>
        <v/>
      </c>
      <c r="K236" s="137" t="str">
        <f t="shared" si="52"/>
        <v>x</v>
      </c>
      <c r="L236" s="49">
        <f t="shared" si="53"/>
        <v>0</v>
      </c>
      <c r="M236" s="34"/>
      <c r="N236" s="37" t="str">
        <f>IF(COUNT(ngay29!$E$6)&gt;0,ngay29!$E$6,"")</f>
        <v/>
      </c>
      <c r="O236" s="34" t="str">
        <f t="shared" si="54"/>
        <v>x</v>
      </c>
      <c r="P236" s="38">
        <f t="shared" si="55"/>
        <v>0</v>
      </c>
      <c r="Q236" s="37" t="str">
        <f>IF(COUNT(ngay29!$Q$39)&gt;0,ngay29!$Q$39,"")</f>
        <v/>
      </c>
      <c r="R236" s="137" t="str">
        <f t="shared" si="56"/>
        <v>x</v>
      </c>
      <c r="S236" s="49">
        <f t="shared" si="57"/>
        <v>0</v>
      </c>
      <c r="T236" s="34"/>
      <c r="U236" s="37" t="str">
        <f>IF(COUNT(ngay29!$E$12)&gt;0,ngay29!$E$12,"")</f>
        <v/>
      </c>
      <c r="V236" s="34" t="str">
        <f t="shared" si="58"/>
        <v>x</v>
      </c>
      <c r="W236" s="38">
        <f t="shared" si="59"/>
        <v>0</v>
      </c>
      <c r="X236" s="37" t="str">
        <f>IF(COUNT(ngay29!$Q$48)&gt;0,ngay29!$Q$48,"")</f>
        <v/>
      </c>
      <c r="Y236" s="137" t="str">
        <f t="shared" si="60"/>
        <v>x</v>
      </c>
      <c r="Z236" s="49">
        <f t="shared" si="61"/>
        <v>0</v>
      </c>
      <c r="AA236" s="34"/>
      <c r="AB236" s="37" t="str">
        <f>IF(COUNT(ngay29!$E$21)&gt;0,ngay29!$E$21,"")</f>
        <v/>
      </c>
      <c r="AC236" s="34" t="str">
        <f t="shared" si="62"/>
        <v>x</v>
      </c>
      <c r="AD236" s="38">
        <f t="shared" si="63"/>
        <v>0</v>
      </c>
    </row>
    <row r="237" spans="1:32">
      <c r="A237" s="41"/>
      <c r="B237" s="139">
        <v>7</v>
      </c>
      <c r="C237" s="37" t="str">
        <f>IF(COUNT(ngay29!$R$31)&gt;0,ngay29!$R$31,"")</f>
        <v/>
      </c>
      <c r="D237" s="137" t="str">
        <f t="shared" si="48"/>
        <v>x</v>
      </c>
      <c r="E237" s="49">
        <f t="shared" si="49"/>
        <v>0</v>
      </c>
      <c r="F237" s="34"/>
      <c r="G237" s="37" t="str">
        <f>IF(COUNT(ngay29!$F$4)&gt;0,ngay29!$F$4,"")</f>
        <v/>
      </c>
      <c r="H237" s="34" t="str">
        <f t="shared" si="50"/>
        <v>x</v>
      </c>
      <c r="I237" s="38">
        <f t="shared" si="51"/>
        <v>0</v>
      </c>
      <c r="J237" s="37" t="str">
        <f>IF(COUNT(ngay29!$R$33)&gt;0,ngay29!$R$33,"")</f>
        <v/>
      </c>
      <c r="K237" s="137" t="str">
        <f t="shared" si="52"/>
        <v>x</v>
      </c>
      <c r="L237" s="49">
        <f t="shared" si="53"/>
        <v>0</v>
      </c>
      <c r="M237" s="34"/>
      <c r="N237" s="37" t="str">
        <f>IF(COUNT(ngay29!$F$6)&gt;0,ngay29!$F$6,"")</f>
        <v/>
      </c>
      <c r="O237" s="34" t="str">
        <f t="shared" si="54"/>
        <v>x</v>
      </c>
      <c r="P237" s="38">
        <f t="shared" si="55"/>
        <v>0</v>
      </c>
      <c r="Q237" s="37" t="str">
        <f>IF(COUNT(ngay29!$R$39)&gt;0,ngay29!$R$39,"")</f>
        <v/>
      </c>
      <c r="R237" s="137" t="str">
        <f t="shared" si="56"/>
        <v>x</v>
      </c>
      <c r="S237" s="49">
        <f t="shared" si="57"/>
        <v>0</v>
      </c>
      <c r="T237" s="34"/>
      <c r="U237" s="37" t="str">
        <f>IF(COUNT(ngay29!$F$12)&gt;0,ngay29!$F$12,"")</f>
        <v/>
      </c>
      <c r="V237" s="34" t="str">
        <f t="shared" si="58"/>
        <v>x</v>
      </c>
      <c r="W237" s="38">
        <f t="shared" si="59"/>
        <v>0</v>
      </c>
      <c r="X237" s="37" t="str">
        <f>IF(COUNT(ngay29!$R$48)&gt;0,ngay29!$R$48,"")</f>
        <v/>
      </c>
      <c r="Y237" s="137" t="str">
        <f t="shared" si="60"/>
        <v>x</v>
      </c>
      <c r="Z237" s="49">
        <f t="shared" si="61"/>
        <v>0</v>
      </c>
      <c r="AA237" s="34"/>
      <c r="AB237" s="37" t="str">
        <f>IF(COUNT(ngay29!$F$21)&gt;0,ngay29!$F$21,"")</f>
        <v/>
      </c>
      <c r="AC237" s="34" t="str">
        <f t="shared" si="62"/>
        <v>x</v>
      </c>
      <c r="AD237" s="38">
        <f t="shared" si="63"/>
        <v>0</v>
      </c>
    </row>
    <row r="238" spans="1:32">
      <c r="A238" s="41"/>
      <c r="B238" s="48">
        <v>10</v>
      </c>
      <c r="C238" s="37" t="str">
        <f>IF(COUNT(ngay29!$S$31)&gt;0,ngay29!$S$31,"")</f>
        <v/>
      </c>
      <c r="D238" s="137" t="str">
        <f t="shared" si="48"/>
        <v>x</v>
      </c>
      <c r="E238" s="49">
        <f t="shared" si="49"/>
        <v>0</v>
      </c>
      <c r="F238" s="34"/>
      <c r="G238" s="37" t="str">
        <f>IF(COUNT(ngay29!$G$4)&gt;0,ngay29!$G$4,"")</f>
        <v/>
      </c>
      <c r="H238" s="34" t="str">
        <f t="shared" si="50"/>
        <v>x</v>
      </c>
      <c r="I238" s="38">
        <f t="shared" si="51"/>
        <v>0</v>
      </c>
      <c r="J238" s="37" t="str">
        <f>IF(COUNT(ngay29!$S$33)&gt;0,ngay29!$S$33,"")</f>
        <v/>
      </c>
      <c r="K238" s="137" t="str">
        <f t="shared" si="52"/>
        <v>x</v>
      </c>
      <c r="L238" s="49">
        <f t="shared" si="53"/>
        <v>0</v>
      </c>
      <c r="M238" s="34"/>
      <c r="N238" s="37" t="str">
        <f>IF(COUNT(ngay29!$G$6)&gt;0,ngay29!$G$6,"")</f>
        <v/>
      </c>
      <c r="O238" s="34" t="str">
        <f t="shared" si="54"/>
        <v>x</v>
      </c>
      <c r="P238" s="38">
        <f t="shared" si="55"/>
        <v>0</v>
      </c>
      <c r="Q238" s="37" t="str">
        <f>IF(COUNT(ngay29!$S$39)&gt;0,ngay29!$S$39,"")</f>
        <v/>
      </c>
      <c r="R238" s="137" t="str">
        <f t="shared" si="56"/>
        <v>x</v>
      </c>
      <c r="S238" s="49">
        <f t="shared" si="57"/>
        <v>0</v>
      </c>
      <c r="T238" s="34"/>
      <c r="U238" s="37" t="str">
        <f>IF(COUNT(ngay29!$G$12)&gt;0,ngay29!$G$12,"")</f>
        <v/>
      </c>
      <c r="V238" s="34" t="str">
        <f t="shared" si="58"/>
        <v>x</v>
      </c>
      <c r="W238" s="38">
        <f t="shared" si="59"/>
        <v>0</v>
      </c>
      <c r="X238" s="37" t="str">
        <f>IF(COUNT(ngay29!$S$48)&gt;0,ngay29!$S$48,"")</f>
        <v/>
      </c>
      <c r="Y238" s="137" t="str">
        <f t="shared" si="60"/>
        <v>x</v>
      </c>
      <c r="Z238" s="49">
        <f t="shared" si="61"/>
        <v>0</v>
      </c>
      <c r="AA238" s="34"/>
      <c r="AB238" s="37" t="str">
        <f>IF(COUNT(ngay29!$G$21)&gt;0,ngay29!$G$21,"")</f>
        <v/>
      </c>
      <c r="AC238" s="34" t="str">
        <f t="shared" si="62"/>
        <v>x</v>
      </c>
      <c r="AD238" s="38">
        <f t="shared" si="63"/>
        <v>0</v>
      </c>
    </row>
    <row r="239" spans="1:32">
      <c r="A239" s="41"/>
      <c r="B239" s="48">
        <v>13</v>
      </c>
      <c r="C239" s="37" t="str">
        <f>IF(COUNT(ngay29!$T$31)&gt;0,ngay29!$T$31,"")</f>
        <v/>
      </c>
      <c r="D239" s="137" t="str">
        <f t="shared" si="48"/>
        <v>x</v>
      </c>
      <c r="E239" s="49">
        <f t="shared" si="49"/>
        <v>0</v>
      </c>
      <c r="F239" s="34"/>
      <c r="G239" s="37" t="str">
        <f>IF(COUNT(ngay29!$H$4)&gt;0,ngay29!$H$4,"")</f>
        <v/>
      </c>
      <c r="H239" s="34" t="str">
        <f t="shared" si="50"/>
        <v>x</v>
      </c>
      <c r="I239" s="38">
        <f t="shared" si="51"/>
        <v>0</v>
      </c>
      <c r="J239" s="37" t="str">
        <f>IF(COUNT(ngay29!$T$33)&gt;0,ngay29!$T$33,"")</f>
        <v/>
      </c>
      <c r="K239" s="137" t="str">
        <f t="shared" si="52"/>
        <v>x</v>
      </c>
      <c r="L239" s="49">
        <f t="shared" si="53"/>
        <v>0</v>
      </c>
      <c r="M239" s="34"/>
      <c r="N239" s="37" t="str">
        <f>IF(COUNT(ngay29!$H$6)&gt;0,ngay29!$H$6,"")</f>
        <v/>
      </c>
      <c r="O239" s="34" t="str">
        <f t="shared" si="54"/>
        <v>x</v>
      </c>
      <c r="P239" s="38">
        <f t="shared" si="55"/>
        <v>0</v>
      </c>
      <c r="Q239" s="37" t="str">
        <f>IF(COUNT(ngay29!$T$39)&gt;0,ngay29!$T$39,"")</f>
        <v/>
      </c>
      <c r="R239" s="137" t="str">
        <f t="shared" si="56"/>
        <v>x</v>
      </c>
      <c r="S239" s="49">
        <f t="shared" si="57"/>
        <v>0</v>
      </c>
      <c r="T239" s="34"/>
      <c r="U239" s="37" t="str">
        <f>IF(COUNT(ngay29!$H$12)&gt;0,ngay29!$H$12,"")</f>
        <v/>
      </c>
      <c r="V239" s="34" t="str">
        <f t="shared" si="58"/>
        <v>x</v>
      </c>
      <c r="W239" s="38">
        <f t="shared" si="59"/>
        <v>0</v>
      </c>
      <c r="X239" s="37" t="str">
        <f>IF(COUNT(ngay29!$T$48)&gt;0,ngay29!$T$48,"")</f>
        <v/>
      </c>
      <c r="Y239" s="137" t="str">
        <f t="shared" si="60"/>
        <v>x</v>
      </c>
      <c r="Z239" s="49">
        <f t="shared" si="61"/>
        <v>0</v>
      </c>
      <c r="AA239" s="34"/>
      <c r="AB239" s="37" t="str">
        <f>IF(COUNT(ngay29!$H$21)&gt;0,ngay29!$H$21,"")</f>
        <v/>
      </c>
      <c r="AC239" s="34" t="str">
        <f t="shared" si="62"/>
        <v>x</v>
      </c>
      <c r="AD239" s="38">
        <f t="shared" si="63"/>
        <v>0</v>
      </c>
    </row>
    <row r="240" spans="1:32">
      <c r="A240" s="41"/>
      <c r="B240" s="48">
        <v>16</v>
      </c>
      <c r="C240" s="37" t="str">
        <f>IF(COUNT(ngay29!$U$31)&gt;0,ngay29!$U$31,"")</f>
        <v/>
      </c>
      <c r="D240" s="137" t="str">
        <f t="shared" si="48"/>
        <v>x</v>
      </c>
      <c r="E240" s="49">
        <f t="shared" si="49"/>
        <v>0</v>
      </c>
      <c r="F240" s="34"/>
      <c r="G240" s="37" t="str">
        <f>IF(COUNT(ngay29!$I$4)&gt;0,ngay29!$I$4,"")</f>
        <v/>
      </c>
      <c r="H240" s="34" t="str">
        <f t="shared" si="50"/>
        <v>x</v>
      </c>
      <c r="I240" s="38">
        <f t="shared" si="51"/>
        <v>0</v>
      </c>
      <c r="J240" s="37" t="str">
        <f>IF(COUNT(ngay29!$U$33)&gt;0,ngay29!$U$33,"")</f>
        <v/>
      </c>
      <c r="K240" s="137" t="str">
        <f t="shared" si="52"/>
        <v>x</v>
      </c>
      <c r="L240" s="49">
        <f t="shared" si="53"/>
        <v>0</v>
      </c>
      <c r="M240" s="34"/>
      <c r="N240" s="37" t="str">
        <f>IF(COUNT(ngay29!$I$6)&gt;0,ngay29!$I$6,"")</f>
        <v/>
      </c>
      <c r="O240" s="34" t="str">
        <f t="shared" si="54"/>
        <v>x</v>
      </c>
      <c r="P240" s="38">
        <f t="shared" si="55"/>
        <v>0</v>
      </c>
      <c r="Q240" s="37" t="str">
        <f>IF(COUNT(ngay29!$U$39)&gt;0,ngay29!$U$39,"")</f>
        <v/>
      </c>
      <c r="R240" s="137" t="str">
        <f t="shared" si="56"/>
        <v>x</v>
      </c>
      <c r="S240" s="49">
        <f t="shared" si="57"/>
        <v>0</v>
      </c>
      <c r="T240" s="34"/>
      <c r="U240" s="37" t="str">
        <f>IF(COUNT(ngay29!$I$12)&gt;0,ngay29!$I$12,"")</f>
        <v/>
      </c>
      <c r="V240" s="34" t="str">
        <f t="shared" si="58"/>
        <v>x</v>
      </c>
      <c r="W240" s="38">
        <f t="shared" si="59"/>
        <v>0</v>
      </c>
      <c r="X240" s="37" t="str">
        <f>IF(COUNT(ngay29!$U$48)&gt;0,ngay29!$U$48,"")</f>
        <v/>
      </c>
      <c r="Y240" s="137" t="str">
        <f t="shared" si="60"/>
        <v>x</v>
      </c>
      <c r="Z240" s="49">
        <f t="shared" si="61"/>
        <v>0</v>
      </c>
      <c r="AA240" s="34"/>
      <c r="AB240" s="37" t="str">
        <f>IF(COUNT(ngay29!$I$21)&gt;0,ngay29!$I$21,"")</f>
        <v/>
      </c>
      <c r="AC240" s="34" t="str">
        <f t="shared" si="62"/>
        <v>x</v>
      </c>
      <c r="AD240" s="38">
        <f t="shared" si="63"/>
        <v>0</v>
      </c>
    </row>
    <row r="241" spans="1:32">
      <c r="A241" s="41"/>
      <c r="B241" s="48">
        <v>19</v>
      </c>
      <c r="C241" s="37" t="str">
        <f>IF(COUNT(ngay29!$V$31)&gt;0,ngay29!$V$31,"")</f>
        <v/>
      </c>
      <c r="D241" s="137" t="str">
        <f t="shared" si="48"/>
        <v>x</v>
      </c>
      <c r="E241" s="49">
        <f t="shared" si="49"/>
        <v>0</v>
      </c>
      <c r="F241" s="34"/>
      <c r="G241" s="37" t="str">
        <f>IF(COUNT(ngay29!$J$4)&gt;0,ngay29!$J$4,"")</f>
        <v/>
      </c>
      <c r="H241" s="34" t="str">
        <f t="shared" si="50"/>
        <v>x</v>
      </c>
      <c r="I241" s="38">
        <f t="shared" si="51"/>
        <v>0</v>
      </c>
      <c r="J241" s="37" t="str">
        <f>IF(COUNT(ngay29!$V$33)&gt;0,ngay29!$V$33,"")</f>
        <v/>
      </c>
      <c r="K241" s="137" t="str">
        <f t="shared" si="52"/>
        <v>x</v>
      </c>
      <c r="L241" s="49">
        <f t="shared" si="53"/>
        <v>0</v>
      </c>
      <c r="M241" s="34"/>
      <c r="N241" s="37" t="str">
        <f>IF(COUNT(ngay29!$J$6)&gt;0,ngay29!$J$6,"")</f>
        <v/>
      </c>
      <c r="O241" s="34" t="str">
        <f t="shared" si="54"/>
        <v>x</v>
      </c>
      <c r="P241" s="38">
        <f t="shared" si="55"/>
        <v>0</v>
      </c>
      <c r="Q241" s="37" t="str">
        <f>IF(COUNT(ngay29!$V$39)&gt;0,ngay29!$V$39,"")</f>
        <v/>
      </c>
      <c r="R241" s="137" t="str">
        <f t="shared" si="56"/>
        <v>x</v>
      </c>
      <c r="S241" s="49">
        <f t="shared" si="57"/>
        <v>0</v>
      </c>
      <c r="T241" s="34"/>
      <c r="U241" s="37" t="str">
        <f>IF(COUNT(ngay29!$J$12)&gt;0,ngay29!$J$12,"")</f>
        <v/>
      </c>
      <c r="V241" s="34" t="str">
        <f t="shared" si="58"/>
        <v>x</v>
      </c>
      <c r="W241" s="38">
        <f t="shared" si="59"/>
        <v>0</v>
      </c>
      <c r="X241" s="37" t="str">
        <f>IF(COUNT(ngay29!$V$48)&gt;0,ngay29!$V$48,"")</f>
        <v/>
      </c>
      <c r="Y241" s="137" t="str">
        <f t="shared" si="60"/>
        <v>x</v>
      </c>
      <c r="Z241" s="49">
        <f t="shared" si="61"/>
        <v>0</v>
      </c>
      <c r="AA241" s="34"/>
      <c r="AB241" s="37" t="str">
        <f>IF(COUNT(ngay29!$J$21)&gt;0,ngay29!$J$21,"")</f>
        <v/>
      </c>
      <c r="AC241" s="34" t="str">
        <f t="shared" si="62"/>
        <v>x</v>
      </c>
      <c r="AD241" s="38">
        <f t="shared" si="63"/>
        <v>0</v>
      </c>
    </row>
    <row r="242" spans="1:32">
      <c r="A242" s="41"/>
      <c r="B242" s="48">
        <v>22</v>
      </c>
      <c r="C242" s="37" t="str">
        <f>IF(COUNT(ngay30!$O$31)&gt;0,ngay30!$O$31,"")</f>
        <v/>
      </c>
      <c r="D242" s="137" t="str">
        <f t="shared" si="48"/>
        <v>x</v>
      </c>
      <c r="E242" s="49">
        <f t="shared" si="49"/>
        <v>0</v>
      </c>
      <c r="F242" s="34"/>
      <c r="G242" s="37" t="str">
        <f>IF(COUNT(ngay30!$C$4)&gt;0,ngay30!$C$4,"")</f>
        <v/>
      </c>
      <c r="H242" s="34" t="str">
        <f t="shared" si="50"/>
        <v>x</v>
      </c>
      <c r="I242" s="38">
        <f t="shared" si="51"/>
        <v>0</v>
      </c>
      <c r="J242" s="37" t="str">
        <f>IF(COUNT(ngay30!$O$33)&gt;0,ngay30!$O$33,"")</f>
        <v/>
      </c>
      <c r="K242" s="137" t="str">
        <f t="shared" si="52"/>
        <v>x</v>
      </c>
      <c r="L242" s="49">
        <f t="shared" si="53"/>
        <v>0</v>
      </c>
      <c r="M242" s="34"/>
      <c r="N242" s="37" t="str">
        <f>IF(COUNT(ngay30!$C$6)&gt;0,ngay30!$C$6,"")</f>
        <v/>
      </c>
      <c r="O242" s="34" t="str">
        <f t="shared" si="54"/>
        <v>x</v>
      </c>
      <c r="P242" s="38">
        <f t="shared" si="55"/>
        <v>0</v>
      </c>
      <c r="Q242" s="37" t="str">
        <f>IF(COUNT(ngay30!$O$39)&gt;0,ngay30!$O$39,"")</f>
        <v/>
      </c>
      <c r="R242" s="137" t="str">
        <f t="shared" si="56"/>
        <v>x</v>
      </c>
      <c r="S242" s="49">
        <f t="shared" si="57"/>
        <v>0</v>
      </c>
      <c r="T242" s="34"/>
      <c r="U242" s="37" t="str">
        <f>IF(COUNT(ngay30!$C$12)&gt;0,ngay30!$C$12,"")</f>
        <v/>
      </c>
      <c r="V242" s="34" t="str">
        <f t="shared" si="58"/>
        <v>x</v>
      </c>
      <c r="W242" s="38">
        <f t="shared" si="59"/>
        <v>0</v>
      </c>
      <c r="X242" s="37" t="str">
        <f>IF(COUNT(ngay30!$O$48)&gt;0,ngay30!$O$48,"")</f>
        <v/>
      </c>
      <c r="Y242" s="137" t="str">
        <f t="shared" si="60"/>
        <v>x</v>
      </c>
      <c r="Z242" s="49">
        <f t="shared" si="61"/>
        <v>0</v>
      </c>
      <c r="AA242" s="34"/>
      <c r="AB242" s="37" t="str">
        <f>IF(COUNT(ngay30!$C$21)&gt;0,ngay30!$C$21,"")</f>
        <v/>
      </c>
      <c r="AC242" s="34" t="str">
        <f t="shared" si="62"/>
        <v>x</v>
      </c>
      <c r="AD242" s="38">
        <f t="shared" si="63"/>
        <v>0</v>
      </c>
    </row>
    <row r="243" spans="1:32" s="145" customFormat="1">
      <c r="A243" s="146">
        <v>30</v>
      </c>
      <c r="B243" s="48">
        <v>1</v>
      </c>
      <c r="C243" s="141" t="str">
        <f>IF(COUNT(ngay30!$P$31)&gt;0,ngay30!$P$31,"")</f>
        <v/>
      </c>
      <c r="D243" s="144" t="str">
        <f t="shared" si="48"/>
        <v>x</v>
      </c>
      <c r="E243" s="142">
        <f t="shared" si="49"/>
        <v>0</v>
      </c>
      <c r="F243" s="140"/>
      <c r="G243" s="141" t="str">
        <f>IF(COUNT(ngay30!$D$4)&gt;0,ngay30!$D$4,"")</f>
        <v/>
      </c>
      <c r="H243" s="140" t="str">
        <f t="shared" si="50"/>
        <v>x</v>
      </c>
      <c r="I243" s="143">
        <f t="shared" si="51"/>
        <v>0</v>
      </c>
      <c r="J243" s="141" t="str">
        <f>IF(COUNT(ngay30!$P$33)&gt;0,ngay30!$P$33,"")</f>
        <v/>
      </c>
      <c r="K243" s="144" t="str">
        <f t="shared" si="52"/>
        <v>x</v>
      </c>
      <c r="L243" s="142">
        <f t="shared" si="53"/>
        <v>0</v>
      </c>
      <c r="M243" s="140"/>
      <c r="N243" s="141" t="str">
        <f>IF(COUNT(ngay30!$D$6)&gt;0,ngay30!$D$6,"")</f>
        <v/>
      </c>
      <c r="O243" s="140" t="str">
        <f t="shared" si="54"/>
        <v>x</v>
      </c>
      <c r="P243" s="143">
        <f t="shared" si="55"/>
        <v>0</v>
      </c>
      <c r="Q243" s="141" t="str">
        <f>IF(COUNT(ngay30!$P$39)&gt;0,ngay30!$P$39,"")</f>
        <v/>
      </c>
      <c r="R243" s="144" t="str">
        <f t="shared" si="56"/>
        <v>x</v>
      </c>
      <c r="S243" s="142">
        <f t="shared" si="57"/>
        <v>0</v>
      </c>
      <c r="T243" s="140"/>
      <c r="U243" s="141" t="str">
        <f>IF(COUNT(ngay30!$D$12)&gt;0,ngay30!$D$12,"")</f>
        <v/>
      </c>
      <c r="V243" s="140" t="str">
        <f t="shared" si="58"/>
        <v>x</v>
      </c>
      <c r="W243" s="143">
        <f t="shared" si="59"/>
        <v>0</v>
      </c>
      <c r="X243" s="141" t="str">
        <f>IF(COUNT(ngay30!$P$48)&gt;0,ngay30!$P$48,"")</f>
        <v/>
      </c>
      <c r="Y243" s="144" t="str">
        <f t="shared" si="60"/>
        <v>x</v>
      </c>
      <c r="Z243" s="142">
        <f t="shared" si="61"/>
        <v>0</v>
      </c>
      <c r="AA243" s="140"/>
      <c r="AB243" s="141" t="str">
        <f>IF(COUNT(ngay30!$D$21)&gt;0,ngay30!$D$21,"")</f>
        <v/>
      </c>
      <c r="AC243" s="140" t="str">
        <f t="shared" si="62"/>
        <v>x</v>
      </c>
      <c r="AD243" s="143">
        <f t="shared" si="63"/>
        <v>0</v>
      </c>
      <c r="AE243" s="147"/>
      <c r="AF243" s="147"/>
    </row>
    <row r="244" spans="1:32">
      <c r="A244" s="41"/>
      <c r="B244" s="48">
        <v>4</v>
      </c>
      <c r="C244" s="37" t="str">
        <f>IF(COUNT(ngay30!$Q$31)&gt;0,ngay30!$Q$31,"")</f>
        <v/>
      </c>
      <c r="D244" s="137" t="str">
        <f t="shared" si="48"/>
        <v>x</v>
      </c>
      <c r="E244" s="49">
        <f t="shared" si="49"/>
        <v>0</v>
      </c>
      <c r="F244" s="34"/>
      <c r="G244" s="37" t="str">
        <f>IF(COUNT(ngay30!$E$4)&gt;0,ngay30!$E$4,"")</f>
        <v/>
      </c>
      <c r="H244" s="34" t="str">
        <f t="shared" si="50"/>
        <v>x</v>
      </c>
      <c r="I244" s="38">
        <f t="shared" si="51"/>
        <v>0</v>
      </c>
      <c r="J244" s="37" t="str">
        <f>IF(COUNT(ngay30!$Q$33)&gt;0,ngay30!$Q$33,"")</f>
        <v/>
      </c>
      <c r="K244" s="137" t="str">
        <f t="shared" si="52"/>
        <v>x</v>
      </c>
      <c r="L244" s="49">
        <f t="shared" si="53"/>
        <v>0</v>
      </c>
      <c r="M244" s="34"/>
      <c r="N244" s="37" t="str">
        <f>IF(COUNT(ngay30!$E$6)&gt;0,ngay30!$E$6,"")</f>
        <v/>
      </c>
      <c r="O244" s="34" t="str">
        <f t="shared" si="54"/>
        <v>x</v>
      </c>
      <c r="P244" s="38">
        <f t="shared" si="55"/>
        <v>0</v>
      </c>
      <c r="Q244" s="37" t="str">
        <f>IF(COUNT(ngay30!$Q$39)&gt;0,ngay30!$Q$39,"")</f>
        <v/>
      </c>
      <c r="R244" s="137" t="str">
        <f t="shared" si="56"/>
        <v>x</v>
      </c>
      <c r="S244" s="49">
        <f t="shared" si="57"/>
        <v>0</v>
      </c>
      <c r="T244" s="34"/>
      <c r="U244" s="37" t="str">
        <f>IF(COUNT(ngay30!$E$12)&gt;0,ngay30!$E$12,"")</f>
        <v/>
      </c>
      <c r="V244" s="34" t="str">
        <f t="shared" si="58"/>
        <v>x</v>
      </c>
      <c r="W244" s="38">
        <f t="shared" si="59"/>
        <v>0</v>
      </c>
      <c r="X244" s="37" t="str">
        <f>IF(COUNT(ngay30!$Q$48)&gt;0,ngay30!$Q$48,"")</f>
        <v/>
      </c>
      <c r="Y244" s="137" t="str">
        <f t="shared" si="60"/>
        <v>x</v>
      </c>
      <c r="Z244" s="49">
        <f t="shared" si="61"/>
        <v>0</v>
      </c>
      <c r="AA244" s="34"/>
      <c r="AB244" s="37" t="str">
        <f>IF(COUNT(ngay30!$E$21)&gt;0,ngay30!$E$21,"")</f>
        <v/>
      </c>
      <c r="AC244" s="34" t="str">
        <f t="shared" si="62"/>
        <v>x</v>
      </c>
      <c r="AD244" s="38">
        <f t="shared" si="63"/>
        <v>0</v>
      </c>
    </row>
    <row r="245" spans="1:32">
      <c r="A245" s="41"/>
      <c r="B245" s="139">
        <v>7</v>
      </c>
      <c r="C245" s="37" t="str">
        <f>IF(COUNT(ngay30!$R$31)&gt;0,ngay30!$R$31,"")</f>
        <v/>
      </c>
      <c r="D245" s="137" t="str">
        <f t="shared" si="48"/>
        <v>x</v>
      </c>
      <c r="E245" s="49">
        <f t="shared" si="49"/>
        <v>0</v>
      </c>
      <c r="F245" s="34"/>
      <c r="G245" s="37" t="str">
        <f>IF(COUNT(ngay30!$F$4)&gt;0,ngay30!$F$4,"")</f>
        <v/>
      </c>
      <c r="H245" s="34" t="str">
        <f t="shared" si="50"/>
        <v>x</v>
      </c>
      <c r="I245" s="38">
        <f t="shared" si="51"/>
        <v>0</v>
      </c>
      <c r="J245" s="37" t="str">
        <f>IF(COUNT(ngay30!$R$33)&gt;0,ngay30!$R$33,"")</f>
        <v/>
      </c>
      <c r="K245" s="137" t="str">
        <f t="shared" si="52"/>
        <v>x</v>
      </c>
      <c r="L245" s="49">
        <f t="shared" si="53"/>
        <v>0</v>
      </c>
      <c r="M245" s="34"/>
      <c r="N245" s="37" t="str">
        <f>IF(COUNT(ngay30!$F$6)&gt;0,ngay30!$F$6,"")</f>
        <v/>
      </c>
      <c r="O245" s="34" t="str">
        <f t="shared" si="54"/>
        <v>x</v>
      </c>
      <c r="P245" s="38">
        <f t="shared" si="55"/>
        <v>0</v>
      </c>
      <c r="Q245" s="37" t="str">
        <f>IF(COUNT(ngay30!$R$39)&gt;0,ngay30!$R$39,"")</f>
        <v/>
      </c>
      <c r="R245" s="137" t="str">
        <f t="shared" si="56"/>
        <v>x</v>
      </c>
      <c r="S245" s="49">
        <f t="shared" si="57"/>
        <v>0</v>
      </c>
      <c r="T245" s="34"/>
      <c r="U245" s="37" t="str">
        <f>IF(COUNT(ngay30!$F$12)&gt;0,ngay30!$F$12,"")</f>
        <v/>
      </c>
      <c r="V245" s="34" t="str">
        <f t="shared" si="58"/>
        <v>x</v>
      </c>
      <c r="W245" s="38">
        <f t="shared" si="59"/>
        <v>0</v>
      </c>
      <c r="X245" s="37" t="str">
        <f>IF(COUNT(ngay30!$R$48)&gt;0,ngay30!$R$48,"")</f>
        <v/>
      </c>
      <c r="Y245" s="137" t="str">
        <f t="shared" si="60"/>
        <v>x</v>
      </c>
      <c r="Z245" s="49">
        <f t="shared" si="61"/>
        <v>0</v>
      </c>
      <c r="AA245" s="34"/>
      <c r="AB245" s="37" t="str">
        <f>IF(COUNT(ngay30!$F$21)&gt;0,ngay30!$F$21,"")</f>
        <v/>
      </c>
      <c r="AC245" s="34" t="str">
        <f t="shared" si="62"/>
        <v>x</v>
      </c>
      <c r="AD245" s="38">
        <f t="shared" si="63"/>
        <v>0</v>
      </c>
    </row>
    <row r="246" spans="1:32">
      <c r="A246" s="41"/>
      <c r="B246" s="48">
        <v>10</v>
      </c>
      <c r="C246" s="37" t="str">
        <f>IF(COUNT(ngay30!$S$31)&gt;0,ngay30!$S$31,"")</f>
        <v/>
      </c>
      <c r="D246" s="137" t="str">
        <f t="shared" si="48"/>
        <v>x</v>
      </c>
      <c r="E246" s="49">
        <f t="shared" si="49"/>
        <v>0</v>
      </c>
      <c r="F246" s="34"/>
      <c r="G246" s="37" t="str">
        <f>IF(COUNT(ngay30!$G$4)&gt;0,ngay30!$G$4,"")</f>
        <v/>
      </c>
      <c r="H246" s="34" t="str">
        <f t="shared" si="50"/>
        <v>x</v>
      </c>
      <c r="I246" s="38">
        <f t="shared" si="51"/>
        <v>0</v>
      </c>
      <c r="J246" s="37" t="str">
        <f>IF(COUNT(ngay30!$S$33)&gt;0,ngay30!$S$33,"")</f>
        <v/>
      </c>
      <c r="K246" s="137" t="str">
        <f t="shared" si="52"/>
        <v>x</v>
      </c>
      <c r="L246" s="49">
        <f t="shared" si="53"/>
        <v>0</v>
      </c>
      <c r="M246" s="34"/>
      <c r="N246" s="37" t="str">
        <f>IF(COUNT(ngay30!$G$6)&gt;0,ngay30!$G$6,"")</f>
        <v/>
      </c>
      <c r="O246" s="34" t="str">
        <f t="shared" si="54"/>
        <v>x</v>
      </c>
      <c r="P246" s="38">
        <f t="shared" si="55"/>
        <v>0</v>
      </c>
      <c r="Q246" s="37" t="str">
        <f>IF(COUNT(ngay30!$S$39)&gt;0,ngay30!$S$39,"")</f>
        <v/>
      </c>
      <c r="R246" s="137" t="str">
        <f t="shared" si="56"/>
        <v>x</v>
      </c>
      <c r="S246" s="49">
        <f t="shared" si="57"/>
        <v>0</v>
      </c>
      <c r="T246" s="34"/>
      <c r="U246" s="37" t="str">
        <f>IF(COUNT(ngay30!$G$12)&gt;0,ngay30!$G$12,"")</f>
        <v/>
      </c>
      <c r="V246" s="34" t="str">
        <f t="shared" si="58"/>
        <v>x</v>
      </c>
      <c r="W246" s="38">
        <f t="shared" si="59"/>
        <v>0</v>
      </c>
      <c r="X246" s="37" t="str">
        <f>IF(COUNT(ngay30!$S$48)&gt;0,ngay30!$S$48,"")</f>
        <v/>
      </c>
      <c r="Y246" s="137" t="str">
        <f t="shared" si="60"/>
        <v>x</v>
      </c>
      <c r="Z246" s="49">
        <f t="shared" si="61"/>
        <v>0</v>
      </c>
      <c r="AA246" s="34"/>
      <c r="AB246" s="37" t="str">
        <f>IF(COUNT(ngay30!$G$21)&gt;0,ngay30!$G$21,"")</f>
        <v/>
      </c>
      <c r="AC246" s="34" t="str">
        <f t="shared" si="62"/>
        <v>x</v>
      </c>
      <c r="AD246" s="38">
        <f t="shared" si="63"/>
        <v>0</v>
      </c>
    </row>
    <row r="247" spans="1:32">
      <c r="A247" s="41"/>
      <c r="B247" s="48">
        <v>13</v>
      </c>
      <c r="C247" s="37" t="str">
        <f>IF(COUNT(ngay30!$T$31)&gt;0,ngay30!$T$31,"")</f>
        <v/>
      </c>
      <c r="D247" s="137" t="str">
        <f t="shared" si="48"/>
        <v>x</v>
      </c>
      <c r="E247" s="49">
        <f t="shared" si="49"/>
        <v>0</v>
      </c>
      <c r="F247" s="34"/>
      <c r="G247" s="37" t="str">
        <f>IF(COUNT(ngay30!$H$4)&gt;0,ngay30!$H$4,"")</f>
        <v/>
      </c>
      <c r="H247" s="34" t="str">
        <f t="shared" si="50"/>
        <v>x</v>
      </c>
      <c r="I247" s="38">
        <f t="shared" si="51"/>
        <v>0</v>
      </c>
      <c r="J247" s="37" t="str">
        <f>IF(COUNT(ngay30!$T$33)&gt;0,ngay30!$T$33,"")</f>
        <v/>
      </c>
      <c r="K247" s="137" t="str">
        <f t="shared" si="52"/>
        <v>x</v>
      </c>
      <c r="L247" s="49">
        <f t="shared" si="53"/>
        <v>0</v>
      </c>
      <c r="M247" s="34"/>
      <c r="N247" s="37" t="str">
        <f>IF(COUNT(ngay30!$H$6)&gt;0,ngay30!$H$6,"")</f>
        <v/>
      </c>
      <c r="O247" s="34" t="str">
        <f t="shared" si="54"/>
        <v>x</v>
      </c>
      <c r="P247" s="38">
        <f t="shared" si="55"/>
        <v>0</v>
      </c>
      <c r="Q247" s="37" t="str">
        <f>IF(COUNT(ngay30!$T$39)&gt;0,ngay30!$T$39,"")</f>
        <v/>
      </c>
      <c r="R247" s="137" t="str">
        <f t="shared" si="56"/>
        <v>x</v>
      </c>
      <c r="S247" s="49">
        <f t="shared" si="57"/>
        <v>0</v>
      </c>
      <c r="T247" s="34"/>
      <c r="U247" s="37" t="str">
        <f>IF(COUNT(ngay30!$H$12)&gt;0,ngay30!$H$12,"")</f>
        <v/>
      </c>
      <c r="V247" s="34" t="str">
        <f t="shared" si="58"/>
        <v>x</v>
      </c>
      <c r="W247" s="38">
        <f t="shared" si="59"/>
        <v>0</v>
      </c>
      <c r="X247" s="37" t="str">
        <f>IF(COUNT(ngay30!$T$48)&gt;0,ngay30!$T$48,"")</f>
        <v/>
      </c>
      <c r="Y247" s="137" t="str">
        <f t="shared" si="60"/>
        <v>x</v>
      </c>
      <c r="Z247" s="49">
        <f t="shared" si="61"/>
        <v>0</v>
      </c>
      <c r="AA247" s="34"/>
      <c r="AB247" s="37" t="str">
        <f>IF(COUNT(ngay30!$H$21)&gt;0,ngay30!$H$21,"")</f>
        <v/>
      </c>
      <c r="AC247" s="34" t="str">
        <f t="shared" si="62"/>
        <v>x</v>
      </c>
      <c r="AD247" s="38">
        <f t="shared" si="63"/>
        <v>0</v>
      </c>
    </row>
    <row r="248" spans="1:32">
      <c r="A248" s="41"/>
      <c r="B248" s="48">
        <v>16</v>
      </c>
      <c r="C248" s="37" t="str">
        <f>IF(COUNT(ngay30!$U$31)&gt;0,ngay30!$U$31,"")</f>
        <v/>
      </c>
      <c r="D248" s="137" t="str">
        <f t="shared" si="48"/>
        <v>x</v>
      </c>
      <c r="E248" s="49">
        <f t="shared" si="49"/>
        <v>0</v>
      </c>
      <c r="F248" s="34"/>
      <c r="G248" s="37" t="str">
        <f>IF(COUNT(ngay30!$I$4)&gt;0,ngay30!$I$4,"")</f>
        <v/>
      </c>
      <c r="H248" s="34" t="str">
        <f t="shared" si="50"/>
        <v>x</v>
      </c>
      <c r="I248" s="38">
        <f t="shared" si="51"/>
        <v>0</v>
      </c>
      <c r="J248" s="37" t="str">
        <f>IF(COUNT(ngay30!$U$33)&gt;0,ngay30!$U$33,"")</f>
        <v/>
      </c>
      <c r="K248" s="137" t="str">
        <f t="shared" si="52"/>
        <v>x</v>
      </c>
      <c r="L248" s="49">
        <f t="shared" si="53"/>
        <v>0</v>
      </c>
      <c r="M248" s="34"/>
      <c r="N248" s="37" t="str">
        <f>IF(COUNT(ngay30!$I$6)&gt;0,ngay30!$I$6,"")</f>
        <v/>
      </c>
      <c r="O248" s="34" t="str">
        <f t="shared" si="54"/>
        <v>x</v>
      </c>
      <c r="P248" s="38">
        <f t="shared" si="55"/>
        <v>0</v>
      </c>
      <c r="Q248" s="37" t="str">
        <f>IF(COUNT(ngay30!$U$39)&gt;0,ngay30!$U$39,"")</f>
        <v/>
      </c>
      <c r="R248" s="137" t="str">
        <f t="shared" si="56"/>
        <v>x</v>
      </c>
      <c r="S248" s="49">
        <f t="shared" si="57"/>
        <v>0</v>
      </c>
      <c r="T248" s="34"/>
      <c r="U248" s="37" t="str">
        <f>IF(COUNT(ngay30!$I$12)&gt;0,ngay30!$I$12,"")</f>
        <v/>
      </c>
      <c r="V248" s="34" t="str">
        <f t="shared" si="58"/>
        <v>x</v>
      </c>
      <c r="W248" s="38">
        <f t="shared" si="59"/>
        <v>0</v>
      </c>
      <c r="X248" s="37" t="str">
        <f>IF(COUNT(ngay30!$U$48)&gt;0,ngay30!$U$48,"")</f>
        <v/>
      </c>
      <c r="Y248" s="137" t="str">
        <f t="shared" si="60"/>
        <v>x</v>
      </c>
      <c r="Z248" s="49">
        <f t="shared" si="61"/>
        <v>0</v>
      </c>
      <c r="AA248" s="34"/>
      <c r="AB248" s="37" t="str">
        <f>IF(COUNT(ngay30!$I$21)&gt;0,ngay30!$I$21,"")</f>
        <v/>
      </c>
      <c r="AC248" s="34" t="str">
        <f t="shared" si="62"/>
        <v>x</v>
      </c>
      <c r="AD248" s="38">
        <f t="shared" si="63"/>
        <v>0</v>
      </c>
    </row>
    <row r="249" spans="1:32">
      <c r="A249" s="41"/>
      <c r="B249" s="48">
        <v>19</v>
      </c>
      <c r="C249" s="37" t="str">
        <f>IF(COUNT(ngay30!$V$31)&gt;0,ngay30!$V$31,"")</f>
        <v/>
      </c>
      <c r="D249" s="137" t="str">
        <f t="shared" si="48"/>
        <v>x</v>
      </c>
      <c r="E249" s="49">
        <f t="shared" si="49"/>
        <v>0</v>
      </c>
      <c r="F249" s="34"/>
      <c r="G249" s="37" t="str">
        <f>IF(COUNT(ngay30!$J$4)&gt;0,ngay30!$J$4,"")</f>
        <v/>
      </c>
      <c r="H249" s="34" t="str">
        <f t="shared" si="50"/>
        <v>x</v>
      </c>
      <c r="I249" s="38">
        <f t="shared" si="51"/>
        <v>0</v>
      </c>
      <c r="J249" s="37" t="str">
        <f>IF(COUNT(ngay30!$V$33)&gt;0,ngay30!$V$33,"")</f>
        <v/>
      </c>
      <c r="K249" s="137" t="str">
        <f t="shared" si="52"/>
        <v>x</v>
      </c>
      <c r="L249" s="49">
        <f t="shared" si="53"/>
        <v>0</v>
      </c>
      <c r="M249" s="34"/>
      <c r="N249" s="37" t="str">
        <f>IF(COUNT(ngay30!$J$6)&gt;0,ngay30!$J$6,"")</f>
        <v/>
      </c>
      <c r="O249" s="34" t="str">
        <f t="shared" si="54"/>
        <v>x</v>
      </c>
      <c r="P249" s="38">
        <f t="shared" si="55"/>
        <v>0</v>
      </c>
      <c r="Q249" s="37" t="str">
        <f>IF(COUNT(ngay30!$V$39)&gt;0,ngay30!$V$39,"")</f>
        <v/>
      </c>
      <c r="R249" s="137" t="str">
        <f t="shared" si="56"/>
        <v>x</v>
      </c>
      <c r="S249" s="49">
        <f t="shared" si="57"/>
        <v>0</v>
      </c>
      <c r="T249" s="34"/>
      <c r="U249" s="37" t="str">
        <f>IF(COUNT(ngay30!$J$12)&gt;0,ngay30!$J$12,"")</f>
        <v/>
      </c>
      <c r="V249" s="34" t="str">
        <f t="shared" si="58"/>
        <v>x</v>
      </c>
      <c r="W249" s="38">
        <f t="shared" si="59"/>
        <v>0</v>
      </c>
      <c r="X249" s="37" t="str">
        <f>IF(COUNT(ngay30!$V$48)&gt;0,ngay30!$V$48,"")</f>
        <v/>
      </c>
      <c r="Y249" s="137" t="str">
        <f t="shared" si="60"/>
        <v>x</v>
      </c>
      <c r="Z249" s="49">
        <f t="shared" si="61"/>
        <v>0</v>
      </c>
      <c r="AA249" s="34"/>
      <c r="AB249" s="37" t="str">
        <f>IF(COUNT(ngay30!$J$21)&gt;0,ngay30!$J$21,"")</f>
        <v/>
      </c>
      <c r="AC249" s="34" t="str">
        <f t="shared" si="62"/>
        <v>x</v>
      </c>
      <c r="AD249" s="38">
        <f t="shared" si="63"/>
        <v>0</v>
      </c>
    </row>
    <row r="250" spans="1:32">
      <c r="A250" s="41"/>
      <c r="B250" s="48">
        <v>22</v>
      </c>
      <c r="C250" s="37" t="str">
        <f>IF(COUNT(ngay31!$O$31)&gt;0,ngay31!$O$31,"")</f>
        <v/>
      </c>
      <c r="D250" s="137" t="str">
        <f t="shared" si="48"/>
        <v>x</v>
      </c>
      <c r="E250" s="49">
        <f t="shared" si="49"/>
        <v>0</v>
      </c>
      <c r="F250" s="34"/>
      <c r="G250" s="37" t="str">
        <f>IF(COUNT(ngay31!$C$4)&gt;0,ngay31!$C$4,"")</f>
        <v/>
      </c>
      <c r="H250" s="34" t="str">
        <f t="shared" si="50"/>
        <v>x</v>
      </c>
      <c r="I250" s="38">
        <f t="shared" si="51"/>
        <v>0</v>
      </c>
      <c r="J250" s="37" t="str">
        <f>IF(COUNT(ngay31!$O$33)&gt;0,ngay31!$O$33,"")</f>
        <v/>
      </c>
      <c r="K250" s="137" t="str">
        <f t="shared" si="52"/>
        <v>x</v>
      </c>
      <c r="L250" s="49">
        <f t="shared" si="53"/>
        <v>0</v>
      </c>
      <c r="M250" s="34"/>
      <c r="N250" s="37" t="str">
        <f>IF(COUNT(ngay31!$C$6)&gt;0,ngay31!$C$6,"")</f>
        <v/>
      </c>
      <c r="O250" s="34" t="str">
        <f t="shared" si="54"/>
        <v>x</v>
      </c>
      <c r="P250" s="38">
        <f t="shared" si="55"/>
        <v>0</v>
      </c>
      <c r="Q250" s="37" t="str">
        <f>IF(COUNT(ngay31!$O$39)&gt;0,ngay31!$O$39,"")</f>
        <v/>
      </c>
      <c r="R250" s="137" t="str">
        <f t="shared" si="56"/>
        <v>x</v>
      </c>
      <c r="S250" s="49">
        <f t="shared" si="57"/>
        <v>0</v>
      </c>
      <c r="T250" s="34"/>
      <c r="U250" s="37" t="str">
        <f>IF(COUNT(ngay31!$C$12)&gt;0,ngay31!$C$12,"")</f>
        <v/>
      </c>
      <c r="V250" s="34" t="str">
        <f t="shared" si="58"/>
        <v>x</v>
      </c>
      <c r="W250" s="38">
        <f t="shared" si="59"/>
        <v>0</v>
      </c>
      <c r="X250" s="37" t="str">
        <f>IF(COUNT(ngay31!$O$48)&gt;0,ngay31!$O$48,"")</f>
        <v/>
      </c>
      <c r="Y250" s="137" t="str">
        <f t="shared" si="60"/>
        <v>x</v>
      </c>
      <c r="Z250" s="49">
        <f t="shared" si="61"/>
        <v>0</v>
      </c>
      <c r="AA250" s="34"/>
      <c r="AB250" s="37" t="str">
        <f>IF(COUNT(ngay31!$C$21)&gt;0,ngay31!$C$21,"")</f>
        <v/>
      </c>
      <c r="AC250" s="34" t="str">
        <f t="shared" si="62"/>
        <v>x</v>
      </c>
      <c r="AD250" s="38">
        <f t="shared" si="63"/>
        <v>0</v>
      </c>
    </row>
    <row r="251" spans="1:32" s="145" customFormat="1">
      <c r="A251" s="146">
        <v>31</v>
      </c>
      <c r="B251" s="48">
        <v>1</v>
      </c>
      <c r="C251" s="141" t="str">
        <f>IF(COUNT(ngay31!$P$31)&gt;0,ngay31!$P$31,"")</f>
        <v/>
      </c>
      <c r="D251" s="144" t="str">
        <f t="shared" si="48"/>
        <v>x</v>
      </c>
      <c r="E251" s="142">
        <f t="shared" si="49"/>
        <v>0</v>
      </c>
      <c r="F251" s="140"/>
      <c r="G251" s="141" t="str">
        <f>IF(COUNT(ngay31!$D$4)&gt;0,ngay31!$D$4,"")</f>
        <v/>
      </c>
      <c r="H251" s="140" t="str">
        <f t="shared" si="50"/>
        <v>x</v>
      </c>
      <c r="I251" s="143">
        <f t="shared" si="51"/>
        <v>0</v>
      </c>
      <c r="J251" s="141" t="str">
        <f>IF(COUNT(ngay31!$P$33)&gt;0,ngay31!$P$33,"")</f>
        <v/>
      </c>
      <c r="K251" s="144" t="str">
        <f t="shared" si="52"/>
        <v>x</v>
      </c>
      <c r="L251" s="142">
        <f t="shared" si="53"/>
        <v>0</v>
      </c>
      <c r="M251" s="140"/>
      <c r="N251" s="141" t="str">
        <f>IF(COUNT(ngay31!$D$6)&gt;0,ngay31!$D$6,"")</f>
        <v/>
      </c>
      <c r="O251" s="140" t="str">
        <f t="shared" si="54"/>
        <v>x</v>
      </c>
      <c r="P251" s="143">
        <f t="shared" si="55"/>
        <v>0</v>
      </c>
      <c r="Q251" s="141" t="str">
        <f>IF(COUNT(ngay31!$P$39)&gt;0,ngay31!$P$39,"")</f>
        <v/>
      </c>
      <c r="R251" s="144" t="str">
        <f t="shared" si="56"/>
        <v>x</v>
      </c>
      <c r="S251" s="142">
        <f t="shared" si="57"/>
        <v>0</v>
      </c>
      <c r="T251" s="140"/>
      <c r="U251" s="141" t="str">
        <f>IF(COUNT(ngay31!$D$12)&gt;0,ngay31!$D$12,"")</f>
        <v/>
      </c>
      <c r="V251" s="140" t="str">
        <f t="shared" si="58"/>
        <v>x</v>
      </c>
      <c r="W251" s="143">
        <f t="shared" si="59"/>
        <v>0</v>
      </c>
      <c r="X251" s="141" t="str">
        <f>IF(COUNT(ngay31!$P$48)&gt;0,ngay31!$P$48,"")</f>
        <v/>
      </c>
      <c r="Y251" s="144" t="str">
        <f t="shared" si="60"/>
        <v>x</v>
      </c>
      <c r="Z251" s="142">
        <f t="shared" si="61"/>
        <v>0</v>
      </c>
      <c r="AA251" s="140"/>
      <c r="AB251" s="141" t="str">
        <f>IF(COUNT(ngay31!$D$21)&gt;0,ngay31!$D$21,"")</f>
        <v/>
      </c>
      <c r="AC251" s="140" t="str">
        <f t="shared" si="62"/>
        <v>x</v>
      </c>
      <c r="AD251" s="143">
        <f t="shared" si="63"/>
        <v>0</v>
      </c>
      <c r="AE251" s="147"/>
      <c r="AF251" s="147"/>
    </row>
    <row r="252" spans="1:32">
      <c r="A252" s="41"/>
      <c r="B252" s="48">
        <v>4</v>
      </c>
      <c r="C252" s="37" t="str">
        <f>IF(COUNT(ngay31!$Q$31)&gt;0,ngay31!$Q$31,"")</f>
        <v/>
      </c>
      <c r="D252" s="137" t="str">
        <f t="shared" si="48"/>
        <v>x</v>
      </c>
      <c r="E252" s="49">
        <f t="shared" si="49"/>
        <v>0</v>
      </c>
      <c r="F252" s="34"/>
      <c r="G252" s="37" t="str">
        <f>IF(COUNT(ngay31!$E$4)&gt;0,ngay31!$E$4,"")</f>
        <v/>
      </c>
      <c r="H252" s="34" t="str">
        <f t="shared" si="50"/>
        <v>x</v>
      </c>
      <c r="I252" s="38">
        <f t="shared" si="51"/>
        <v>0</v>
      </c>
      <c r="J252" s="37" t="str">
        <f>IF(COUNT(ngay31!$Q$33)&gt;0,ngay31!$Q$33,"")</f>
        <v/>
      </c>
      <c r="K252" s="137" t="str">
        <f t="shared" si="52"/>
        <v>x</v>
      </c>
      <c r="L252" s="49">
        <f t="shared" si="53"/>
        <v>0</v>
      </c>
      <c r="M252" s="34"/>
      <c r="N252" s="37" t="str">
        <f>IF(COUNT(ngay31!$E$6)&gt;0,ngay31!$E$6,"")</f>
        <v/>
      </c>
      <c r="O252" s="34" t="str">
        <f t="shared" si="54"/>
        <v>x</v>
      </c>
      <c r="P252" s="38">
        <f t="shared" si="55"/>
        <v>0</v>
      </c>
      <c r="Q252" s="37" t="str">
        <f>IF(COUNT(ngay31!$Q$39)&gt;0,ngay31!$Q$39,"")</f>
        <v/>
      </c>
      <c r="R252" s="137" t="str">
        <f t="shared" si="56"/>
        <v>x</v>
      </c>
      <c r="S252" s="49">
        <f t="shared" si="57"/>
        <v>0</v>
      </c>
      <c r="T252" s="34"/>
      <c r="U252" s="37" t="str">
        <f>IF(COUNT(ngay31!$E$12)&gt;0,ngay31!$E$12,"")</f>
        <v/>
      </c>
      <c r="V252" s="34" t="str">
        <f t="shared" si="58"/>
        <v>x</v>
      </c>
      <c r="W252" s="38">
        <f t="shared" si="59"/>
        <v>0</v>
      </c>
      <c r="X252" s="37" t="str">
        <f>IF(COUNT(ngay31!$Q$48)&gt;0,ngay31!$Q$48,"")</f>
        <v/>
      </c>
      <c r="Y252" s="137" t="str">
        <f t="shared" si="60"/>
        <v>x</v>
      </c>
      <c r="Z252" s="49">
        <f t="shared" si="61"/>
        <v>0</v>
      </c>
      <c r="AA252" s="34"/>
      <c r="AB252" s="37" t="str">
        <f>IF(COUNT(ngay31!$E$21)&gt;0,ngay31!$E$21,"")</f>
        <v/>
      </c>
      <c r="AC252" s="34" t="str">
        <f t="shared" si="62"/>
        <v>x</v>
      </c>
      <c r="AD252" s="38">
        <f t="shared" si="63"/>
        <v>0</v>
      </c>
    </row>
    <row r="253" spans="1:32">
      <c r="A253" s="41"/>
      <c r="B253" s="139">
        <v>7</v>
      </c>
      <c r="C253" s="37" t="str">
        <f>IF(COUNT(ngay31!$R$31)&gt;0,ngay31!$R$31,"")</f>
        <v/>
      </c>
      <c r="D253" s="137" t="str">
        <f t="shared" si="48"/>
        <v>x</v>
      </c>
      <c r="E253" s="49">
        <f t="shared" si="49"/>
        <v>0</v>
      </c>
      <c r="F253" s="34"/>
      <c r="G253" s="37" t="str">
        <f>IF(COUNT(ngay31!$F$4)&gt;0,ngay31!$F$4,"")</f>
        <v/>
      </c>
      <c r="H253" s="34" t="str">
        <f t="shared" si="50"/>
        <v>x</v>
      </c>
      <c r="I253" s="38">
        <f t="shared" si="51"/>
        <v>0</v>
      </c>
      <c r="J253" s="37" t="str">
        <f>IF(COUNT(ngay31!$R$33)&gt;0,ngay31!$R$33,"")</f>
        <v/>
      </c>
      <c r="K253" s="137" t="str">
        <f t="shared" si="52"/>
        <v>x</v>
      </c>
      <c r="L253" s="49">
        <f t="shared" si="53"/>
        <v>0</v>
      </c>
      <c r="M253" s="34"/>
      <c r="N253" s="37" t="str">
        <f>IF(COUNT(ngay31!$F$6)&gt;0,ngay31!$F$6,"")</f>
        <v/>
      </c>
      <c r="O253" s="34" t="str">
        <f t="shared" si="54"/>
        <v>x</v>
      </c>
      <c r="P253" s="38">
        <f t="shared" si="55"/>
        <v>0</v>
      </c>
      <c r="Q253" s="37" t="str">
        <f>IF(COUNT(ngay31!$R$39)&gt;0,ngay31!$R$39,"")</f>
        <v/>
      </c>
      <c r="R253" s="137" t="str">
        <f t="shared" si="56"/>
        <v>x</v>
      </c>
      <c r="S253" s="49">
        <f t="shared" si="57"/>
        <v>0</v>
      </c>
      <c r="T253" s="34"/>
      <c r="U253" s="37" t="str">
        <f>IF(COUNT(ngay31!$F$12)&gt;0,ngay31!$F$12,"")</f>
        <v/>
      </c>
      <c r="V253" s="34" t="str">
        <f t="shared" si="58"/>
        <v>x</v>
      </c>
      <c r="W253" s="38">
        <f t="shared" si="59"/>
        <v>0</v>
      </c>
      <c r="X253" s="37" t="str">
        <f>IF(COUNT(ngay31!$R$48)&gt;0,ngay31!$R$48,"")</f>
        <v/>
      </c>
      <c r="Y253" s="137" t="str">
        <f t="shared" si="60"/>
        <v>x</v>
      </c>
      <c r="Z253" s="49">
        <f t="shared" si="61"/>
        <v>0</v>
      </c>
      <c r="AA253" s="34"/>
      <c r="AB253" s="37" t="str">
        <f>IF(COUNT(ngay31!$F$21)&gt;0,ngay31!$F$21,"")</f>
        <v/>
      </c>
      <c r="AC253" s="34" t="str">
        <f t="shared" si="62"/>
        <v>x</v>
      </c>
      <c r="AD253" s="38">
        <f t="shared" si="63"/>
        <v>0</v>
      </c>
    </row>
    <row r="254" spans="1:32">
      <c r="A254" s="41"/>
      <c r="B254" s="48">
        <v>10</v>
      </c>
      <c r="C254" s="37" t="str">
        <f>IF(COUNT(ngay31!$S$31)&gt;0,ngay31!$S$31,"")</f>
        <v/>
      </c>
      <c r="D254" s="137" t="str">
        <f t="shared" si="48"/>
        <v>x</v>
      </c>
      <c r="E254" s="49">
        <f t="shared" si="49"/>
        <v>0</v>
      </c>
      <c r="F254" s="34"/>
      <c r="G254" s="37" t="str">
        <f>IF(COUNT(ngay31!$G$4)&gt;0,ngay31!$G$4,"")</f>
        <v/>
      </c>
      <c r="H254" s="34" t="str">
        <f t="shared" si="50"/>
        <v>x</v>
      </c>
      <c r="I254" s="38">
        <f t="shared" si="51"/>
        <v>0</v>
      </c>
      <c r="J254" s="37" t="str">
        <f>IF(COUNT(ngay31!$S$33)&gt;0,ngay31!$S$33,"")</f>
        <v/>
      </c>
      <c r="K254" s="137" t="str">
        <f t="shared" si="52"/>
        <v>x</v>
      </c>
      <c r="L254" s="49">
        <f t="shared" si="53"/>
        <v>0</v>
      </c>
      <c r="M254" s="34"/>
      <c r="N254" s="37" t="str">
        <f>IF(COUNT(ngay31!$G$6)&gt;0,ngay31!$G$6,"")</f>
        <v/>
      </c>
      <c r="O254" s="34" t="str">
        <f t="shared" si="54"/>
        <v>x</v>
      </c>
      <c r="P254" s="38">
        <f t="shared" si="55"/>
        <v>0</v>
      </c>
      <c r="Q254" s="37" t="str">
        <f>IF(COUNT(ngay31!$S$39)&gt;0,ngay31!$S$39,"")</f>
        <v/>
      </c>
      <c r="R254" s="137" t="str">
        <f t="shared" si="56"/>
        <v>x</v>
      </c>
      <c r="S254" s="49">
        <f t="shared" si="57"/>
        <v>0</v>
      </c>
      <c r="T254" s="34"/>
      <c r="U254" s="37" t="str">
        <f>IF(COUNT(ngay31!$G$12)&gt;0,ngay31!$G$12,"")</f>
        <v/>
      </c>
      <c r="V254" s="34" t="str">
        <f t="shared" si="58"/>
        <v>x</v>
      </c>
      <c r="W254" s="38">
        <f t="shared" si="59"/>
        <v>0</v>
      </c>
      <c r="X254" s="37" t="str">
        <f>IF(COUNT(ngay31!$S$48)&gt;0,ngay31!$S$48,"")</f>
        <v/>
      </c>
      <c r="Y254" s="137" t="str">
        <f t="shared" si="60"/>
        <v>x</v>
      </c>
      <c r="Z254" s="49">
        <f t="shared" si="61"/>
        <v>0</v>
      </c>
      <c r="AA254" s="34"/>
      <c r="AB254" s="37" t="str">
        <f>IF(COUNT(ngay31!$G$21)&gt;0,ngay31!$G$21,"")</f>
        <v/>
      </c>
      <c r="AC254" s="34" t="str">
        <f t="shared" si="62"/>
        <v>x</v>
      </c>
      <c r="AD254" s="38">
        <f t="shared" si="63"/>
        <v>0</v>
      </c>
    </row>
    <row r="255" spans="1:32">
      <c r="A255" s="41"/>
      <c r="B255" s="48">
        <v>13</v>
      </c>
      <c r="C255" s="37" t="str">
        <f>IF(COUNT(ngay31!$T$31)&gt;0,ngay31!$T$31,"")</f>
        <v/>
      </c>
      <c r="D255" s="137" t="str">
        <f t="shared" si="48"/>
        <v>x</v>
      </c>
      <c r="E255" s="49">
        <f t="shared" si="49"/>
        <v>0</v>
      </c>
      <c r="F255" s="34"/>
      <c r="G255" s="37" t="str">
        <f>IF(COUNT(ngay31!$H$4)&gt;0,ngay31!$H$4,"")</f>
        <v/>
      </c>
      <c r="H255" s="34" t="str">
        <f t="shared" si="50"/>
        <v>x</v>
      </c>
      <c r="I255" s="38">
        <f t="shared" si="51"/>
        <v>0</v>
      </c>
      <c r="J255" s="37" t="str">
        <f>IF(COUNT(ngay31!$T$33)&gt;0,ngay31!$T$33,"")</f>
        <v/>
      </c>
      <c r="K255" s="137" t="str">
        <f t="shared" si="52"/>
        <v>x</v>
      </c>
      <c r="L255" s="49">
        <f t="shared" si="53"/>
        <v>0</v>
      </c>
      <c r="M255" s="34"/>
      <c r="N255" s="37" t="str">
        <f>IF(COUNT(ngay31!$H$6)&gt;0,ngay31!$H$6,"")</f>
        <v/>
      </c>
      <c r="O255" s="34" t="str">
        <f t="shared" si="54"/>
        <v>x</v>
      </c>
      <c r="P255" s="38">
        <f t="shared" si="55"/>
        <v>0</v>
      </c>
      <c r="Q255" s="37" t="str">
        <f>IF(COUNT(ngay31!$T$39)&gt;0,ngay31!$T$39,"")</f>
        <v/>
      </c>
      <c r="R255" s="137" t="str">
        <f t="shared" si="56"/>
        <v>x</v>
      </c>
      <c r="S255" s="49">
        <f t="shared" si="57"/>
        <v>0</v>
      </c>
      <c r="T255" s="34"/>
      <c r="U255" s="37" t="str">
        <f>IF(COUNT(ngay31!$H$12)&gt;0,ngay31!$H$12,"")</f>
        <v/>
      </c>
      <c r="V255" s="34" t="str">
        <f t="shared" si="58"/>
        <v>x</v>
      </c>
      <c r="W255" s="38">
        <f t="shared" si="59"/>
        <v>0</v>
      </c>
      <c r="X255" s="37" t="str">
        <f>IF(COUNT(ngay31!$T$48)&gt;0,ngay31!$T$48,"")</f>
        <v/>
      </c>
      <c r="Y255" s="137" t="str">
        <f t="shared" si="60"/>
        <v>x</v>
      </c>
      <c r="Z255" s="49">
        <f t="shared" si="61"/>
        <v>0</v>
      </c>
      <c r="AA255" s="34"/>
      <c r="AB255" s="37" t="str">
        <f>IF(COUNT(ngay31!$H$21)&gt;0,ngay31!$H$21,"")</f>
        <v/>
      </c>
      <c r="AC255" s="34" t="str">
        <f t="shared" si="62"/>
        <v>x</v>
      </c>
      <c r="AD255" s="38">
        <f t="shared" si="63"/>
        <v>0</v>
      </c>
    </row>
    <row r="256" spans="1:32">
      <c r="A256" s="41"/>
      <c r="B256" s="48">
        <v>16</v>
      </c>
      <c r="C256" s="37" t="str">
        <f>IF(COUNT(ngay31!$U$31)&gt;0,ngay31!$U$31,"")</f>
        <v/>
      </c>
      <c r="D256" s="137" t="str">
        <f t="shared" si="48"/>
        <v>x</v>
      </c>
      <c r="E256" s="49">
        <f t="shared" si="49"/>
        <v>0</v>
      </c>
      <c r="F256" s="34"/>
      <c r="G256" s="37" t="str">
        <f>IF(COUNT(ngay31!$I$4)&gt;0,ngay31!$I$4,"")</f>
        <v/>
      </c>
      <c r="H256" s="34" t="str">
        <f t="shared" si="50"/>
        <v>x</v>
      </c>
      <c r="I256" s="38">
        <f t="shared" si="51"/>
        <v>0</v>
      </c>
      <c r="J256" s="37" t="str">
        <f>IF(COUNT(ngay31!$U$33)&gt;0,ngay31!$U$33,"")</f>
        <v/>
      </c>
      <c r="K256" s="137" t="str">
        <f t="shared" si="52"/>
        <v>x</v>
      </c>
      <c r="L256" s="49">
        <f t="shared" si="53"/>
        <v>0</v>
      </c>
      <c r="M256" s="34"/>
      <c r="N256" s="37" t="str">
        <f>IF(COUNT(ngay31!$I$6)&gt;0,ngay31!$I$6,"")</f>
        <v/>
      </c>
      <c r="O256" s="34" t="str">
        <f t="shared" si="54"/>
        <v>x</v>
      </c>
      <c r="P256" s="38">
        <f t="shared" si="55"/>
        <v>0</v>
      </c>
      <c r="Q256" s="37" t="str">
        <f>IF(COUNT(ngay31!$U$39)&gt;0,ngay31!$U$39,"")</f>
        <v/>
      </c>
      <c r="R256" s="137" t="str">
        <f t="shared" si="56"/>
        <v>x</v>
      </c>
      <c r="S256" s="49">
        <f t="shared" si="57"/>
        <v>0</v>
      </c>
      <c r="T256" s="34"/>
      <c r="U256" s="37" t="str">
        <f>IF(COUNT(ngay31!$I$12)&gt;0,ngay31!$I$12,"")</f>
        <v/>
      </c>
      <c r="V256" s="34" t="str">
        <f t="shared" si="58"/>
        <v>x</v>
      </c>
      <c r="W256" s="38">
        <f t="shared" si="59"/>
        <v>0</v>
      </c>
      <c r="X256" s="37" t="str">
        <f>IF(COUNT(ngay31!$U$48)&gt;0,ngay31!$U$48,"")</f>
        <v/>
      </c>
      <c r="Y256" s="137" t="str">
        <f t="shared" si="60"/>
        <v>x</v>
      </c>
      <c r="Z256" s="49">
        <f t="shared" si="61"/>
        <v>0</v>
      </c>
      <c r="AA256" s="34"/>
      <c r="AB256" s="37" t="str">
        <f>IF(COUNT(ngay31!$I$21)&gt;0,ngay31!$I$21,"")</f>
        <v/>
      </c>
      <c r="AC256" s="34" t="str">
        <f t="shared" si="62"/>
        <v>x</v>
      </c>
      <c r="AD256" s="38">
        <f t="shared" si="63"/>
        <v>0</v>
      </c>
    </row>
    <row r="257" spans="1:30">
      <c r="A257" s="41"/>
      <c r="B257" s="48">
        <v>19</v>
      </c>
      <c r="C257" s="37" t="str">
        <f>IF(COUNT(ngay31!$V$31)&gt;0,ngay31!$V$31,"")</f>
        <v/>
      </c>
      <c r="D257" s="137" t="str">
        <f t="shared" si="48"/>
        <v>x</v>
      </c>
      <c r="E257" s="49">
        <f t="shared" si="49"/>
        <v>0</v>
      </c>
      <c r="F257" s="34"/>
      <c r="G257" s="37" t="str">
        <f>IF(COUNT(ngay31!$J$4)&gt;0,ngay31!$J$4,"")</f>
        <v/>
      </c>
      <c r="H257" s="34" t="str">
        <f t="shared" si="50"/>
        <v>x</v>
      </c>
      <c r="I257" s="38">
        <f t="shared" si="51"/>
        <v>0</v>
      </c>
      <c r="J257" s="37" t="str">
        <f>IF(COUNT(ngay31!$V$33)&gt;0,ngay31!$V$33,"")</f>
        <v/>
      </c>
      <c r="K257" s="137" t="str">
        <f t="shared" si="52"/>
        <v>x</v>
      </c>
      <c r="L257" s="49">
        <f t="shared" si="53"/>
        <v>0</v>
      </c>
      <c r="M257" s="34"/>
      <c r="N257" s="37" t="str">
        <f>IF(COUNT(ngay31!$J$6)&gt;0,ngay31!$J$6,"")</f>
        <v/>
      </c>
      <c r="O257" s="34" t="str">
        <f t="shared" si="54"/>
        <v>x</v>
      </c>
      <c r="P257" s="38">
        <f t="shared" si="55"/>
        <v>0</v>
      </c>
      <c r="Q257" s="37" t="str">
        <f>IF(COUNT(ngay31!$V$39)&gt;0,ngay31!$V$39,"")</f>
        <v/>
      </c>
      <c r="R257" s="137" t="str">
        <f t="shared" si="56"/>
        <v>x</v>
      </c>
      <c r="S257" s="49">
        <f t="shared" si="57"/>
        <v>0</v>
      </c>
      <c r="T257" s="34"/>
      <c r="U257" s="37" t="str">
        <f>IF(COUNT(ngay31!$J$12)&gt;0,ngay31!$J$12,"")</f>
        <v/>
      </c>
      <c r="V257" s="34" t="str">
        <f t="shared" si="58"/>
        <v>x</v>
      </c>
      <c r="W257" s="38">
        <f t="shared" si="59"/>
        <v>0</v>
      </c>
      <c r="X257" s="37" t="str">
        <f>IF(COUNT(ngay31!$V$48)&gt;0,ngay31!$V$48,"")</f>
        <v/>
      </c>
      <c r="Y257" s="137" t="str">
        <f t="shared" si="60"/>
        <v>x</v>
      </c>
      <c r="Z257" s="49">
        <f t="shared" si="61"/>
        <v>0</v>
      </c>
      <c r="AA257" s="34"/>
      <c r="AB257" s="37" t="str">
        <f>IF(COUNT(ngay31!$J$21)&gt;0,ngay31!$J$21,"")</f>
        <v/>
      </c>
      <c r="AC257" s="34" t="str">
        <f t="shared" si="62"/>
        <v>x</v>
      </c>
      <c r="AD257" s="38">
        <f t="shared" si="63"/>
        <v>0</v>
      </c>
    </row>
    <row r="258" spans="1:30">
      <c r="A258" s="41"/>
      <c r="B258" s="48">
        <v>22</v>
      </c>
      <c r="C258" s="37"/>
      <c r="D258" s="137" t="str">
        <f t="shared" si="48"/>
        <v>x</v>
      </c>
      <c r="E258" s="49">
        <f t="shared" si="49"/>
        <v>0</v>
      </c>
      <c r="F258" s="34"/>
      <c r="G258" s="37" t="str">
        <f>IF(COUNT(ngay31!$C$4)&gt;0,ngay31!$C$4,"")</f>
        <v/>
      </c>
      <c r="H258" s="34" t="str">
        <f t="shared" si="50"/>
        <v>x</v>
      </c>
      <c r="I258" s="38">
        <f t="shared" si="51"/>
        <v>0</v>
      </c>
      <c r="J258" s="37"/>
      <c r="K258" s="137" t="str">
        <f t="shared" si="52"/>
        <v>x</v>
      </c>
      <c r="L258" s="49">
        <f t="shared" si="53"/>
        <v>0</v>
      </c>
      <c r="M258" s="34"/>
      <c r="N258" s="37" t="str">
        <f>IF(COUNT(ngay31!$C$6)&gt;0,ngay31!$C$6,"")</f>
        <v/>
      </c>
      <c r="O258" s="34" t="str">
        <f t="shared" si="54"/>
        <v>x</v>
      </c>
      <c r="P258" s="38">
        <f t="shared" si="55"/>
        <v>0</v>
      </c>
      <c r="Q258" s="37"/>
      <c r="R258" s="137" t="str">
        <f t="shared" si="56"/>
        <v>x</v>
      </c>
      <c r="S258" s="49">
        <f t="shared" si="57"/>
        <v>0</v>
      </c>
      <c r="T258" s="34"/>
      <c r="U258" s="37" t="str">
        <f>IF(COUNT(ngay31!$C$12)&gt;0,ngay31!$C$12,"")</f>
        <v/>
      </c>
      <c r="V258" s="34" t="str">
        <f t="shared" si="58"/>
        <v>x</v>
      </c>
      <c r="W258" s="38">
        <f t="shared" si="59"/>
        <v>0</v>
      </c>
      <c r="X258" s="37"/>
      <c r="Y258" s="137" t="str">
        <f t="shared" si="60"/>
        <v>x</v>
      </c>
      <c r="Z258" s="49">
        <f t="shared" si="61"/>
        <v>0</v>
      </c>
      <c r="AA258" s="34"/>
      <c r="AB258" s="37" t="str">
        <f>IF(COUNT(ngay31!$C$21)&gt;0,ngay31!$C$21,"")</f>
        <v/>
      </c>
      <c r="AC258" s="34" t="str">
        <f t="shared" si="62"/>
        <v>x</v>
      </c>
      <c r="AD258" s="38">
        <f t="shared" si="63"/>
        <v>0</v>
      </c>
    </row>
    <row r="259" spans="1:30">
      <c r="B259" s="48"/>
    </row>
    <row r="260" spans="1:30">
      <c r="B260" s="48"/>
    </row>
  </sheetData>
  <mergeCells count="2">
    <mergeCell ref="Q1:W1"/>
    <mergeCell ref="X1:AD1"/>
  </mergeCells>
  <phoneticPr fontId="0" type="noConversion"/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W132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Q1" sqref="Q1"/>
    </sheetView>
  </sheetViews>
  <sheetFormatPr defaultColWidth="6" defaultRowHeight="11.25"/>
  <cols>
    <col min="1" max="1" width="7.5" style="2" customWidth="1"/>
    <col min="2" max="2" width="6" style="2"/>
    <col min="3" max="3" width="7" style="2" customWidth="1"/>
    <col min="4" max="5" width="6" style="2"/>
    <col min="6" max="6" width="3.5" style="2" customWidth="1"/>
    <col min="7" max="9" width="6" style="2"/>
    <col min="10" max="10" width="7" style="2" customWidth="1"/>
    <col min="11" max="12" width="6" style="2"/>
    <col min="13" max="13" width="3.5" style="2" customWidth="1"/>
    <col min="14" max="16" width="6" style="2"/>
    <col min="17" max="17" width="7.5" style="2" customWidth="1"/>
    <col min="18" max="19" width="6" style="2"/>
    <col min="20" max="20" width="2.83203125" style="2" customWidth="1"/>
    <col min="21" max="16384" width="6" style="2"/>
  </cols>
  <sheetData>
    <row r="1" spans="1:23" ht="14.25" customHeight="1" thickBot="1">
      <c r="C1" s="132" t="s">
        <v>166</v>
      </c>
      <c r="D1" s="133"/>
      <c r="E1" s="134"/>
      <c r="F1" s="134"/>
      <c r="G1" s="134"/>
      <c r="H1" s="134"/>
      <c r="I1" s="135"/>
      <c r="J1" s="132">
        <v>1</v>
      </c>
      <c r="K1" s="133"/>
      <c r="L1" s="134"/>
      <c r="M1" s="134"/>
      <c r="N1" s="134"/>
      <c r="O1" s="134"/>
      <c r="P1" s="135"/>
      <c r="Q1" s="132">
        <v>4</v>
      </c>
      <c r="R1" s="133"/>
      <c r="S1" s="134"/>
      <c r="T1" s="134"/>
      <c r="U1" s="134"/>
      <c r="V1" s="134"/>
      <c r="W1" s="135"/>
    </row>
    <row r="2" spans="1:23">
      <c r="A2" s="42" t="s">
        <v>32</v>
      </c>
      <c r="B2" s="47" t="s">
        <v>33</v>
      </c>
      <c r="C2" s="45" t="s">
        <v>35</v>
      </c>
      <c r="D2" s="136" t="s">
        <v>36</v>
      </c>
      <c r="E2" s="50" t="s">
        <v>34</v>
      </c>
      <c r="F2" s="43"/>
      <c r="G2" s="44" t="s">
        <v>37</v>
      </c>
      <c r="H2" s="44" t="s">
        <v>38</v>
      </c>
      <c r="I2" s="46" t="s">
        <v>39</v>
      </c>
      <c r="J2" s="45" t="s">
        <v>35</v>
      </c>
      <c r="K2" s="136" t="s">
        <v>36</v>
      </c>
      <c r="L2" s="50" t="s">
        <v>34</v>
      </c>
      <c r="M2" s="43"/>
      <c r="N2" s="44" t="s">
        <v>37</v>
      </c>
      <c r="O2" s="44" t="s">
        <v>38</v>
      </c>
      <c r="P2" s="46" t="s">
        <v>39</v>
      </c>
      <c r="Q2" s="45" t="s">
        <v>35</v>
      </c>
      <c r="R2" s="136" t="s">
        <v>36</v>
      </c>
      <c r="S2" s="50" t="s">
        <v>34</v>
      </c>
      <c r="T2" s="43"/>
      <c r="U2" s="44" t="s">
        <v>37</v>
      </c>
      <c r="V2" s="44" t="s">
        <v>38</v>
      </c>
      <c r="W2" s="46" t="s">
        <v>39</v>
      </c>
    </row>
    <row r="3" spans="1:23">
      <c r="A3" s="52">
        <v>31</v>
      </c>
      <c r="B3" s="48">
        <v>1</v>
      </c>
      <c r="C3" s="35"/>
      <c r="D3" s="137"/>
      <c r="E3" s="49">
        <v>0</v>
      </c>
      <c r="F3" s="36"/>
      <c r="G3" s="37"/>
      <c r="H3" s="34"/>
      <c r="I3" s="38">
        <v>0</v>
      </c>
      <c r="J3" s="35"/>
      <c r="K3" s="137"/>
      <c r="L3" s="49">
        <v>0</v>
      </c>
      <c r="M3" s="36"/>
      <c r="N3" s="37"/>
      <c r="O3" s="34"/>
      <c r="P3" s="38">
        <v>0</v>
      </c>
      <c r="Q3" s="35"/>
      <c r="R3" s="137"/>
      <c r="S3" s="49">
        <v>0</v>
      </c>
      <c r="T3" s="36"/>
      <c r="U3" s="37"/>
      <c r="V3" s="34"/>
      <c r="W3" s="38">
        <v>0</v>
      </c>
    </row>
    <row r="4" spans="1:23">
      <c r="A4" s="39"/>
      <c r="B4" s="48">
        <v>7</v>
      </c>
      <c r="C4" s="35"/>
      <c r="D4" s="137"/>
      <c r="E4" s="49"/>
      <c r="F4" s="36"/>
      <c r="G4" s="37"/>
      <c r="H4" s="34"/>
      <c r="I4" s="38"/>
      <c r="J4" s="35"/>
      <c r="K4" s="137"/>
      <c r="L4" s="49"/>
      <c r="M4" s="36"/>
      <c r="N4" s="37"/>
      <c r="O4" s="34"/>
      <c r="P4" s="38"/>
      <c r="Q4" s="35"/>
      <c r="R4" s="137"/>
      <c r="S4" s="49"/>
      <c r="T4" s="36"/>
      <c r="U4" s="37"/>
      <c r="V4" s="34"/>
      <c r="W4" s="38"/>
    </row>
    <row r="5" spans="1:23">
      <c r="A5" s="39"/>
      <c r="B5" s="48">
        <v>13</v>
      </c>
      <c r="C5" s="35"/>
      <c r="D5" s="137"/>
      <c r="E5" s="49"/>
      <c r="F5" s="36"/>
      <c r="G5" s="37"/>
      <c r="H5" s="34"/>
      <c r="I5" s="38"/>
      <c r="J5" s="35"/>
      <c r="K5" s="137"/>
      <c r="L5" s="49"/>
      <c r="M5" s="36"/>
      <c r="N5" s="37"/>
      <c r="O5" s="34"/>
      <c r="P5" s="38"/>
      <c r="Q5" s="35"/>
      <c r="R5" s="137"/>
      <c r="S5" s="49"/>
      <c r="T5" s="36"/>
      <c r="U5" s="37"/>
      <c r="V5" s="34"/>
      <c r="W5" s="38"/>
    </row>
    <row r="6" spans="1:23">
      <c r="A6" s="39"/>
      <c r="B6" s="48">
        <v>19</v>
      </c>
      <c r="C6" s="35"/>
      <c r="D6" s="137"/>
      <c r="E6" s="49"/>
      <c r="F6" s="36"/>
      <c r="G6" s="37"/>
      <c r="H6" s="34"/>
      <c r="I6" s="38"/>
      <c r="J6" s="35"/>
      <c r="K6" s="137"/>
      <c r="L6" s="49"/>
      <c r="M6" s="36"/>
      <c r="N6" s="37"/>
      <c r="O6" s="34"/>
      <c r="P6" s="38"/>
      <c r="Q6" s="35"/>
      <c r="R6" s="137"/>
      <c r="S6" s="49"/>
      <c r="T6" s="36"/>
      <c r="U6" s="37"/>
      <c r="V6" s="34"/>
      <c r="W6" s="38"/>
    </row>
    <row r="7" spans="1:23" s="145" customFormat="1">
      <c r="A7" s="138">
        <v>1</v>
      </c>
      <c r="B7" s="48">
        <v>1</v>
      </c>
      <c r="C7" s="141" t="str">
        <f>IF(COUNT(ngay01!$C$59)&gt;0,ngay01!$C$59,"")</f>
        <v/>
      </c>
      <c r="D7" s="144" t="str">
        <f t="shared" ref="D7:D38" si="0">IF(COUNT(C3,C7)=2,C7-C3,"x")</f>
        <v>x</v>
      </c>
      <c r="E7" s="142">
        <f t="shared" ref="E7:E22" si="1">IF(COUNT(D7,E6)=2,D7+E6,E6)</f>
        <v>0</v>
      </c>
      <c r="F7" s="140"/>
      <c r="G7" s="141" t="str">
        <f>IF(COUNT(ngay01!$D$12)&gt;0,ngay01!$D$12,"")</f>
        <v/>
      </c>
      <c r="H7" s="140" t="str">
        <f t="shared" ref="H7:H38" si="2">IF(COUNT(G3,G7)=2,G7-G3,"x")</f>
        <v>x</v>
      </c>
      <c r="I7" s="142">
        <f t="shared" ref="I7:I22" si="3">IF(COUNT(H7,I6)=2,H7+I6,I6)</f>
        <v>0</v>
      </c>
      <c r="J7" s="141" t="str">
        <f>IF(COUNT(ngay01!$C$55)&gt;0,ngay01!$C$55,"")</f>
        <v/>
      </c>
      <c r="K7" s="144" t="str">
        <f t="shared" ref="K7:K38" si="4">IF(COUNT(J3,J7)=2,J7-J3,"x")</f>
        <v>x</v>
      </c>
      <c r="L7" s="142">
        <f t="shared" ref="L7:L22" si="5">IF(COUNT(K7,L6)=2,K7+L6,L6)</f>
        <v>0</v>
      </c>
      <c r="M7" s="140"/>
      <c r="N7" s="141" t="str">
        <f>IF(COUNT(ngay01!$D$4)&gt;0,ngay01!$D$4,"")</f>
        <v/>
      </c>
      <c r="O7" s="140" t="str">
        <f t="shared" ref="O7:O38" si="6">IF(COUNT(N3,N7)=2,N7-N3,"x")</f>
        <v>x</v>
      </c>
      <c r="P7" s="142">
        <f t="shared" ref="P7:P22" si="7">IF(COUNT(O7,P6)=2,O7+P6,P6)</f>
        <v>0</v>
      </c>
      <c r="Q7" s="141" t="str">
        <f>IF(COUNT(ngay01!$C$58)&gt;0,ngay01!$C$58,"")</f>
        <v/>
      </c>
      <c r="R7" s="144" t="str">
        <f t="shared" ref="R7:R38" si="8">IF(COUNT(Q3,Q7)=2,Q7-Q3,"x")</f>
        <v>x</v>
      </c>
      <c r="S7" s="142">
        <f t="shared" ref="S7:S22" si="9">IF(COUNT(R7,S6)=2,R7+S6,S6)</f>
        <v>0</v>
      </c>
      <c r="T7" s="140"/>
      <c r="U7" s="141" t="str">
        <f>IF(COUNT(ngay01!$D$15)&gt;0,ngay01!$D$15,"")</f>
        <v/>
      </c>
      <c r="V7" s="140" t="str">
        <f t="shared" ref="V7:V38" si="10">IF(COUNT(U3,U7)=2,U7-U3,"x")</f>
        <v>x</v>
      </c>
      <c r="W7" s="142">
        <f t="shared" ref="W7:W22" si="11">IF(COUNT(V7,W6)=2,V7+W6,W6)</f>
        <v>0</v>
      </c>
    </row>
    <row r="8" spans="1:23">
      <c r="A8" s="40"/>
      <c r="B8" s="139">
        <v>7</v>
      </c>
      <c r="C8" s="37" t="str">
        <f>IF(COUNT(ngay01!$E$59)&gt;0,ngay01!$E$59,"")</f>
        <v/>
      </c>
      <c r="D8" s="137" t="str">
        <f t="shared" si="0"/>
        <v>x</v>
      </c>
      <c r="E8" s="142">
        <f t="shared" si="1"/>
        <v>0</v>
      </c>
      <c r="F8" s="34"/>
      <c r="G8" s="37" t="str">
        <f>IF(COUNT(ngay01!$F$12)&gt;0,ngay01!$F$12,"")</f>
        <v/>
      </c>
      <c r="H8" s="34" t="str">
        <f t="shared" si="2"/>
        <v>x</v>
      </c>
      <c r="I8" s="142">
        <f t="shared" si="3"/>
        <v>0</v>
      </c>
      <c r="J8" s="37" t="str">
        <f>IF(COUNT(ngay01!$E$55)&gt;0,ngay01!$E$55,"")</f>
        <v/>
      </c>
      <c r="K8" s="137" t="str">
        <f t="shared" si="4"/>
        <v>x</v>
      </c>
      <c r="L8" s="142">
        <f t="shared" si="5"/>
        <v>0</v>
      </c>
      <c r="M8" s="34"/>
      <c r="N8" s="37" t="str">
        <f>IF(COUNT(ngay01!$F$4)&gt;0,ngay01!$F$4,"")</f>
        <v/>
      </c>
      <c r="O8" s="34" t="str">
        <f t="shared" si="6"/>
        <v>x</v>
      </c>
      <c r="P8" s="142">
        <f t="shared" si="7"/>
        <v>0</v>
      </c>
      <c r="Q8" s="37" t="str">
        <f>IF(COUNT(ngay01!$E$58)&gt;0,ngay01!$E$58,"")</f>
        <v/>
      </c>
      <c r="R8" s="137" t="str">
        <f t="shared" si="8"/>
        <v>x</v>
      </c>
      <c r="S8" s="142">
        <f t="shared" si="9"/>
        <v>0</v>
      </c>
      <c r="T8" s="34"/>
      <c r="U8" s="37" t="str">
        <f>IF(COUNT(ngay01!$F$15)&gt;0,ngay01!$F$15,"")</f>
        <v/>
      </c>
      <c r="V8" s="34" t="str">
        <f t="shared" si="10"/>
        <v>x</v>
      </c>
      <c r="W8" s="142">
        <f t="shared" si="11"/>
        <v>0</v>
      </c>
    </row>
    <row r="9" spans="1:23">
      <c r="A9" s="40"/>
      <c r="B9" s="48">
        <v>13</v>
      </c>
      <c r="C9" s="37" t="str">
        <f>IF(COUNT(ngay01!$G$59)&gt;0,ngay01!$G$59,"")</f>
        <v/>
      </c>
      <c r="D9" s="137" t="str">
        <f t="shared" si="0"/>
        <v>x</v>
      </c>
      <c r="E9" s="142">
        <f t="shared" si="1"/>
        <v>0</v>
      </c>
      <c r="F9" s="34"/>
      <c r="G9" s="37" t="str">
        <f>IF(COUNT(ngay01!$H$12)&gt;0,ngay01!$H$12,"")</f>
        <v/>
      </c>
      <c r="H9" s="34" t="str">
        <f t="shared" si="2"/>
        <v>x</v>
      </c>
      <c r="I9" s="142">
        <f t="shared" si="3"/>
        <v>0</v>
      </c>
      <c r="J9" s="37" t="str">
        <f>IF(COUNT(ngay01!$G$55)&gt;0,ngay01!$G$55,"")</f>
        <v/>
      </c>
      <c r="K9" s="137" t="str">
        <f t="shared" si="4"/>
        <v>x</v>
      </c>
      <c r="L9" s="142">
        <f t="shared" si="5"/>
        <v>0</v>
      </c>
      <c r="M9" s="34"/>
      <c r="N9" s="37" t="str">
        <f>IF(COUNT(ngay01!$H$4)&gt;0,ngay01!$H$4,"")</f>
        <v/>
      </c>
      <c r="O9" s="34" t="str">
        <f t="shared" si="6"/>
        <v>x</v>
      </c>
      <c r="P9" s="142">
        <f t="shared" si="7"/>
        <v>0</v>
      </c>
      <c r="Q9" s="37" t="str">
        <f>IF(COUNT(ngay01!$G$58)&gt;0,ngay01!$G$58,"")</f>
        <v/>
      </c>
      <c r="R9" s="137" t="str">
        <f t="shared" si="8"/>
        <v>x</v>
      </c>
      <c r="S9" s="142">
        <f t="shared" si="9"/>
        <v>0</v>
      </c>
      <c r="T9" s="34"/>
      <c r="U9" s="37" t="str">
        <f>IF(COUNT(ngay01!$H$15)&gt;0,ngay01!$H$15,"")</f>
        <v/>
      </c>
      <c r="V9" s="34" t="str">
        <f t="shared" si="10"/>
        <v>x</v>
      </c>
      <c r="W9" s="142">
        <f t="shared" si="11"/>
        <v>0</v>
      </c>
    </row>
    <row r="10" spans="1:23">
      <c r="A10" s="40"/>
      <c r="B10" s="48">
        <v>19</v>
      </c>
      <c r="C10" s="37" t="str">
        <f>IF(COUNT(ngay01!$I$59)&gt;0,ngay01!$I$59,"")</f>
        <v/>
      </c>
      <c r="D10" s="137" t="str">
        <f t="shared" si="0"/>
        <v>x</v>
      </c>
      <c r="E10" s="142">
        <f t="shared" si="1"/>
        <v>0</v>
      </c>
      <c r="F10" s="34"/>
      <c r="G10" s="37" t="str">
        <f>IF(COUNT(ngay01!$J$12)&gt;0,ngay01!$J$12,"")</f>
        <v/>
      </c>
      <c r="H10" s="34" t="str">
        <f t="shared" si="2"/>
        <v>x</v>
      </c>
      <c r="I10" s="142">
        <f t="shared" si="3"/>
        <v>0</v>
      </c>
      <c r="J10" s="37" t="str">
        <f>IF(COUNT(ngay01!$I$55)&gt;0,ngay01!$I$55,"")</f>
        <v/>
      </c>
      <c r="K10" s="137" t="str">
        <f t="shared" si="4"/>
        <v>x</v>
      </c>
      <c r="L10" s="142">
        <f t="shared" si="5"/>
        <v>0</v>
      </c>
      <c r="M10" s="34"/>
      <c r="N10" s="37" t="str">
        <f>IF(COUNT(ngay01!$J$4)&gt;0,ngay01!$J$4,"")</f>
        <v/>
      </c>
      <c r="O10" s="34" t="str">
        <f t="shared" si="6"/>
        <v>x</v>
      </c>
      <c r="P10" s="142">
        <f t="shared" si="7"/>
        <v>0</v>
      </c>
      <c r="Q10" s="37" t="str">
        <f>IF(COUNT(ngay01!$I$58)&gt;0,ngay01!$I$58,"")</f>
        <v/>
      </c>
      <c r="R10" s="137" t="str">
        <f t="shared" si="8"/>
        <v>x</v>
      </c>
      <c r="S10" s="142">
        <f t="shared" si="9"/>
        <v>0</v>
      </c>
      <c r="T10" s="34"/>
      <c r="U10" s="37" t="str">
        <f>IF(COUNT(ngay01!$J$15)&gt;0,ngay01!$J$15,"")</f>
        <v/>
      </c>
      <c r="V10" s="34" t="str">
        <f t="shared" si="10"/>
        <v>x</v>
      </c>
      <c r="W10" s="142">
        <f t="shared" si="11"/>
        <v>0</v>
      </c>
    </row>
    <row r="11" spans="1:23" s="145" customFormat="1">
      <c r="A11" s="138">
        <v>2</v>
      </c>
      <c r="B11" s="48">
        <v>1</v>
      </c>
      <c r="C11" s="141" t="str">
        <f>IF(COUNT(ngay02!$C$59)&gt;0,ngay02!$C$59,"")</f>
        <v/>
      </c>
      <c r="D11" s="144" t="str">
        <f t="shared" si="0"/>
        <v>x</v>
      </c>
      <c r="E11" s="142">
        <f t="shared" si="1"/>
        <v>0</v>
      </c>
      <c r="F11" s="140"/>
      <c r="G11" s="141" t="str">
        <f>IF(COUNT(ngay02!$D$12)&gt;0,ngay02!$D$12,"")</f>
        <v/>
      </c>
      <c r="H11" s="140" t="str">
        <f t="shared" si="2"/>
        <v>x</v>
      </c>
      <c r="I11" s="142">
        <f t="shared" si="3"/>
        <v>0</v>
      </c>
      <c r="J11" s="141" t="str">
        <f>IF(COUNT(ngay02!$C$55)&gt;0,ngay02!$C$55,"")</f>
        <v/>
      </c>
      <c r="K11" s="144" t="str">
        <f t="shared" si="4"/>
        <v>x</v>
      </c>
      <c r="L11" s="142">
        <f t="shared" si="5"/>
        <v>0</v>
      </c>
      <c r="M11" s="140"/>
      <c r="N11" s="141" t="str">
        <f>IF(COUNT(ngay02!$D$4)&gt;0,ngay02!$D$4,"")</f>
        <v/>
      </c>
      <c r="O11" s="140" t="str">
        <f t="shared" si="6"/>
        <v>x</v>
      </c>
      <c r="P11" s="142">
        <f t="shared" si="7"/>
        <v>0</v>
      </c>
      <c r="Q11" s="141" t="str">
        <f>IF(COUNT(ngay02!$C$58)&gt;0,ngay02!$C$58,"")</f>
        <v/>
      </c>
      <c r="R11" s="144" t="str">
        <f t="shared" si="8"/>
        <v>x</v>
      </c>
      <c r="S11" s="142">
        <f t="shared" si="9"/>
        <v>0</v>
      </c>
      <c r="T11" s="140"/>
      <c r="U11" s="141" t="str">
        <f>IF(COUNT(ngay02!$D$15)&gt;0,ngay02!$D$15,"")</f>
        <v/>
      </c>
      <c r="V11" s="140" t="str">
        <f t="shared" si="10"/>
        <v>x</v>
      </c>
      <c r="W11" s="142">
        <f t="shared" si="11"/>
        <v>0</v>
      </c>
    </row>
    <row r="12" spans="1:23">
      <c r="A12" s="41"/>
      <c r="B12" s="139">
        <v>7</v>
      </c>
      <c r="C12" s="37" t="str">
        <f>IF(COUNT(ngay02!$E$59)&gt;0,ngay02!$E$59,"")</f>
        <v/>
      </c>
      <c r="D12" s="137" t="str">
        <f t="shared" si="0"/>
        <v>x</v>
      </c>
      <c r="E12" s="142">
        <f t="shared" si="1"/>
        <v>0</v>
      </c>
      <c r="F12" s="34"/>
      <c r="G12" s="37" t="str">
        <f>IF(COUNT(ngay02!$F$12)&gt;0,ngay02!$F$12,"")</f>
        <v/>
      </c>
      <c r="H12" s="34" t="str">
        <f t="shared" si="2"/>
        <v>x</v>
      </c>
      <c r="I12" s="142">
        <f t="shared" si="3"/>
        <v>0</v>
      </c>
      <c r="J12" s="37" t="str">
        <f>IF(COUNT(ngay02!$E$55)&gt;0,ngay02!$E$55,"")</f>
        <v/>
      </c>
      <c r="K12" s="137" t="str">
        <f t="shared" si="4"/>
        <v>x</v>
      </c>
      <c r="L12" s="142">
        <f t="shared" si="5"/>
        <v>0</v>
      </c>
      <c r="M12" s="34"/>
      <c r="N12" s="37" t="str">
        <f>IF(COUNT(ngay02!$F$4)&gt;0,ngay02!$F$4,"")</f>
        <v/>
      </c>
      <c r="O12" s="34" t="str">
        <f t="shared" si="6"/>
        <v>x</v>
      </c>
      <c r="P12" s="142">
        <f t="shared" si="7"/>
        <v>0</v>
      </c>
      <c r="Q12" s="37" t="str">
        <f>IF(COUNT(ngay02!$E$58)&gt;0,ngay02!$E$58,"")</f>
        <v/>
      </c>
      <c r="R12" s="137" t="str">
        <f t="shared" si="8"/>
        <v>x</v>
      </c>
      <c r="S12" s="142">
        <f t="shared" si="9"/>
        <v>0</v>
      </c>
      <c r="T12" s="34"/>
      <c r="U12" s="37" t="str">
        <f>IF(COUNT(ngay02!$F$15)&gt;0,ngay02!$F$15,"")</f>
        <v/>
      </c>
      <c r="V12" s="34" t="str">
        <f t="shared" si="10"/>
        <v>x</v>
      </c>
      <c r="W12" s="142">
        <f t="shared" si="11"/>
        <v>0</v>
      </c>
    </row>
    <row r="13" spans="1:23">
      <c r="A13" s="41"/>
      <c r="B13" s="48">
        <v>13</v>
      </c>
      <c r="C13" s="37" t="str">
        <f>IF(COUNT(ngay02!$G$59)&gt;0,ngay02!$G$59,"")</f>
        <v/>
      </c>
      <c r="D13" s="137" t="str">
        <f t="shared" si="0"/>
        <v>x</v>
      </c>
      <c r="E13" s="142">
        <f t="shared" si="1"/>
        <v>0</v>
      </c>
      <c r="F13" s="34"/>
      <c r="G13" s="37" t="str">
        <f>IF(COUNT(ngay02!$H$12)&gt;0,ngay02!$H$12,"")</f>
        <v/>
      </c>
      <c r="H13" s="34" t="str">
        <f t="shared" si="2"/>
        <v>x</v>
      </c>
      <c r="I13" s="142">
        <f t="shared" si="3"/>
        <v>0</v>
      </c>
      <c r="J13" s="37" t="str">
        <f>IF(COUNT(ngay02!$G$55)&gt;0,ngay02!$G$55,"")</f>
        <v/>
      </c>
      <c r="K13" s="137" t="str">
        <f t="shared" si="4"/>
        <v>x</v>
      </c>
      <c r="L13" s="142">
        <f t="shared" si="5"/>
        <v>0</v>
      </c>
      <c r="M13" s="34"/>
      <c r="N13" s="37" t="str">
        <f>IF(COUNT(ngay02!$H$4)&gt;0,ngay02!$H$4,"")</f>
        <v/>
      </c>
      <c r="O13" s="34" t="str">
        <f t="shared" si="6"/>
        <v>x</v>
      </c>
      <c r="P13" s="142">
        <f t="shared" si="7"/>
        <v>0</v>
      </c>
      <c r="Q13" s="37" t="str">
        <f>IF(COUNT(ngay02!$G$58)&gt;0,ngay02!$G$58,"")</f>
        <v/>
      </c>
      <c r="R13" s="137" t="str">
        <f t="shared" si="8"/>
        <v>x</v>
      </c>
      <c r="S13" s="142">
        <f t="shared" si="9"/>
        <v>0</v>
      </c>
      <c r="T13" s="34"/>
      <c r="U13" s="37" t="str">
        <f>IF(COUNT(ngay02!$H$15)&gt;0,ngay02!$H$15,"")</f>
        <v/>
      </c>
      <c r="V13" s="34" t="str">
        <f t="shared" si="10"/>
        <v>x</v>
      </c>
      <c r="W13" s="142">
        <f t="shared" si="11"/>
        <v>0</v>
      </c>
    </row>
    <row r="14" spans="1:23">
      <c r="A14" s="41"/>
      <c r="B14" s="48">
        <v>19</v>
      </c>
      <c r="C14" s="37" t="str">
        <f>IF(COUNT(ngay02!$I$59)&gt;0,ngay02!$I$59,"")</f>
        <v/>
      </c>
      <c r="D14" s="137" t="str">
        <f t="shared" si="0"/>
        <v>x</v>
      </c>
      <c r="E14" s="142">
        <f t="shared" si="1"/>
        <v>0</v>
      </c>
      <c r="F14" s="34"/>
      <c r="G14" s="37" t="str">
        <f>IF(COUNT(ngay02!$J$12)&gt;0,ngay02!$J$12,"")</f>
        <v/>
      </c>
      <c r="H14" s="34" t="str">
        <f t="shared" si="2"/>
        <v>x</v>
      </c>
      <c r="I14" s="142">
        <f t="shared" si="3"/>
        <v>0</v>
      </c>
      <c r="J14" s="37" t="str">
        <f>IF(COUNT(ngay02!$I$55)&gt;0,ngay02!$I$55,"")</f>
        <v/>
      </c>
      <c r="K14" s="137" t="str">
        <f t="shared" si="4"/>
        <v>x</v>
      </c>
      <c r="L14" s="142">
        <f t="shared" si="5"/>
        <v>0</v>
      </c>
      <c r="M14" s="34"/>
      <c r="N14" s="37" t="str">
        <f>IF(COUNT(ngay02!$J$4)&gt;0,ngay02!$J$4,"")</f>
        <v/>
      </c>
      <c r="O14" s="34" t="str">
        <f t="shared" si="6"/>
        <v>x</v>
      </c>
      <c r="P14" s="142">
        <f t="shared" si="7"/>
        <v>0</v>
      </c>
      <c r="Q14" s="37" t="str">
        <f>IF(COUNT(ngay02!$I$58)&gt;0,ngay02!$I$58,"")</f>
        <v/>
      </c>
      <c r="R14" s="137" t="str">
        <f t="shared" si="8"/>
        <v>x</v>
      </c>
      <c r="S14" s="142">
        <f t="shared" si="9"/>
        <v>0</v>
      </c>
      <c r="T14" s="34"/>
      <c r="U14" s="37" t="str">
        <f>IF(COUNT(ngay02!$J$15)&gt;0,ngay02!$J$15,"")</f>
        <v/>
      </c>
      <c r="V14" s="34" t="str">
        <f t="shared" si="10"/>
        <v>x</v>
      </c>
      <c r="W14" s="142">
        <f t="shared" si="11"/>
        <v>0</v>
      </c>
    </row>
    <row r="15" spans="1:23" s="145" customFormat="1">
      <c r="A15" s="146">
        <v>3</v>
      </c>
      <c r="B15" s="48">
        <v>1</v>
      </c>
      <c r="C15" s="141" t="str">
        <f>IF(COUNT(ngay03!$C$59)&gt;0,ngay03!$C$59,"")</f>
        <v/>
      </c>
      <c r="D15" s="144" t="str">
        <f t="shared" si="0"/>
        <v>x</v>
      </c>
      <c r="E15" s="142">
        <f t="shared" si="1"/>
        <v>0</v>
      </c>
      <c r="F15" s="140"/>
      <c r="G15" s="141" t="str">
        <f>IF(COUNT(ngay03!$D$12)&gt;0,ngay03!$D$12,"")</f>
        <v/>
      </c>
      <c r="H15" s="140" t="str">
        <f t="shared" si="2"/>
        <v>x</v>
      </c>
      <c r="I15" s="142">
        <f t="shared" si="3"/>
        <v>0</v>
      </c>
      <c r="J15" s="141" t="str">
        <f>IF(COUNT(ngay03!$C$55)&gt;0,ngay03!$C$55,"")</f>
        <v/>
      </c>
      <c r="K15" s="144" t="str">
        <f t="shared" si="4"/>
        <v>x</v>
      </c>
      <c r="L15" s="142">
        <f t="shared" si="5"/>
        <v>0</v>
      </c>
      <c r="M15" s="140"/>
      <c r="N15" s="141" t="str">
        <f>IF(COUNT(ngay03!$D$4)&gt;0,ngay03!$D$4,"")</f>
        <v/>
      </c>
      <c r="O15" s="140" t="str">
        <f t="shared" si="6"/>
        <v>x</v>
      </c>
      <c r="P15" s="142">
        <f t="shared" si="7"/>
        <v>0</v>
      </c>
      <c r="Q15" s="141" t="str">
        <f>IF(COUNT(ngay03!$C$58)&gt;0,ngay03!$C$58,"")</f>
        <v/>
      </c>
      <c r="R15" s="144" t="str">
        <f t="shared" si="8"/>
        <v>x</v>
      </c>
      <c r="S15" s="142">
        <f t="shared" si="9"/>
        <v>0</v>
      </c>
      <c r="T15" s="140"/>
      <c r="U15" s="141" t="str">
        <f>IF(COUNT(ngay03!$D$15)&gt;0,ngay03!$D$15,"")</f>
        <v/>
      </c>
      <c r="V15" s="140" t="str">
        <f t="shared" si="10"/>
        <v>x</v>
      </c>
      <c r="W15" s="142">
        <f t="shared" si="11"/>
        <v>0</v>
      </c>
    </row>
    <row r="16" spans="1:23">
      <c r="A16" s="41"/>
      <c r="B16" s="139">
        <v>7</v>
      </c>
      <c r="C16" s="37" t="str">
        <f>IF(COUNT(ngay03!$E$59)&gt;0,ngay03!$E$59,"")</f>
        <v/>
      </c>
      <c r="D16" s="137" t="str">
        <f t="shared" si="0"/>
        <v>x</v>
      </c>
      <c r="E16" s="142">
        <f t="shared" si="1"/>
        <v>0</v>
      </c>
      <c r="F16" s="34"/>
      <c r="G16" s="37" t="str">
        <f>IF(COUNT(ngay03!$F$12)&gt;0,ngay03!$F$12,"")</f>
        <v/>
      </c>
      <c r="H16" s="34" t="str">
        <f t="shared" si="2"/>
        <v>x</v>
      </c>
      <c r="I16" s="142">
        <f t="shared" si="3"/>
        <v>0</v>
      </c>
      <c r="J16" s="37" t="str">
        <f>IF(COUNT(ngay03!$E$55)&gt;0,ngay03!$E$55,"")</f>
        <v/>
      </c>
      <c r="K16" s="137" t="str">
        <f t="shared" si="4"/>
        <v>x</v>
      </c>
      <c r="L16" s="142">
        <f t="shared" si="5"/>
        <v>0</v>
      </c>
      <c r="M16" s="34"/>
      <c r="N16" s="37" t="str">
        <f>IF(COUNT(ngay03!$F$4)&gt;0,ngay03!$F$4,"")</f>
        <v/>
      </c>
      <c r="O16" s="34" t="str">
        <f t="shared" si="6"/>
        <v>x</v>
      </c>
      <c r="P16" s="142">
        <f t="shared" si="7"/>
        <v>0</v>
      </c>
      <c r="Q16" s="37" t="str">
        <f>IF(COUNT(ngay03!$E$58)&gt;0,ngay03!$E$58,"")</f>
        <v/>
      </c>
      <c r="R16" s="137" t="str">
        <f t="shared" si="8"/>
        <v>x</v>
      </c>
      <c r="S16" s="142">
        <f t="shared" si="9"/>
        <v>0</v>
      </c>
      <c r="T16" s="34"/>
      <c r="U16" s="37" t="str">
        <f>IF(COUNT(ngay03!$F$15)&gt;0,ngay03!$F$15,"")</f>
        <v/>
      </c>
      <c r="V16" s="34" t="str">
        <f t="shared" si="10"/>
        <v>x</v>
      </c>
      <c r="W16" s="142">
        <f t="shared" si="11"/>
        <v>0</v>
      </c>
    </row>
    <row r="17" spans="1:23">
      <c r="A17" s="41"/>
      <c r="B17" s="48">
        <v>13</v>
      </c>
      <c r="C17" s="37" t="str">
        <f>IF(COUNT(ngay03!$G$59)&gt;0,ngay03!$G$59,"")</f>
        <v/>
      </c>
      <c r="D17" s="137" t="str">
        <f t="shared" si="0"/>
        <v>x</v>
      </c>
      <c r="E17" s="142">
        <f t="shared" si="1"/>
        <v>0</v>
      </c>
      <c r="F17" s="34"/>
      <c r="G17" s="37" t="str">
        <f>IF(COUNT(ngay03!$H$12)&gt;0,ngay03!$H$12,"")</f>
        <v/>
      </c>
      <c r="H17" s="34" t="str">
        <f t="shared" si="2"/>
        <v>x</v>
      </c>
      <c r="I17" s="142">
        <f t="shared" si="3"/>
        <v>0</v>
      </c>
      <c r="J17" s="37" t="str">
        <f>IF(COUNT(ngay03!$G$55)&gt;0,ngay03!$G$55,"")</f>
        <v/>
      </c>
      <c r="K17" s="137" t="str">
        <f t="shared" si="4"/>
        <v>x</v>
      </c>
      <c r="L17" s="142">
        <f t="shared" si="5"/>
        <v>0</v>
      </c>
      <c r="M17" s="34"/>
      <c r="N17" s="37" t="str">
        <f>IF(COUNT(ngay03!$H$4)&gt;0,ngay03!$H$4,"")</f>
        <v/>
      </c>
      <c r="O17" s="34" t="str">
        <f t="shared" si="6"/>
        <v>x</v>
      </c>
      <c r="P17" s="142">
        <f t="shared" si="7"/>
        <v>0</v>
      </c>
      <c r="Q17" s="37" t="str">
        <f>IF(COUNT(ngay03!$G$58)&gt;0,ngay03!$G$58,"")</f>
        <v/>
      </c>
      <c r="R17" s="137" t="str">
        <f t="shared" si="8"/>
        <v>x</v>
      </c>
      <c r="S17" s="142">
        <f t="shared" si="9"/>
        <v>0</v>
      </c>
      <c r="T17" s="34"/>
      <c r="U17" s="37" t="str">
        <f>IF(COUNT(ngay03!$H$15)&gt;0,ngay03!$H$15,"")</f>
        <v/>
      </c>
      <c r="V17" s="34" t="str">
        <f t="shared" si="10"/>
        <v>x</v>
      </c>
      <c r="W17" s="142">
        <f t="shared" si="11"/>
        <v>0</v>
      </c>
    </row>
    <row r="18" spans="1:23">
      <c r="A18" s="41"/>
      <c r="B18" s="48">
        <v>19</v>
      </c>
      <c r="C18" s="37" t="str">
        <f>IF(COUNT(ngay03!$I$59)&gt;0,ngay03!$I$59,"")</f>
        <v/>
      </c>
      <c r="D18" s="137" t="str">
        <f t="shared" si="0"/>
        <v>x</v>
      </c>
      <c r="E18" s="142">
        <f t="shared" si="1"/>
        <v>0</v>
      </c>
      <c r="F18" s="34"/>
      <c r="G18" s="37" t="str">
        <f>IF(COUNT(ngay03!$J$12)&gt;0,ngay03!$J$12,"")</f>
        <v/>
      </c>
      <c r="H18" s="34" t="str">
        <f t="shared" si="2"/>
        <v>x</v>
      </c>
      <c r="I18" s="142">
        <f t="shared" si="3"/>
        <v>0</v>
      </c>
      <c r="J18" s="37" t="str">
        <f>IF(COUNT(ngay03!$I$55)&gt;0,ngay03!$I$55,"")</f>
        <v/>
      </c>
      <c r="K18" s="137" t="str">
        <f t="shared" si="4"/>
        <v>x</v>
      </c>
      <c r="L18" s="142">
        <f t="shared" si="5"/>
        <v>0</v>
      </c>
      <c r="M18" s="34"/>
      <c r="N18" s="37" t="str">
        <f>IF(COUNT(ngay03!$J$4)&gt;0,ngay03!$J$4,"")</f>
        <v/>
      </c>
      <c r="O18" s="34" t="str">
        <f t="shared" si="6"/>
        <v>x</v>
      </c>
      <c r="P18" s="142">
        <f t="shared" si="7"/>
        <v>0</v>
      </c>
      <c r="Q18" s="37" t="str">
        <f>IF(COUNT(ngay03!$I$58)&gt;0,ngay03!$I$58,"")</f>
        <v/>
      </c>
      <c r="R18" s="137" t="str">
        <f t="shared" si="8"/>
        <v>x</v>
      </c>
      <c r="S18" s="142">
        <f t="shared" si="9"/>
        <v>0</v>
      </c>
      <c r="T18" s="34"/>
      <c r="U18" s="37" t="str">
        <f>IF(COUNT(ngay03!$J$15)&gt;0,ngay03!$J$15,"")</f>
        <v/>
      </c>
      <c r="V18" s="34" t="str">
        <f t="shared" si="10"/>
        <v>x</v>
      </c>
      <c r="W18" s="142">
        <f t="shared" si="11"/>
        <v>0</v>
      </c>
    </row>
    <row r="19" spans="1:23" s="145" customFormat="1">
      <c r="A19" s="146">
        <v>4</v>
      </c>
      <c r="B19" s="48">
        <v>1</v>
      </c>
      <c r="C19" s="141" t="str">
        <f>IF(COUNT(ngay04!$C$59)&gt;0,ngay04!$C$59,"")</f>
        <v/>
      </c>
      <c r="D19" s="144" t="str">
        <f t="shared" si="0"/>
        <v>x</v>
      </c>
      <c r="E19" s="142">
        <f t="shared" si="1"/>
        <v>0</v>
      </c>
      <c r="F19" s="140"/>
      <c r="G19" s="141" t="str">
        <f>IF(COUNT(ngay04!$D$12)&gt;0,ngay04!$D$12,"")</f>
        <v/>
      </c>
      <c r="H19" s="140" t="str">
        <f t="shared" si="2"/>
        <v>x</v>
      </c>
      <c r="I19" s="142">
        <f t="shared" si="3"/>
        <v>0</v>
      </c>
      <c r="J19" s="141" t="str">
        <f>IF(COUNT(ngay04!$C$55)&gt;0,ngay04!$C$55,"")</f>
        <v/>
      </c>
      <c r="K19" s="144" t="str">
        <f t="shared" si="4"/>
        <v>x</v>
      </c>
      <c r="L19" s="142">
        <f t="shared" si="5"/>
        <v>0</v>
      </c>
      <c r="M19" s="140"/>
      <c r="N19" s="141" t="str">
        <f>IF(COUNT(ngay04!$D$4)&gt;0,ngay04!$D$4,"")</f>
        <v/>
      </c>
      <c r="O19" s="140" t="str">
        <f t="shared" si="6"/>
        <v>x</v>
      </c>
      <c r="P19" s="142">
        <f t="shared" si="7"/>
        <v>0</v>
      </c>
      <c r="Q19" s="141" t="str">
        <f>IF(COUNT(ngay04!$C$58)&gt;0,ngay04!$C$58,"")</f>
        <v/>
      </c>
      <c r="R19" s="144" t="str">
        <f t="shared" si="8"/>
        <v>x</v>
      </c>
      <c r="S19" s="142">
        <f t="shared" si="9"/>
        <v>0</v>
      </c>
      <c r="T19" s="140"/>
      <c r="U19" s="141" t="str">
        <f>IF(COUNT(ngay04!$D$15)&gt;0,ngay04!$D$15,"")</f>
        <v/>
      </c>
      <c r="V19" s="140" t="str">
        <f t="shared" si="10"/>
        <v>x</v>
      </c>
      <c r="W19" s="142">
        <f t="shared" si="11"/>
        <v>0</v>
      </c>
    </row>
    <row r="20" spans="1:23">
      <c r="A20" s="41"/>
      <c r="B20" s="139">
        <v>7</v>
      </c>
      <c r="C20" s="37" t="str">
        <f>IF(COUNT(ngay04!$E$59)&gt;0,ngay04!$E$59,"")</f>
        <v/>
      </c>
      <c r="D20" s="137" t="str">
        <f t="shared" si="0"/>
        <v>x</v>
      </c>
      <c r="E20" s="142">
        <f t="shared" si="1"/>
        <v>0</v>
      </c>
      <c r="F20" s="34"/>
      <c r="G20" s="37" t="str">
        <f>IF(COUNT(ngay04!$F$12)&gt;0,ngay04!$F$12,"")</f>
        <v/>
      </c>
      <c r="H20" s="34" t="str">
        <f t="shared" si="2"/>
        <v>x</v>
      </c>
      <c r="I20" s="142">
        <f t="shared" si="3"/>
        <v>0</v>
      </c>
      <c r="J20" s="37" t="str">
        <f>IF(COUNT(ngay04!$E$55)&gt;0,ngay04!$E$55,"")</f>
        <v/>
      </c>
      <c r="K20" s="137" t="str">
        <f t="shared" si="4"/>
        <v>x</v>
      </c>
      <c r="L20" s="142">
        <f t="shared" si="5"/>
        <v>0</v>
      </c>
      <c r="M20" s="34"/>
      <c r="N20" s="37" t="str">
        <f>IF(COUNT(ngay04!$F$4)&gt;0,ngay04!$F$4,"")</f>
        <v/>
      </c>
      <c r="O20" s="34" t="str">
        <f t="shared" si="6"/>
        <v>x</v>
      </c>
      <c r="P20" s="142">
        <f t="shared" si="7"/>
        <v>0</v>
      </c>
      <c r="Q20" s="37" t="str">
        <f>IF(COUNT(ngay04!$E$58)&gt;0,ngay04!$E$58,"")</f>
        <v/>
      </c>
      <c r="R20" s="137" t="str">
        <f t="shared" si="8"/>
        <v>x</v>
      </c>
      <c r="S20" s="142">
        <f t="shared" si="9"/>
        <v>0</v>
      </c>
      <c r="T20" s="34"/>
      <c r="U20" s="37" t="str">
        <f>IF(COUNT(ngay04!$F$15)&gt;0,ngay04!$F$15,"")</f>
        <v/>
      </c>
      <c r="V20" s="34" t="str">
        <f t="shared" si="10"/>
        <v>x</v>
      </c>
      <c r="W20" s="142">
        <f t="shared" si="11"/>
        <v>0</v>
      </c>
    </row>
    <row r="21" spans="1:23">
      <c r="A21" s="41"/>
      <c r="B21" s="48">
        <v>13</v>
      </c>
      <c r="C21" s="37" t="str">
        <f>IF(COUNT(ngay04!$G$59)&gt;0,ngay04!$G$59,"")</f>
        <v/>
      </c>
      <c r="D21" s="137" t="str">
        <f t="shared" si="0"/>
        <v>x</v>
      </c>
      <c r="E21" s="142">
        <f t="shared" si="1"/>
        <v>0</v>
      </c>
      <c r="F21" s="34"/>
      <c r="G21" s="37" t="str">
        <f>IF(COUNT(ngay04!$H$12)&gt;0,ngay04!$H$12,"")</f>
        <v/>
      </c>
      <c r="H21" s="34" t="str">
        <f t="shared" si="2"/>
        <v>x</v>
      </c>
      <c r="I21" s="142">
        <f t="shared" si="3"/>
        <v>0</v>
      </c>
      <c r="J21" s="37" t="str">
        <f>IF(COUNT(ngay04!$G$55)&gt;0,ngay04!$G$55,"")</f>
        <v/>
      </c>
      <c r="K21" s="137" t="str">
        <f t="shared" si="4"/>
        <v>x</v>
      </c>
      <c r="L21" s="142">
        <f t="shared" si="5"/>
        <v>0</v>
      </c>
      <c r="M21" s="34"/>
      <c r="N21" s="37" t="str">
        <f>IF(COUNT(ngay04!$H$4)&gt;0,ngay04!$H$4,"")</f>
        <v/>
      </c>
      <c r="O21" s="34" t="str">
        <f t="shared" si="6"/>
        <v>x</v>
      </c>
      <c r="P21" s="142">
        <f t="shared" si="7"/>
        <v>0</v>
      </c>
      <c r="Q21" s="37" t="str">
        <f>IF(COUNT(ngay04!$G$58)&gt;0,ngay04!$G$58,"")</f>
        <v/>
      </c>
      <c r="R21" s="137" t="str">
        <f t="shared" si="8"/>
        <v>x</v>
      </c>
      <c r="S21" s="142">
        <f t="shared" si="9"/>
        <v>0</v>
      </c>
      <c r="T21" s="34"/>
      <c r="U21" s="37" t="str">
        <f>IF(COUNT(ngay04!$H$15)&gt;0,ngay04!$H$15,"")</f>
        <v/>
      </c>
      <c r="V21" s="34" t="str">
        <f t="shared" si="10"/>
        <v>x</v>
      </c>
      <c r="W21" s="142">
        <f t="shared" si="11"/>
        <v>0</v>
      </c>
    </row>
    <row r="22" spans="1:23">
      <c r="A22" s="41"/>
      <c r="B22" s="48">
        <v>19</v>
      </c>
      <c r="C22" s="37" t="str">
        <f>IF(COUNT(ngay04!$I$59)&gt;0,ngay04!$I$59,"")</f>
        <v/>
      </c>
      <c r="D22" s="137" t="str">
        <f t="shared" si="0"/>
        <v>x</v>
      </c>
      <c r="E22" s="142">
        <f t="shared" si="1"/>
        <v>0</v>
      </c>
      <c r="F22" s="34"/>
      <c r="G22" s="37" t="str">
        <f>IF(COUNT(ngay04!$J$12)&gt;0,ngay04!$J$12,"")</f>
        <v/>
      </c>
      <c r="H22" s="34" t="str">
        <f t="shared" si="2"/>
        <v>x</v>
      </c>
      <c r="I22" s="142">
        <f t="shared" si="3"/>
        <v>0</v>
      </c>
      <c r="J22" s="37" t="str">
        <f>IF(COUNT(ngay04!$I$55)&gt;0,ngay04!$I$55,"")</f>
        <v/>
      </c>
      <c r="K22" s="137" t="str">
        <f t="shared" si="4"/>
        <v>x</v>
      </c>
      <c r="L22" s="142">
        <f t="shared" si="5"/>
        <v>0</v>
      </c>
      <c r="M22" s="34"/>
      <c r="N22" s="37" t="str">
        <f>IF(COUNT(ngay04!$J$4)&gt;0,ngay04!$J$4,"")</f>
        <v/>
      </c>
      <c r="O22" s="34" t="str">
        <f t="shared" si="6"/>
        <v>x</v>
      </c>
      <c r="P22" s="142">
        <f t="shared" si="7"/>
        <v>0</v>
      </c>
      <c r="Q22" s="37" t="str">
        <f>IF(COUNT(ngay04!$I$58)&gt;0,ngay04!$I$58,"")</f>
        <v/>
      </c>
      <c r="R22" s="137" t="str">
        <f t="shared" si="8"/>
        <v>x</v>
      </c>
      <c r="S22" s="142">
        <f t="shared" si="9"/>
        <v>0</v>
      </c>
      <c r="T22" s="34"/>
      <c r="U22" s="37" t="str">
        <f>IF(COUNT(ngay04!$J$15)&gt;0,ngay04!$J$15,"")</f>
        <v/>
      </c>
      <c r="V22" s="34" t="str">
        <f t="shared" si="10"/>
        <v>x</v>
      </c>
      <c r="W22" s="142">
        <f t="shared" si="11"/>
        <v>0</v>
      </c>
    </row>
    <row r="23" spans="1:23" s="145" customFormat="1">
      <c r="A23" s="146">
        <v>5</v>
      </c>
      <c r="B23" s="48">
        <v>1</v>
      </c>
      <c r="C23" s="141" t="str">
        <f>IF(COUNT(ngay05!$C$59)&gt;0,ngay05!$C$59,"")</f>
        <v/>
      </c>
      <c r="D23" s="144" t="str">
        <f t="shared" si="0"/>
        <v>x</v>
      </c>
      <c r="E23" s="142">
        <f t="shared" ref="E23:E38" si="12">IF(COUNT(D23,E22)=2,D23+E22,E22)</f>
        <v>0</v>
      </c>
      <c r="F23" s="140"/>
      <c r="G23" s="141" t="str">
        <f>IF(COUNT(ngay05!$D$12)&gt;0,ngay05!$D$12,"")</f>
        <v/>
      </c>
      <c r="H23" s="140" t="str">
        <f t="shared" si="2"/>
        <v>x</v>
      </c>
      <c r="I23" s="142">
        <f t="shared" ref="I23:I38" si="13">IF(COUNT(H23,I22)=2,H23+I22,I22)</f>
        <v>0</v>
      </c>
      <c r="J23" s="141" t="str">
        <f>IF(COUNT(ngay05!$C$55)&gt;0,ngay05!$C$55,"")</f>
        <v/>
      </c>
      <c r="K23" s="144" t="str">
        <f t="shared" si="4"/>
        <v>x</v>
      </c>
      <c r="L23" s="142">
        <f t="shared" ref="L23:L38" si="14">IF(COUNT(K23,L22)=2,K23+L22,L22)</f>
        <v>0</v>
      </c>
      <c r="M23" s="140"/>
      <c r="N23" s="141" t="str">
        <f>IF(COUNT(ngay05!$D$4)&gt;0,ngay05!$D$4,"")</f>
        <v/>
      </c>
      <c r="O23" s="140" t="str">
        <f t="shared" si="6"/>
        <v>x</v>
      </c>
      <c r="P23" s="142">
        <f t="shared" ref="P23:P38" si="15">IF(COUNT(O23,P22)=2,O23+P22,P22)</f>
        <v>0</v>
      </c>
      <c r="Q23" s="141" t="str">
        <f>IF(COUNT(ngay05!$C$58)&gt;0,ngay05!$C$58,"")</f>
        <v/>
      </c>
      <c r="R23" s="144" t="str">
        <f t="shared" si="8"/>
        <v>x</v>
      </c>
      <c r="S23" s="142">
        <f t="shared" ref="S23:S38" si="16">IF(COUNT(R23,S22)=2,R23+S22,S22)</f>
        <v>0</v>
      </c>
      <c r="T23" s="140"/>
      <c r="U23" s="141" t="str">
        <f>IF(COUNT(ngay05!$D$15)&gt;0,ngay05!$D$15,"")</f>
        <v/>
      </c>
      <c r="V23" s="140" t="str">
        <f t="shared" si="10"/>
        <v>x</v>
      </c>
      <c r="W23" s="142">
        <f t="shared" ref="W23:W38" si="17">IF(COUNT(V23,W22)=2,V23+W22,W22)</f>
        <v>0</v>
      </c>
    </row>
    <row r="24" spans="1:23">
      <c r="A24" s="41"/>
      <c r="B24" s="139">
        <v>7</v>
      </c>
      <c r="C24" s="37" t="str">
        <f>IF(COUNT(ngay05!$E$59)&gt;0,ngay05!$E$59,"")</f>
        <v/>
      </c>
      <c r="D24" s="137" t="str">
        <f t="shared" si="0"/>
        <v>x</v>
      </c>
      <c r="E24" s="142">
        <f t="shared" si="12"/>
        <v>0</v>
      </c>
      <c r="F24" s="34"/>
      <c r="G24" s="37" t="str">
        <f>IF(COUNT(ngay05!$F$12)&gt;0,ngay05!$F$12,"")</f>
        <v/>
      </c>
      <c r="H24" s="34" t="str">
        <f t="shared" si="2"/>
        <v>x</v>
      </c>
      <c r="I24" s="142">
        <f t="shared" si="13"/>
        <v>0</v>
      </c>
      <c r="J24" s="37" t="str">
        <f>IF(COUNT(ngay05!$E$55)&gt;0,ngay05!$E$55,"")</f>
        <v/>
      </c>
      <c r="K24" s="137" t="str">
        <f t="shared" si="4"/>
        <v>x</v>
      </c>
      <c r="L24" s="142">
        <f t="shared" si="14"/>
        <v>0</v>
      </c>
      <c r="M24" s="34"/>
      <c r="N24" s="37" t="str">
        <f>IF(COUNT(ngay05!$F$4)&gt;0,ngay05!$F$4,"")</f>
        <v/>
      </c>
      <c r="O24" s="34" t="str">
        <f t="shared" si="6"/>
        <v>x</v>
      </c>
      <c r="P24" s="142">
        <f t="shared" si="15"/>
        <v>0</v>
      </c>
      <c r="Q24" s="37" t="str">
        <f>IF(COUNT(ngay05!$E$58)&gt;0,ngay05!$E$58,"")</f>
        <v/>
      </c>
      <c r="R24" s="137" t="str">
        <f t="shared" si="8"/>
        <v>x</v>
      </c>
      <c r="S24" s="142">
        <f t="shared" si="16"/>
        <v>0</v>
      </c>
      <c r="T24" s="34"/>
      <c r="U24" s="37" t="str">
        <f>IF(COUNT(ngay05!$F$15)&gt;0,ngay05!$F$15,"")</f>
        <v/>
      </c>
      <c r="V24" s="34" t="str">
        <f t="shared" si="10"/>
        <v>x</v>
      </c>
      <c r="W24" s="142">
        <f t="shared" si="17"/>
        <v>0</v>
      </c>
    </row>
    <row r="25" spans="1:23">
      <c r="A25" s="41"/>
      <c r="B25" s="48">
        <v>13</v>
      </c>
      <c r="C25" s="37" t="str">
        <f>IF(COUNT(ngay05!$G$59)&gt;0,ngay05!$G$59,"")</f>
        <v/>
      </c>
      <c r="D25" s="137" t="str">
        <f t="shared" si="0"/>
        <v>x</v>
      </c>
      <c r="E25" s="142">
        <f t="shared" si="12"/>
        <v>0</v>
      </c>
      <c r="F25" s="34"/>
      <c r="G25" s="37" t="str">
        <f>IF(COUNT(ngay05!$H$12)&gt;0,ngay05!$H$12,"")</f>
        <v/>
      </c>
      <c r="H25" s="34" t="str">
        <f t="shared" si="2"/>
        <v>x</v>
      </c>
      <c r="I25" s="142">
        <f t="shared" si="13"/>
        <v>0</v>
      </c>
      <c r="J25" s="37" t="str">
        <f>IF(COUNT(ngay05!$G$55)&gt;0,ngay05!$G$55,"")</f>
        <v/>
      </c>
      <c r="K25" s="137" t="str">
        <f t="shared" si="4"/>
        <v>x</v>
      </c>
      <c r="L25" s="142">
        <f t="shared" si="14"/>
        <v>0</v>
      </c>
      <c r="M25" s="34"/>
      <c r="N25" s="37" t="str">
        <f>IF(COUNT(ngay05!$H$4)&gt;0,ngay05!$H$4,"")</f>
        <v/>
      </c>
      <c r="O25" s="34" t="str">
        <f t="shared" si="6"/>
        <v>x</v>
      </c>
      <c r="P25" s="142">
        <f t="shared" si="15"/>
        <v>0</v>
      </c>
      <c r="Q25" s="37" t="str">
        <f>IF(COUNT(ngay05!$G$58)&gt;0,ngay05!$G$58,"")</f>
        <v/>
      </c>
      <c r="R25" s="137" t="str">
        <f t="shared" si="8"/>
        <v>x</v>
      </c>
      <c r="S25" s="142">
        <f t="shared" si="16"/>
        <v>0</v>
      </c>
      <c r="T25" s="34"/>
      <c r="U25" s="37" t="str">
        <f>IF(COUNT(ngay05!$H$15)&gt;0,ngay05!$H$15,"")</f>
        <v/>
      </c>
      <c r="V25" s="34" t="str">
        <f t="shared" si="10"/>
        <v>x</v>
      </c>
      <c r="W25" s="142">
        <f t="shared" si="17"/>
        <v>0</v>
      </c>
    </row>
    <row r="26" spans="1:23">
      <c r="A26" s="41"/>
      <c r="B26" s="48">
        <v>19</v>
      </c>
      <c r="C26" s="37" t="str">
        <f>IF(COUNT(ngay05!$I$59)&gt;0,ngay05!$I$59,"")</f>
        <v/>
      </c>
      <c r="D26" s="137" t="str">
        <f t="shared" si="0"/>
        <v>x</v>
      </c>
      <c r="E26" s="142">
        <f t="shared" si="12"/>
        <v>0</v>
      </c>
      <c r="F26" s="34"/>
      <c r="G26" s="37" t="str">
        <f>IF(COUNT(ngay05!$J$12)&gt;0,ngay05!$J$12,"")</f>
        <v/>
      </c>
      <c r="H26" s="34" t="str">
        <f t="shared" si="2"/>
        <v>x</v>
      </c>
      <c r="I26" s="142">
        <f t="shared" si="13"/>
        <v>0</v>
      </c>
      <c r="J26" s="37" t="str">
        <f>IF(COUNT(ngay05!$I$55)&gt;0,ngay05!$I$55,"")</f>
        <v/>
      </c>
      <c r="K26" s="137" t="str">
        <f t="shared" si="4"/>
        <v>x</v>
      </c>
      <c r="L26" s="142">
        <f t="shared" si="14"/>
        <v>0</v>
      </c>
      <c r="M26" s="34"/>
      <c r="N26" s="37" t="str">
        <f>IF(COUNT(ngay05!$J$4)&gt;0,ngay05!$J$4,"")</f>
        <v/>
      </c>
      <c r="O26" s="34" t="str">
        <f t="shared" si="6"/>
        <v>x</v>
      </c>
      <c r="P26" s="142">
        <f t="shared" si="15"/>
        <v>0</v>
      </c>
      <c r="Q26" s="37" t="str">
        <f>IF(COUNT(ngay05!$I$58)&gt;0,ngay05!$I$58,"")</f>
        <v/>
      </c>
      <c r="R26" s="137" t="str">
        <f t="shared" si="8"/>
        <v>x</v>
      </c>
      <c r="S26" s="142">
        <f t="shared" si="16"/>
        <v>0</v>
      </c>
      <c r="T26" s="34"/>
      <c r="U26" s="37" t="str">
        <f>IF(COUNT(ngay05!$J$15)&gt;0,ngay05!$J$15,"")</f>
        <v/>
      </c>
      <c r="V26" s="34" t="str">
        <f t="shared" si="10"/>
        <v>x</v>
      </c>
      <c r="W26" s="142">
        <f t="shared" si="17"/>
        <v>0</v>
      </c>
    </row>
    <row r="27" spans="1:23" s="145" customFormat="1">
      <c r="A27" s="146">
        <v>6</v>
      </c>
      <c r="B27" s="48">
        <v>1</v>
      </c>
      <c r="C27" s="141" t="str">
        <f>IF(COUNT(ngay06!$C$59)&gt;0,ngay06!$C$59,"")</f>
        <v/>
      </c>
      <c r="D27" s="144" t="str">
        <f t="shared" si="0"/>
        <v>x</v>
      </c>
      <c r="E27" s="142">
        <f t="shared" si="12"/>
        <v>0</v>
      </c>
      <c r="F27" s="140"/>
      <c r="G27" s="141" t="str">
        <f>IF(COUNT(ngay06!$D$12)&gt;0,ngay06!$D$12,"")</f>
        <v/>
      </c>
      <c r="H27" s="140" t="str">
        <f t="shared" si="2"/>
        <v>x</v>
      </c>
      <c r="I27" s="142">
        <f t="shared" si="13"/>
        <v>0</v>
      </c>
      <c r="J27" s="141" t="str">
        <f>IF(COUNT(ngay06!$C$55)&gt;0,ngay06!$C$55,"")</f>
        <v/>
      </c>
      <c r="K27" s="144" t="str">
        <f t="shared" si="4"/>
        <v>x</v>
      </c>
      <c r="L27" s="142">
        <f t="shared" si="14"/>
        <v>0</v>
      </c>
      <c r="M27" s="140"/>
      <c r="N27" s="141" t="str">
        <f>IF(COUNT(ngay06!$D$4)&gt;0,ngay06!$D$4,"")</f>
        <v/>
      </c>
      <c r="O27" s="140" t="str">
        <f t="shared" si="6"/>
        <v>x</v>
      </c>
      <c r="P27" s="142">
        <f t="shared" si="15"/>
        <v>0</v>
      </c>
      <c r="Q27" s="141" t="str">
        <f>IF(COUNT(ngay06!$C$58)&gt;0,ngay06!$C$58,"")</f>
        <v/>
      </c>
      <c r="R27" s="144" t="str">
        <f t="shared" si="8"/>
        <v>x</v>
      </c>
      <c r="S27" s="142">
        <f t="shared" si="16"/>
        <v>0</v>
      </c>
      <c r="T27" s="140"/>
      <c r="U27" s="141" t="str">
        <f>IF(COUNT(ngay06!$D$15)&gt;0,ngay06!$D$15,"")</f>
        <v/>
      </c>
      <c r="V27" s="140" t="str">
        <f t="shared" si="10"/>
        <v>x</v>
      </c>
      <c r="W27" s="142">
        <f t="shared" si="17"/>
        <v>0</v>
      </c>
    </row>
    <row r="28" spans="1:23">
      <c r="A28" s="41"/>
      <c r="B28" s="139">
        <v>7</v>
      </c>
      <c r="C28" s="37" t="str">
        <f>IF(COUNT(ngay06!$E$59)&gt;0,ngay06!$E$59,"")</f>
        <v/>
      </c>
      <c r="D28" s="137" t="str">
        <f t="shared" si="0"/>
        <v>x</v>
      </c>
      <c r="E28" s="142">
        <f t="shared" si="12"/>
        <v>0</v>
      </c>
      <c r="F28" s="34"/>
      <c r="G28" s="37" t="str">
        <f>IF(COUNT(ngay06!$F$12)&gt;0,ngay06!$F$12,"")</f>
        <v/>
      </c>
      <c r="H28" s="34" t="str">
        <f t="shared" si="2"/>
        <v>x</v>
      </c>
      <c r="I28" s="142">
        <f t="shared" si="13"/>
        <v>0</v>
      </c>
      <c r="J28" s="37" t="str">
        <f>IF(COUNT(ngay06!$E$55)&gt;0,ngay06!$E$55,"")</f>
        <v/>
      </c>
      <c r="K28" s="137" t="str">
        <f t="shared" si="4"/>
        <v>x</v>
      </c>
      <c r="L28" s="142">
        <f t="shared" si="14"/>
        <v>0</v>
      </c>
      <c r="M28" s="34"/>
      <c r="N28" s="37" t="str">
        <f>IF(COUNT(ngay06!$F$4)&gt;0,ngay06!$F$4,"")</f>
        <v/>
      </c>
      <c r="O28" s="34" t="str">
        <f t="shared" si="6"/>
        <v>x</v>
      </c>
      <c r="P28" s="142">
        <f t="shared" si="15"/>
        <v>0</v>
      </c>
      <c r="Q28" s="37" t="str">
        <f>IF(COUNT(ngay06!$E$58)&gt;0,ngay06!$E$58,"")</f>
        <v/>
      </c>
      <c r="R28" s="137" t="str">
        <f t="shared" si="8"/>
        <v>x</v>
      </c>
      <c r="S28" s="142">
        <f t="shared" si="16"/>
        <v>0</v>
      </c>
      <c r="T28" s="34"/>
      <c r="U28" s="37" t="str">
        <f>IF(COUNT(ngay06!$F$15)&gt;0,ngay06!$F$15,"")</f>
        <v/>
      </c>
      <c r="V28" s="34" t="str">
        <f t="shared" si="10"/>
        <v>x</v>
      </c>
      <c r="W28" s="142">
        <f t="shared" si="17"/>
        <v>0</v>
      </c>
    </row>
    <row r="29" spans="1:23">
      <c r="A29" s="41"/>
      <c r="B29" s="48">
        <v>13</v>
      </c>
      <c r="C29" s="37" t="str">
        <f>IF(COUNT(ngay06!$G$59)&gt;0,ngay06!$G$59,"")</f>
        <v/>
      </c>
      <c r="D29" s="137" t="str">
        <f t="shared" si="0"/>
        <v>x</v>
      </c>
      <c r="E29" s="142">
        <f t="shared" si="12"/>
        <v>0</v>
      </c>
      <c r="F29" s="34"/>
      <c r="G29" s="37" t="str">
        <f>IF(COUNT(ngay06!$H$12)&gt;0,ngay06!$H$12,"")</f>
        <v/>
      </c>
      <c r="H29" s="34" t="str">
        <f t="shared" si="2"/>
        <v>x</v>
      </c>
      <c r="I29" s="142">
        <f t="shared" si="13"/>
        <v>0</v>
      </c>
      <c r="J29" s="37" t="str">
        <f>IF(COUNT(ngay06!$G$55)&gt;0,ngay06!$G$55,"")</f>
        <v/>
      </c>
      <c r="K29" s="137" t="str">
        <f t="shared" si="4"/>
        <v>x</v>
      </c>
      <c r="L29" s="142">
        <f t="shared" si="14"/>
        <v>0</v>
      </c>
      <c r="M29" s="34"/>
      <c r="N29" s="37" t="str">
        <f>IF(COUNT(ngay06!$H$4)&gt;0,ngay06!$H$4,"")</f>
        <v/>
      </c>
      <c r="O29" s="34" t="str">
        <f t="shared" si="6"/>
        <v>x</v>
      </c>
      <c r="P29" s="142">
        <f t="shared" si="15"/>
        <v>0</v>
      </c>
      <c r="Q29" s="37" t="str">
        <f>IF(COUNT(ngay06!$G$58)&gt;0,ngay06!$G$58,"")</f>
        <v/>
      </c>
      <c r="R29" s="137" t="str">
        <f t="shared" si="8"/>
        <v>x</v>
      </c>
      <c r="S29" s="142">
        <f t="shared" si="16"/>
        <v>0</v>
      </c>
      <c r="T29" s="34"/>
      <c r="U29" s="37" t="str">
        <f>IF(COUNT(ngay06!$H$15)&gt;0,ngay06!$H$15,"")</f>
        <v/>
      </c>
      <c r="V29" s="34" t="str">
        <f t="shared" si="10"/>
        <v>x</v>
      </c>
      <c r="W29" s="142">
        <f t="shared" si="17"/>
        <v>0</v>
      </c>
    </row>
    <row r="30" spans="1:23">
      <c r="A30" s="41"/>
      <c r="B30" s="48">
        <v>19</v>
      </c>
      <c r="C30" s="37" t="str">
        <f>IF(COUNT(ngay06!$I$59)&gt;0,ngay06!$I$59,"")</f>
        <v/>
      </c>
      <c r="D30" s="137" t="str">
        <f t="shared" si="0"/>
        <v>x</v>
      </c>
      <c r="E30" s="142">
        <f t="shared" si="12"/>
        <v>0</v>
      </c>
      <c r="F30" s="34"/>
      <c r="G30" s="37" t="str">
        <f>IF(COUNT(ngay06!$J$12)&gt;0,ngay06!$J$12,"")</f>
        <v/>
      </c>
      <c r="H30" s="34" t="str">
        <f t="shared" si="2"/>
        <v>x</v>
      </c>
      <c r="I30" s="142">
        <f t="shared" si="13"/>
        <v>0</v>
      </c>
      <c r="J30" s="37" t="str">
        <f>IF(COUNT(ngay06!$I$55)&gt;0,ngay06!$I$55,"")</f>
        <v/>
      </c>
      <c r="K30" s="137" t="str">
        <f t="shared" si="4"/>
        <v>x</v>
      </c>
      <c r="L30" s="142">
        <f t="shared" si="14"/>
        <v>0</v>
      </c>
      <c r="M30" s="34"/>
      <c r="N30" s="37" t="str">
        <f>IF(COUNT(ngay06!$J$4)&gt;0,ngay06!$J$4,"")</f>
        <v/>
      </c>
      <c r="O30" s="34" t="str">
        <f t="shared" si="6"/>
        <v>x</v>
      </c>
      <c r="P30" s="142">
        <f t="shared" si="15"/>
        <v>0</v>
      </c>
      <c r="Q30" s="37" t="str">
        <f>IF(COUNT(ngay06!$I$58)&gt;0,ngay06!$I$58,"")</f>
        <v/>
      </c>
      <c r="R30" s="137" t="str">
        <f t="shared" si="8"/>
        <v>x</v>
      </c>
      <c r="S30" s="142">
        <f t="shared" si="16"/>
        <v>0</v>
      </c>
      <c r="T30" s="34"/>
      <c r="U30" s="37" t="str">
        <f>IF(COUNT(ngay06!$J$15)&gt;0,ngay06!$J$15,"")</f>
        <v/>
      </c>
      <c r="V30" s="34" t="str">
        <f t="shared" si="10"/>
        <v>x</v>
      </c>
      <c r="W30" s="142">
        <f t="shared" si="17"/>
        <v>0</v>
      </c>
    </row>
    <row r="31" spans="1:23" s="145" customFormat="1">
      <c r="A31" s="146">
        <v>7</v>
      </c>
      <c r="B31" s="48">
        <v>1</v>
      </c>
      <c r="C31" s="141" t="str">
        <f>IF(COUNT(ngay07!$C$59)&gt;0,ngay07!$C$59,"")</f>
        <v/>
      </c>
      <c r="D31" s="144" t="str">
        <f t="shared" si="0"/>
        <v>x</v>
      </c>
      <c r="E31" s="142">
        <f t="shared" si="12"/>
        <v>0</v>
      </c>
      <c r="F31" s="140"/>
      <c r="G31" s="141" t="str">
        <f>IF(COUNT(ngay07!$D$12)&gt;0,ngay07!$D$12,"")</f>
        <v/>
      </c>
      <c r="H31" s="140" t="str">
        <f t="shared" si="2"/>
        <v>x</v>
      </c>
      <c r="I31" s="142">
        <f t="shared" si="13"/>
        <v>0</v>
      </c>
      <c r="J31" s="141" t="str">
        <f>IF(COUNT(ngay07!$C$55)&gt;0,ngay07!$C$55,"")</f>
        <v/>
      </c>
      <c r="K31" s="144" t="str">
        <f t="shared" si="4"/>
        <v>x</v>
      </c>
      <c r="L31" s="142">
        <f t="shared" si="14"/>
        <v>0</v>
      </c>
      <c r="M31" s="140"/>
      <c r="N31" s="141" t="str">
        <f>IF(COUNT(ngay07!$D$4)&gt;0,ngay07!$D$4,"")</f>
        <v/>
      </c>
      <c r="O31" s="140" t="str">
        <f t="shared" si="6"/>
        <v>x</v>
      </c>
      <c r="P31" s="142">
        <f t="shared" si="15"/>
        <v>0</v>
      </c>
      <c r="Q31" s="141" t="str">
        <f>IF(COUNT(ngay07!$C$58)&gt;0,ngay07!$C$58,"")</f>
        <v/>
      </c>
      <c r="R31" s="144" t="str">
        <f t="shared" si="8"/>
        <v>x</v>
      </c>
      <c r="S31" s="142">
        <f t="shared" si="16"/>
        <v>0</v>
      </c>
      <c r="T31" s="140"/>
      <c r="U31" s="141" t="str">
        <f>IF(COUNT(ngay07!$D$15)&gt;0,ngay07!$D$15,"")</f>
        <v/>
      </c>
      <c r="V31" s="140" t="str">
        <f t="shared" si="10"/>
        <v>x</v>
      </c>
      <c r="W31" s="142">
        <f t="shared" si="17"/>
        <v>0</v>
      </c>
    </row>
    <row r="32" spans="1:23">
      <c r="A32" s="41"/>
      <c r="B32" s="139">
        <v>7</v>
      </c>
      <c r="C32" s="37" t="str">
        <f>IF(COUNT(ngay07!$E$59)&gt;0,ngay07!$E$59,"")</f>
        <v/>
      </c>
      <c r="D32" s="137" t="str">
        <f t="shared" si="0"/>
        <v>x</v>
      </c>
      <c r="E32" s="142">
        <f t="shared" si="12"/>
        <v>0</v>
      </c>
      <c r="F32" s="34"/>
      <c r="G32" s="37" t="str">
        <f>IF(COUNT(ngay07!$F$12)&gt;0,ngay07!$F$12,"")</f>
        <v/>
      </c>
      <c r="H32" s="34" t="str">
        <f t="shared" si="2"/>
        <v>x</v>
      </c>
      <c r="I32" s="142">
        <f t="shared" si="13"/>
        <v>0</v>
      </c>
      <c r="J32" s="37" t="str">
        <f>IF(COUNT(ngay07!$E$55)&gt;0,ngay07!$E$55,"")</f>
        <v/>
      </c>
      <c r="K32" s="137" t="str">
        <f t="shared" si="4"/>
        <v>x</v>
      </c>
      <c r="L32" s="142">
        <f t="shared" si="14"/>
        <v>0</v>
      </c>
      <c r="M32" s="34"/>
      <c r="N32" s="37" t="str">
        <f>IF(COUNT(ngay07!$F$4)&gt;0,ngay07!$F$4,"")</f>
        <v/>
      </c>
      <c r="O32" s="34" t="str">
        <f t="shared" si="6"/>
        <v>x</v>
      </c>
      <c r="P32" s="142">
        <f t="shared" si="15"/>
        <v>0</v>
      </c>
      <c r="Q32" s="37" t="str">
        <f>IF(COUNT(ngay07!$E$58)&gt;0,ngay07!$E$58,"")</f>
        <v/>
      </c>
      <c r="R32" s="137" t="str">
        <f t="shared" si="8"/>
        <v>x</v>
      </c>
      <c r="S32" s="142">
        <f t="shared" si="16"/>
        <v>0</v>
      </c>
      <c r="T32" s="34"/>
      <c r="U32" s="37" t="str">
        <f>IF(COUNT(ngay07!$F$15)&gt;0,ngay07!$F$15,"")</f>
        <v/>
      </c>
      <c r="V32" s="34" t="str">
        <f t="shared" si="10"/>
        <v>x</v>
      </c>
      <c r="W32" s="142">
        <f t="shared" si="17"/>
        <v>0</v>
      </c>
    </row>
    <row r="33" spans="1:23">
      <c r="A33" s="41"/>
      <c r="B33" s="48">
        <v>13</v>
      </c>
      <c r="C33" s="37" t="str">
        <f>IF(COUNT(ngay07!$G$59)&gt;0,ngay07!$G$59,"")</f>
        <v/>
      </c>
      <c r="D33" s="137" t="str">
        <f t="shared" si="0"/>
        <v>x</v>
      </c>
      <c r="E33" s="142">
        <f t="shared" si="12"/>
        <v>0</v>
      </c>
      <c r="F33" s="34"/>
      <c r="G33" s="37" t="str">
        <f>IF(COUNT(ngay07!$H$12)&gt;0,ngay07!$H$12,"")</f>
        <v/>
      </c>
      <c r="H33" s="34" t="str">
        <f t="shared" si="2"/>
        <v>x</v>
      </c>
      <c r="I33" s="142">
        <f t="shared" si="13"/>
        <v>0</v>
      </c>
      <c r="J33" s="37" t="str">
        <f>IF(COUNT(ngay07!$G$55)&gt;0,ngay07!$G$55,"")</f>
        <v/>
      </c>
      <c r="K33" s="137" t="str">
        <f t="shared" si="4"/>
        <v>x</v>
      </c>
      <c r="L33" s="142">
        <f t="shared" si="14"/>
        <v>0</v>
      </c>
      <c r="M33" s="34"/>
      <c r="N33" s="37" t="str">
        <f>IF(COUNT(ngay07!$H$4)&gt;0,ngay07!$H$4,"")</f>
        <v/>
      </c>
      <c r="O33" s="34" t="str">
        <f t="shared" si="6"/>
        <v>x</v>
      </c>
      <c r="P33" s="142">
        <f t="shared" si="15"/>
        <v>0</v>
      </c>
      <c r="Q33" s="37" t="str">
        <f>IF(COUNT(ngay07!$G$58)&gt;0,ngay07!$G$58,"")</f>
        <v/>
      </c>
      <c r="R33" s="137" t="str">
        <f t="shared" si="8"/>
        <v>x</v>
      </c>
      <c r="S33" s="142">
        <f t="shared" si="16"/>
        <v>0</v>
      </c>
      <c r="T33" s="34"/>
      <c r="U33" s="37" t="str">
        <f>IF(COUNT(ngay07!$H$15)&gt;0,ngay07!$H$15,"")</f>
        <v/>
      </c>
      <c r="V33" s="34" t="str">
        <f t="shared" si="10"/>
        <v>x</v>
      </c>
      <c r="W33" s="142">
        <f t="shared" si="17"/>
        <v>0</v>
      </c>
    </row>
    <row r="34" spans="1:23">
      <c r="A34" s="41"/>
      <c r="B34" s="48">
        <v>19</v>
      </c>
      <c r="C34" s="37" t="str">
        <f>IF(COUNT(ngay07!$I$59)&gt;0,ngay07!$I$59,"")</f>
        <v/>
      </c>
      <c r="D34" s="137" t="str">
        <f t="shared" si="0"/>
        <v>x</v>
      </c>
      <c r="E34" s="142">
        <f t="shared" si="12"/>
        <v>0</v>
      </c>
      <c r="F34" s="34"/>
      <c r="G34" s="37" t="str">
        <f>IF(COUNT(ngay07!$J$12)&gt;0,ngay07!$J$12,"")</f>
        <v/>
      </c>
      <c r="H34" s="34" t="str">
        <f t="shared" si="2"/>
        <v>x</v>
      </c>
      <c r="I34" s="142">
        <f t="shared" si="13"/>
        <v>0</v>
      </c>
      <c r="J34" s="37" t="str">
        <f>IF(COUNT(ngay07!$I$55)&gt;0,ngay07!$I$55,"")</f>
        <v/>
      </c>
      <c r="K34" s="137" t="str">
        <f t="shared" si="4"/>
        <v>x</v>
      </c>
      <c r="L34" s="142">
        <f t="shared" si="14"/>
        <v>0</v>
      </c>
      <c r="M34" s="34"/>
      <c r="N34" s="37" t="str">
        <f>IF(COUNT(ngay07!$J$4)&gt;0,ngay07!$J$4,"")</f>
        <v/>
      </c>
      <c r="O34" s="34" t="str">
        <f t="shared" si="6"/>
        <v>x</v>
      </c>
      <c r="P34" s="142">
        <f t="shared" si="15"/>
        <v>0</v>
      </c>
      <c r="Q34" s="37" t="str">
        <f>IF(COUNT(ngay07!$I$58)&gt;0,ngay07!$I$58,"")</f>
        <v/>
      </c>
      <c r="R34" s="137" t="str">
        <f t="shared" si="8"/>
        <v>x</v>
      </c>
      <c r="S34" s="142">
        <f t="shared" si="16"/>
        <v>0</v>
      </c>
      <c r="T34" s="34"/>
      <c r="U34" s="37" t="str">
        <f>IF(COUNT(ngay07!$J$15)&gt;0,ngay07!$J$15,"")</f>
        <v/>
      </c>
      <c r="V34" s="34" t="str">
        <f t="shared" si="10"/>
        <v>x</v>
      </c>
      <c r="W34" s="142">
        <f t="shared" si="17"/>
        <v>0</v>
      </c>
    </row>
    <row r="35" spans="1:23" s="145" customFormat="1">
      <c r="A35" s="146">
        <v>8</v>
      </c>
      <c r="B35" s="48">
        <v>1</v>
      </c>
      <c r="C35" s="141" t="str">
        <f>IF(COUNT(ngay08!$C$59)&gt;0,ngay08!$C$59,"")</f>
        <v/>
      </c>
      <c r="D35" s="144" t="str">
        <f t="shared" si="0"/>
        <v>x</v>
      </c>
      <c r="E35" s="142">
        <f t="shared" si="12"/>
        <v>0</v>
      </c>
      <c r="F35" s="140"/>
      <c r="G35" s="141" t="str">
        <f>IF(COUNT(ngay08!$D$12)&gt;0,ngay08!$D$12,"")</f>
        <v/>
      </c>
      <c r="H35" s="140" t="str">
        <f t="shared" si="2"/>
        <v>x</v>
      </c>
      <c r="I35" s="142">
        <f t="shared" si="13"/>
        <v>0</v>
      </c>
      <c r="J35" s="141" t="str">
        <f>IF(COUNT(ngay08!$C$55)&gt;0,ngay08!$C$55,"")</f>
        <v/>
      </c>
      <c r="K35" s="144" t="str">
        <f t="shared" si="4"/>
        <v>x</v>
      </c>
      <c r="L35" s="142">
        <f t="shared" si="14"/>
        <v>0</v>
      </c>
      <c r="M35" s="140"/>
      <c r="N35" s="141" t="str">
        <f>IF(COUNT(ngay08!$D$4)&gt;0,ngay08!$D$4,"")</f>
        <v/>
      </c>
      <c r="O35" s="140" t="str">
        <f t="shared" si="6"/>
        <v>x</v>
      </c>
      <c r="P35" s="142">
        <f t="shared" si="15"/>
        <v>0</v>
      </c>
      <c r="Q35" s="141" t="str">
        <f>IF(COUNT(ngay08!$C$58)&gt;0,ngay08!$C$58,"")</f>
        <v/>
      </c>
      <c r="R35" s="144" t="str">
        <f t="shared" si="8"/>
        <v>x</v>
      </c>
      <c r="S35" s="142">
        <f t="shared" si="16"/>
        <v>0</v>
      </c>
      <c r="T35" s="140"/>
      <c r="U35" s="141" t="str">
        <f>IF(COUNT(ngay08!$D$15)&gt;0,ngay08!$D$15,"")</f>
        <v/>
      </c>
      <c r="V35" s="140" t="str">
        <f t="shared" si="10"/>
        <v>x</v>
      </c>
      <c r="W35" s="142">
        <f t="shared" si="17"/>
        <v>0</v>
      </c>
    </row>
    <row r="36" spans="1:23">
      <c r="A36" s="41"/>
      <c r="B36" s="139">
        <v>7</v>
      </c>
      <c r="C36" s="37" t="str">
        <f>IF(COUNT(ngay08!$E$59)&gt;0,ngay08!$E$59,"")</f>
        <v/>
      </c>
      <c r="D36" s="137" t="str">
        <f t="shared" si="0"/>
        <v>x</v>
      </c>
      <c r="E36" s="142">
        <f t="shared" si="12"/>
        <v>0</v>
      </c>
      <c r="F36" s="34"/>
      <c r="G36" s="37" t="str">
        <f>IF(COUNT(ngay08!$F$12)&gt;0,ngay08!$F$12,"")</f>
        <v/>
      </c>
      <c r="H36" s="34" t="str">
        <f t="shared" si="2"/>
        <v>x</v>
      </c>
      <c r="I36" s="142">
        <f t="shared" si="13"/>
        <v>0</v>
      </c>
      <c r="J36" s="37" t="str">
        <f>IF(COUNT(ngay08!$E$55)&gt;0,ngay08!$E$55,"")</f>
        <v/>
      </c>
      <c r="K36" s="137" t="str">
        <f t="shared" si="4"/>
        <v>x</v>
      </c>
      <c r="L36" s="142">
        <f t="shared" si="14"/>
        <v>0</v>
      </c>
      <c r="M36" s="34"/>
      <c r="N36" s="37" t="str">
        <f>IF(COUNT(ngay08!$F$4)&gt;0,ngay08!$F$4,"")</f>
        <v/>
      </c>
      <c r="O36" s="34" t="str">
        <f t="shared" si="6"/>
        <v>x</v>
      </c>
      <c r="P36" s="142">
        <f t="shared" si="15"/>
        <v>0</v>
      </c>
      <c r="Q36" s="37" t="str">
        <f>IF(COUNT(ngay08!$E$58)&gt;0,ngay08!$E$58,"")</f>
        <v/>
      </c>
      <c r="R36" s="137" t="str">
        <f t="shared" si="8"/>
        <v>x</v>
      </c>
      <c r="S36" s="142">
        <f t="shared" si="16"/>
        <v>0</v>
      </c>
      <c r="T36" s="34"/>
      <c r="U36" s="37" t="str">
        <f>IF(COUNT(ngay08!$F$15)&gt;0,ngay08!$F$15,"")</f>
        <v/>
      </c>
      <c r="V36" s="34" t="str">
        <f t="shared" si="10"/>
        <v>x</v>
      </c>
      <c r="W36" s="142">
        <f t="shared" si="17"/>
        <v>0</v>
      </c>
    </row>
    <row r="37" spans="1:23">
      <c r="A37" s="41"/>
      <c r="B37" s="48">
        <v>13</v>
      </c>
      <c r="C37" s="37" t="str">
        <f>IF(COUNT(ngay08!$G$59)&gt;0,ngay08!$G$59,"")</f>
        <v/>
      </c>
      <c r="D37" s="137" t="str">
        <f t="shared" si="0"/>
        <v>x</v>
      </c>
      <c r="E37" s="142">
        <f t="shared" si="12"/>
        <v>0</v>
      </c>
      <c r="F37" s="34"/>
      <c r="G37" s="37" t="str">
        <f>IF(COUNT(ngay08!$H$12)&gt;0,ngay08!$H$12,"")</f>
        <v/>
      </c>
      <c r="H37" s="34" t="str">
        <f t="shared" si="2"/>
        <v>x</v>
      </c>
      <c r="I37" s="142">
        <f t="shared" si="13"/>
        <v>0</v>
      </c>
      <c r="J37" s="37" t="str">
        <f>IF(COUNT(ngay08!$G$55)&gt;0,ngay08!$G$55,"")</f>
        <v/>
      </c>
      <c r="K37" s="137" t="str">
        <f t="shared" si="4"/>
        <v>x</v>
      </c>
      <c r="L37" s="142">
        <f t="shared" si="14"/>
        <v>0</v>
      </c>
      <c r="M37" s="34"/>
      <c r="N37" s="37" t="str">
        <f>IF(COUNT(ngay08!$H$4)&gt;0,ngay08!$H$4,"")</f>
        <v/>
      </c>
      <c r="O37" s="34" t="str">
        <f t="shared" si="6"/>
        <v>x</v>
      </c>
      <c r="P37" s="142">
        <f t="shared" si="15"/>
        <v>0</v>
      </c>
      <c r="Q37" s="37" t="str">
        <f>IF(COUNT(ngay08!$G$58)&gt;0,ngay08!$G$58,"")</f>
        <v/>
      </c>
      <c r="R37" s="137" t="str">
        <f t="shared" si="8"/>
        <v>x</v>
      </c>
      <c r="S37" s="142">
        <f t="shared" si="16"/>
        <v>0</v>
      </c>
      <c r="T37" s="34"/>
      <c r="U37" s="37" t="str">
        <f>IF(COUNT(ngay08!$H$15)&gt;0,ngay08!$H$15,"")</f>
        <v/>
      </c>
      <c r="V37" s="34" t="str">
        <f t="shared" si="10"/>
        <v>x</v>
      </c>
      <c r="W37" s="142">
        <f t="shared" si="17"/>
        <v>0</v>
      </c>
    </row>
    <row r="38" spans="1:23">
      <c r="A38" s="41"/>
      <c r="B38" s="48">
        <v>19</v>
      </c>
      <c r="C38" s="37" t="str">
        <f>IF(COUNT(ngay08!$I$59)&gt;0,ngay08!$I$59,"")</f>
        <v/>
      </c>
      <c r="D38" s="137" t="str">
        <f t="shared" si="0"/>
        <v>x</v>
      </c>
      <c r="E38" s="142">
        <f t="shared" si="12"/>
        <v>0</v>
      </c>
      <c r="F38" s="34"/>
      <c r="G38" s="37" t="str">
        <f>IF(COUNT(ngay08!$J$12)&gt;0,ngay08!$J$12,"")</f>
        <v/>
      </c>
      <c r="H38" s="34" t="str">
        <f t="shared" si="2"/>
        <v>x</v>
      </c>
      <c r="I38" s="142">
        <f t="shared" si="13"/>
        <v>0</v>
      </c>
      <c r="J38" s="37" t="str">
        <f>IF(COUNT(ngay08!$I$55)&gt;0,ngay08!$I$55,"")</f>
        <v/>
      </c>
      <c r="K38" s="137" t="str">
        <f t="shared" si="4"/>
        <v>x</v>
      </c>
      <c r="L38" s="142">
        <f t="shared" si="14"/>
        <v>0</v>
      </c>
      <c r="M38" s="34"/>
      <c r="N38" s="37" t="str">
        <f>IF(COUNT(ngay08!$J$4)&gt;0,ngay08!$J$4,"")</f>
        <v/>
      </c>
      <c r="O38" s="34" t="str">
        <f t="shared" si="6"/>
        <v>x</v>
      </c>
      <c r="P38" s="142">
        <f t="shared" si="15"/>
        <v>0</v>
      </c>
      <c r="Q38" s="37" t="str">
        <f>IF(COUNT(ngay08!$I$58)&gt;0,ngay08!$I$58,"")</f>
        <v/>
      </c>
      <c r="R38" s="137" t="str">
        <f t="shared" si="8"/>
        <v>x</v>
      </c>
      <c r="S38" s="142">
        <f t="shared" si="16"/>
        <v>0</v>
      </c>
      <c r="T38" s="34"/>
      <c r="U38" s="37" t="str">
        <f>IF(COUNT(ngay08!$J$15)&gt;0,ngay08!$J$15,"")</f>
        <v/>
      </c>
      <c r="V38" s="34" t="str">
        <f t="shared" si="10"/>
        <v>x</v>
      </c>
      <c r="W38" s="142">
        <f t="shared" si="17"/>
        <v>0</v>
      </c>
    </row>
    <row r="39" spans="1:23" s="145" customFormat="1">
      <c r="A39" s="146">
        <v>9</v>
      </c>
      <c r="B39" s="48">
        <v>1</v>
      </c>
      <c r="C39" s="141" t="str">
        <f>IF(COUNT(ngay09!$C$59)&gt;0,ngay09!$C$59,"")</f>
        <v/>
      </c>
      <c r="D39" s="144" t="str">
        <f t="shared" ref="D39:D70" si="18">IF(COUNT(C35,C39)=2,C39-C35,"x")</f>
        <v>x</v>
      </c>
      <c r="E39" s="142">
        <f t="shared" ref="E39:E54" si="19">IF(COUNT(D39,E38)=2,D39+E38,E38)</f>
        <v>0</v>
      </c>
      <c r="F39" s="140"/>
      <c r="G39" s="141" t="str">
        <f>IF(COUNT(ngay09!$D$12)&gt;0,ngay09!$D$12,"")</f>
        <v/>
      </c>
      <c r="H39" s="140" t="str">
        <f t="shared" ref="H39:H70" si="20">IF(COUNT(G35,G39)=2,G39-G35,"x")</f>
        <v>x</v>
      </c>
      <c r="I39" s="142">
        <f t="shared" ref="I39:I54" si="21">IF(COUNT(H39,I38)=2,H39+I38,I38)</f>
        <v>0</v>
      </c>
      <c r="J39" s="141" t="str">
        <f>IF(COUNT(ngay09!$C$55)&gt;0,ngay09!$C$55,"")</f>
        <v/>
      </c>
      <c r="K39" s="144" t="str">
        <f t="shared" ref="K39:K70" si="22">IF(COUNT(J35,J39)=2,J39-J35,"x")</f>
        <v>x</v>
      </c>
      <c r="L39" s="142">
        <f t="shared" ref="L39:L54" si="23">IF(COUNT(K39,L38)=2,K39+L38,L38)</f>
        <v>0</v>
      </c>
      <c r="M39" s="140"/>
      <c r="N39" s="141" t="str">
        <f>IF(COUNT(ngay09!$D$4)&gt;0,ngay09!$D$4,"")</f>
        <v/>
      </c>
      <c r="O39" s="140" t="str">
        <f t="shared" ref="O39:O70" si="24">IF(COUNT(N35,N39)=2,N39-N35,"x")</f>
        <v>x</v>
      </c>
      <c r="P39" s="142">
        <f t="shared" ref="P39:P54" si="25">IF(COUNT(O39,P38)=2,O39+P38,P38)</f>
        <v>0</v>
      </c>
      <c r="Q39" s="141" t="str">
        <f>IF(COUNT(ngay09!$C$58)&gt;0,ngay09!$C$58,"")</f>
        <v/>
      </c>
      <c r="R39" s="144" t="str">
        <f t="shared" ref="R39:R70" si="26">IF(COUNT(Q35,Q39)=2,Q39-Q35,"x")</f>
        <v>x</v>
      </c>
      <c r="S39" s="142">
        <f t="shared" ref="S39:S54" si="27">IF(COUNT(R39,S38)=2,R39+S38,S38)</f>
        <v>0</v>
      </c>
      <c r="T39" s="140"/>
      <c r="U39" s="141" t="str">
        <f>IF(COUNT(ngay09!$D$15)&gt;0,ngay09!$D$15,"")</f>
        <v/>
      </c>
      <c r="V39" s="140" t="str">
        <f t="shared" ref="V39:V70" si="28">IF(COUNT(U35,U39)=2,U39-U35,"x")</f>
        <v>x</v>
      </c>
      <c r="W39" s="142">
        <f t="shared" ref="W39:W54" si="29">IF(COUNT(V39,W38)=2,V39+W38,W38)</f>
        <v>0</v>
      </c>
    </row>
    <row r="40" spans="1:23">
      <c r="A40" s="41"/>
      <c r="B40" s="139">
        <v>7</v>
      </c>
      <c r="C40" s="37" t="str">
        <f>IF(COUNT(ngay09!$E$59)&gt;0,ngay09!$E$59,"")</f>
        <v/>
      </c>
      <c r="D40" s="137" t="str">
        <f t="shared" si="18"/>
        <v>x</v>
      </c>
      <c r="E40" s="142">
        <f t="shared" si="19"/>
        <v>0</v>
      </c>
      <c r="F40" s="34"/>
      <c r="G40" s="37" t="str">
        <f>IF(COUNT(ngay09!$F$12)&gt;0,ngay09!$F$12,"")</f>
        <v/>
      </c>
      <c r="H40" s="34" t="str">
        <f t="shared" si="20"/>
        <v>x</v>
      </c>
      <c r="I40" s="142">
        <f t="shared" si="21"/>
        <v>0</v>
      </c>
      <c r="J40" s="37" t="str">
        <f>IF(COUNT(ngay09!$E$55)&gt;0,ngay09!$E$55,"")</f>
        <v/>
      </c>
      <c r="K40" s="137" t="str">
        <f t="shared" si="22"/>
        <v>x</v>
      </c>
      <c r="L40" s="142">
        <f t="shared" si="23"/>
        <v>0</v>
      </c>
      <c r="M40" s="34"/>
      <c r="N40" s="37" t="str">
        <f>IF(COUNT(ngay09!$F$4)&gt;0,ngay09!$F$4,"")</f>
        <v/>
      </c>
      <c r="O40" s="34" t="str">
        <f t="shared" si="24"/>
        <v>x</v>
      </c>
      <c r="P40" s="142">
        <f t="shared" si="25"/>
        <v>0</v>
      </c>
      <c r="Q40" s="37" t="str">
        <f>IF(COUNT(ngay09!$E$58)&gt;0,ngay09!$E$58,"")</f>
        <v/>
      </c>
      <c r="R40" s="137" t="str">
        <f t="shared" si="26"/>
        <v>x</v>
      </c>
      <c r="S40" s="142">
        <f t="shared" si="27"/>
        <v>0</v>
      </c>
      <c r="T40" s="34"/>
      <c r="U40" s="37" t="str">
        <f>IF(COUNT(ngay09!$F$15)&gt;0,ngay09!$F$15,"")</f>
        <v/>
      </c>
      <c r="V40" s="34" t="str">
        <f t="shared" si="28"/>
        <v>x</v>
      </c>
      <c r="W40" s="142">
        <f t="shared" si="29"/>
        <v>0</v>
      </c>
    </row>
    <row r="41" spans="1:23">
      <c r="A41" s="41"/>
      <c r="B41" s="48">
        <v>13</v>
      </c>
      <c r="C41" s="37" t="str">
        <f>IF(COUNT(ngay09!$G$59)&gt;0,ngay09!$G$59,"")</f>
        <v/>
      </c>
      <c r="D41" s="137" t="str">
        <f t="shared" si="18"/>
        <v>x</v>
      </c>
      <c r="E41" s="142">
        <f t="shared" si="19"/>
        <v>0</v>
      </c>
      <c r="F41" s="34"/>
      <c r="G41" s="37" t="str">
        <f>IF(COUNT(ngay09!$H$12)&gt;0,ngay09!$H$12,"")</f>
        <v/>
      </c>
      <c r="H41" s="34" t="str">
        <f t="shared" si="20"/>
        <v>x</v>
      </c>
      <c r="I41" s="142">
        <f t="shared" si="21"/>
        <v>0</v>
      </c>
      <c r="J41" s="37" t="str">
        <f>IF(COUNT(ngay09!$G$55)&gt;0,ngay09!$G$55,"")</f>
        <v/>
      </c>
      <c r="K41" s="137" t="str">
        <f t="shared" si="22"/>
        <v>x</v>
      </c>
      <c r="L41" s="142">
        <f t="shared" si="23"/>
        <v>0</v>
      </c>
      <c r="M41" s="34"/>
      <c r="N41" s="37" t="str">
        <f>IF(COUNT(ngay09!$H$4)&gt;0,ngay09!$H$4,"")</f>
        <v/>
      </c>
      <c r="O41" s="34" t="str">
        <f t="shared" si="24"/>
        <v>x</v>
      </c>
      <c r="P41" s="142">
        <f t="shared" si="25"/>
        <v>0</v>
      </c>
      <c r="Q41" s="37" t="str">
        <f>IF(COUNT(ngay09!$G$58)&gt;0,ngay09!$G$58,"")</f>
        <v/>
      </c>
      <c r="R41" s="137" t="str">
        <f t="shared" si="26"/>
        <v>x</v>
      </c>
      <c r="S41" s="142">
        <f t="shared" si="27"/>
        <v>0</v>
      </c>
      <c r="T41" s="34"/>
      <c r="U41" s="37" t="str">
        <f>IF(COUNT(ngay09!$H$15)&gt;0,ngay09!$H$15,"")</f>
        <v/>
      </c>
      <c r="V41" s="34" t="str">
        <f t="shared" si="28"/>
        <v>x</v>
      </c>
      <c r="W41" s="142">
        <f t="shared" si="29"/>
        <v>0</v>
      </c>
    </row>
    <row r="42" spans="1:23">
      <c r="A42" s="41"/>
      <c r="B42" s="48">
        <v>19</v>
      </c>
      <c r="C42" s="37" t="str">
        <f>IF(COUNT(ngay09!$I$59)&gt;0,ngay09!$I$59,"")</f>
        <v/>
      </c>
      <c r="D42" s="137" t="str">
        <f t="shared" si="18"/>
        <v>x</v>
      </c>
      <c r="E42" s="142">
        <f t="shared" si="19"/>
        <v>0</v>
      </c>
      <c r="F42" s="34"/>
      <c r="G42" s="37" t="str">
        <f>IF(COUNT(ngay09!$J$12)&gt;0,ngay09!$J$12,"")</f>
        <v/>
      </c>
      <c r="H42" s="34" t="str">
        <f t="shared" si="20"/>
        <v>x</v>
      </c>
      <c r="I42" s="142">
        <f t="shared" si="21"/>
        <v>0</v>
      </c>
      <c r="J42" s="37" t="str">
        <f>IF(COUNT(ngay09!$I$55)&gt;0,ngay09!$I$55,"")</f>
        <v/>
      </c>
      <c r="K42" s="137" t="str">
        <f t="shared" si="22"/>
        <v>x</v>
      </c>
      <c r="L42" s="142">
        <f t="shared" si="23"/>
        <v>0</v>
      </c>
      <c r="M42" s="34"/>
      <c r="N42" s="37" t="str">
        <f>IF(COUNT(ngay09!$J$4)&gt;0,ngay09!$J$4,"")</f>
        <v/>
      </c>
      <c r="O42" s="34" t="str">
        <f t="shared" si="24"/>
        <v>x</v>
      </c>
      <c r="P42" s="142">
        <f t="shared" si="25"/>
        <v>0</v>
      </c>
      <c r="Q42" s="37" t="str">
        <f>IF(COUNT(ngay09!$I$58)&gt;0,ngay09!$I$58,"")</f>
        <v/>
      </c>
      <c r="R42" s="137" t="str">
        <f t="shared" si="26"/>
        <v>x</v>
      </c>
      <c r="S42" s="142">
        <f t="shared" si="27"/>
        <v>0</v>
      </c>
      <c r="T42" s="34"/>
      <c r="U42" s="37" t="str">
        <f>IF(COUNT(ngay09!$J$15)&gt;0,ngay09!$J$15,"")</f>
        <v/>
      </c>
      <c r="V42" s="34" t="str">
        <f t="shared" si="28"/>
        <v>x</v>
      </c>
      <c r="W42" s="142">
        <f t="shared" si="29"/>
        <v>0</v>
      </c>
    </row>
    <row r="43" spans="1:23" s="145" customFormat="1">
      <c r="A43" s="146">
        <v>10</v>
      </c>
      <c r="B43" s="48">
        <v>1</v>
      </c>
      <c r="C43" s="141" t="str">
        <f>IF(COUNT(ngay10!$C$59)&gt;0,ngay10!$C$59,"")</f>
        <v/>
      </c>
      <c r="D43" s="144" t="str">
        <f t="shared" si="18"/>
        <v>x</v>
      </c>
      <c r="E43" s="142">
        <f t="shared" si="19"/>
        <v>0</v>
      </c>
      <c r="F43" s="140"/>
      <c r="G43" s="141" t="str">
        <f>IF(COUNT(ngay10!$D$12)&gt;0,ngay10!$D$12,"")</f>
        <v/>
      </c>
      <c r="H43" s="140" t="str">
        <f t="shared" si="20"/>
        <v>x</v>
      </c>
      <c r="I43" s="142">
        <f t="shared" si="21"/>
        <v>0</v>
      </c>
      <c r="J43" s="141" t="str">
        <f>IF(COUNT(ngay10!$C$55)&gt;0,ngay10!$C$55,"")</f>
        <v/>
      </c>
      <c r="K43" s="144" t="str">
        <f t="shared" si="22"/>
        <v>x</v>
      </c>
      <c r="L43" s="142">
        <f t="shared" si="23"/>
        <v>0</v>
      </c>
      <c r="M43" s="140"/>
      <c r="N43" s="141" t="str">
        <f>IF(COUNT(ngay10!$D$4)&gt;0,ngay10!$D$4,"")</f>
        <v/>
      </c>
      <c r="O43" s="140" t="str">
        <f t="shared" si="24"/>
        <v>x</v>
      </c>
      <c r="P43" s="142">
        <f t="shared" si="25"/>
        <v>0</v>
      </c>
      <c r="Q43" s="141" t="str">
        <f>IF(COUNT(ngay10!$C$58)&gt;0,ngay10!$C$58,"")</f>
        <v/>
      </c>
      <c r="R43" s="144" t="str">
        <f t="shared" si="26"/>
        <v>x</v>
      </c>
      <c r="S43" s="142">
        <f t="shared" si="27"/>
        <v>0</v>
      </c>
      <c r="T43" s="140"/>
      <c r="U43" s="141" t="str">
        <f>IF(COUNT(ngay10!$D$15)&gt;0,ngay10!$D$15,"")</f>
        <v/>
      </c>
      <c r="V43" s="140" t="str">
        <f t="shared" si="28"/>
        <v>x</v>
      </c>
      <c r="W43" s="142">
        <f t="shared" si="29"/>
        <v>0</v>
      </c>
    </row>
    <row r="44" spans="1:23">
      <c r="A44" s="41"/>
      <c r="B44" s="139">
        <v>7</v>
      </c>
      <c r="C44" s="37" t="str">
        <f>IF(COUNT(ngay10!$E$59)&gt;0,ngay10!$E$59,"")</f>
        <v/>
      </c>
      <c r="D44" s="137" t="str">
        <f t="shared" si="18"/>
        <v>x</v>
      </c>
      <c r="E44" s="142">
        <f t="shared" si="19"/>
        <v>0</v>
      </c>
      <c r="F44" s="34"/>
      <c r="G44" s="37" t="str">
        <f>IF(COUNT(ngay10!$F$12)&gt;0,ngay10!$F$12,"")</f>
        <v/>
      </c>
      <c r="H44" s="34" t="str">
        <f t="shared" si="20"/>
        <v>x</v>
      </c>
      <c r="I44" s="142">
        <f t="shared" si="21"/>
        <v>0</v>
      </c>
      <c r="J44" s="37" t="str">
        <f>IF(COUNT(ngay10!$E$55)&gt;0,ngay10!$E$55,"")</f>
        <v/>
      </c>
      <c r="K44" s="137" t="str">
        <f t="shared" si="22"/>
        <v>x</v>
      </c>
      <c r="L44" s="142">
        <f t="shared" si="23"/>
        <v>0</v>
      </c>
      <c r="M44" s="34"/>
      <c r="N44" s="37" t="str">
        <f>IF(COUNT(ngay10!$F$4)&gt;0,ngay10!$F$4,"")</f>
        <v/>
      </c>
      <c r="O44" s="34" t="str">
        <f t="shared" si="24"/>
        <v>x</v>
      </c>
      <c r="P44" s="142">
        <f t="shared" si="25"/>
        <v>0</v>
      </c>
      <c r="Q44" s="37" t="str">
        <f>IF(COUNT(ngay10!$E$58)&gt;0,ngay10!$E$58,"")</f>
        <v/>
      </c>
      <c r="R44" s="137" t="str">
        <f t="shared" si="26"/>
        <v>x</v>
      </c>
      <c r="S44" s="142">
        <f t="shared" si="27"/>
        <v>0</v>
      </c>
      <c r="T44" s="34"/>
      <c r="U44" s="37" t="str">
        <f>IF(COUNT(ngay10!$F$15)&gt;0,ngay10!$F$15,"")</f>
        <v/>
      </c>
      <c r="V44" s="34" t="str">
        <f t="shared" si="28"/>
        <v>x</v>
      </c>
      <c r="W44" s="142">
        <f t="shared" si="29"/>
        <v>0</v>
      </c>
    </row>
    <row r="45" spans="1:23">
      <c r="A45" s="41"/>
      <c r="B45" s="48">
        <v>13</v>
      </c>
      <c r="C45" s="37" t="str">
        <f>IF(COUNT(ngay10!$G$59)&gt;0,ngay10!$G$59,"")</f>
        <v/>
      </c>
      <c r="D45" s="137" t="str">
        <f t="shared" si="18"/>
        <v>x</v>
      </c>
      <c r="E45" s="142">
        <f t="shared" si="19"/>
        <v>0</v>
      </c>
      <c r="F45" s="34"/>
      <c r="G45" s="37" t="str">
        <f>IF(COUNT(ngay10!$H$12)&gt;0,ngay10!$H$12,"")</f>
        <v/>
      </c>
      <c r="H45" s="34" t="str">
        <f t="shared" si="20"/>
        <v>x</v>
      </c>
      <c r="I45" s="142">
        <f t="shared" si="21"/>
        <v>0</v>
      </c>
      <c r="J45" s="37" t="str">
        <f>IF(COUNT(ngay10!$G$55)&gt;0,ngay10!$G$55,"")</f>
        <v/>
      </c>
      <c r="K45" s="137" t="str">
        <f t="shared" si="22"/>
        <v>x</v>
      </c>
      <c r="L45" s="142">
        <f t="shared" si="23"/>
        <v>0</v>
      </c>
      <c r="M45" s="34"/>
      <c r="N45" s="37" t="str">
        <f>IF(COUNT(ngay10!$H$4)&gt;0,ngay10!$H$4,"")</f>
        <v/>
      </c>
      <c r="O45" s="34" t="str">
        <f t="shared" si="24"/>
        <v>x</v>
      </c>
      <c r="P45" s="142">
        <f t="shared" si="25"/>
        <v>0</v>
      </c>
      <c r="Q45" s="37" t="str">
        <f>IF(COUNT(ngay10!$G$58)&gt;0,ngay10!$G$58,"")</f>
        <v/>
      </c>
      <c r="R45" s="137" t="str">
        <f t="shared" si="26"/>
        <v>x</v>
      </c>
      <c r="S45" s="142">
        <f t="shared" si="27"/>
        <v>0</v>
      </c>
      <c r="T45" s="34"/>
      <c r="U45" s="37" t="str">
        <f>IF(COUNT(ngay10!$H$15)&gt;0,ngay10!$H$15,"")</f>
        <v/>
      </c>
      <c r="V45" s="34" t="str">
        <f t="shared" si="28"/>
        <v>x</v>
      </c>
      <c r="W45" s="142">
        <f t="shared" si="29"/>
        <v>0</v>
      </c>
    </row>
    <row r="46" spans="1:23">
      <c r="A46" s="41"/>
      <c r="B46" s="48">
        <v>19</v>
      </c>
      <c r="C46" s="37" t="str">
        <f>IF(COUNT(ngay10!$I$59)&gt;0,ngay10!$I$59,"")</f>
        <v/>
      </c>
      <c r="D46" s="137" t="str">
        <f t="shared" si="18"/>
        <v>x</v>
      </c>
      <c r="E46" s="142">
        <f t="shared" si="19"/>
        <v>0</v>
      </c>
      <c r="F46" s="34"/>
      <c r="G46" s="37" t="str">
        <f>IF(COUNT(ngay10!$J$12)&gt;0,ngay10!$J$12,"")</f>
        <v/>
      </c>
      <c r="H46" s="34" t="str">
        <f t="shared" si="20"/>
        <v>x</v>
      </c>
      <c r="I46" s="142">
        <f t="shared" si="21"/>
        <v>0</v>
      </c>
      <c r="J46" s="37" t="str">
        <f>IF(COUNT(ngay10!$I$55)&gt;0,ngay10!$I$55,"")</f>
        <v/>
      </c>
      <c r="K46" s="137" t="str">
        <f t="shared" si="22"/>
        <v>x</v>
      </c>
      <c r="L46" s="142">
        <f t="shared" si="23"/>
        <v>0</v>
      </c>
      <c r="M46" s="34"/>
      <c r="N46" s="37" t="str">
        <f>IF(COUNT(ngay10!$J$4)&gt;0,ngay10!$J$4,"")</f>
        <v/>
      </c>
      <c r="O46" s="34" t="str">
        <f t="shared" si="24"/>
        <v>x</v>
      </c>
      <c r="P46" s="142">
        <f t="shared" si="25"/>
        <v>0</v>
      </c>
      <c r="Q46" s="37" t="str">
        <f>IF(COUNT(ngay10!$I$58)&gt;0,ngay10!$I$58,"")</f>
        <v/>
      </c>
      <c r="R46" s="137" t="str">
        <f t="shared" si="26"/>
        <v>x</v>
      </c>
      <c r="S46" s="142">
        <f t="shared" si="27"/>
        <v>0</v>
      </c>
      <c r="T46" s="34"/>
      <c r="U46" s="37" t="str">
        <f>IF(COUNT(ngay10!$J$15)&gt;0,ngay10!$J$15,"")</f>
        <v/>
      </c>
      <c r="V46" s="34" t="str">
        <f t="shared" si="28"/>
        <v>x</v>
      </c>
      <c r="W46" s="142">
        <f t="shared" si="29"/>
        <v>0</v>
      </c>
    </row>
    <row r="47" spans="1:23" s="145" customFormat="1">
      <c r="A47" s="146">
        <v>11</v>
      </c>
      <c r="B47" s="48">
        <v>1</v>
      </c>
      <c r="C47" s="141" t="str">
        <f>IF(COUNT(ngay11!$C$59)&gt;0,ngay11!$C$59,"")</f>
        <v/>
      </c>
      <c r="D47" s="144" t="str">
        <f t="shared" si="18"/>
        <v>x</v>
      </c>
      <c r="E47" s="142">
        <f t="shared" si="19"/>
        <v>0</v>
      </c>
      <c r="F47" s="140"/>
      <c r="G47" s="141" t="str">
        <f>IF(COUNT(ngay11!$D$12)&gt;0,ngay11!$D$12,"")</f>
        <v/>
      </c>
      <c r="H47" s="140" t="str">
        <f t="shared" si="20"/>
        <v>x</v>
      </c>
      <c r="I47" s="142">
        <f t="shared" si="21"/>
        <v>0</v>
      </c>
      <c r="J47" s="141" t="str">
        <f>IF(COUNT(ngay11!$C$55)&gt;0,ngay11!$C$55,"")</f>
        <v/>
      </c>
      <c r="K47" s="144" t="str">
        <f t="shared" si="22"/>
        <v>x</v>
      </c>
      <c r="L47" s="142">
        <f t="shared" si="23"/>
        <v>0</v>
      </c>
      <c r="M47" s="140"/>
      <c r="N47" s="141" t="str">
        <f>IF(COUNT(ngay11!$D$4)&gt;0,ngay11!$D$4,"")</f>
        <v/>
      </c>
      <c r="O47" s="140" t="str">
        <f t="shared" si="24"/>
        <v>x</v>
      </c>
      <c r="P47" s="142">
        <f t="shared" si="25"/>
        <v>0</v>
      </c>
      <c r="Q47" s="141" t="str">
        <f>IF(COUNT(ngay11!$C$58)&gt;0,ngay11!$C$58,"")</f>
        <v/>
      </c>
      <c r="R47" s="144" t="str">
        <f t="shared" si="26"/>
        <v>x</v>
      </c>
      <c r="S47" s="142">
        <f t="shared" si="27"/>
        <v>0</v>
      </c>
      <c r="T47" s="140"/>
      <c r="U47" s="141" t="str">
        <f>IF(COUNT(ngay11!$D$15)&gt;0,ngay11!$D$15,"")</f>
        <v/>
      </c>
      <c r="V47" s="140" t="str">
        <f t="shared" si="28"/>
        <v>x</v>
      </c>
      <c r="W47" s="142">
        <f t="shared" si="29"/>
        <v>0</v>
      </c>
    </row>
    <row r="48" spans="1:23">
      <c r="A48" s="41"/>
      <c r="B48" s="139">
        <v>7</v>
      </c>
      <c r="C48" s="37" t="str">
        <f>IF(COUNT(ngay11!$E$59)&gt;0,ngay11!$E$59,"")</f>
        <v/>
      </c>
      <c r="D48" s="137" t="str">
        <f t="shared" si="18"/>
        <v>x</v>
      </c>
      <c r="E48" s="142">
        <f t="shared" si="19"/>
        <v>0</v>
      </c>
      <c r="F48" s="34"/>
      <c r="G48" s="37" t="str">
        <f>IF(COUNT(ngay11!$F$12)&gt;0,ngay11!$F$12,"")</f>
        <v/>
      </c>
      <c r="H48" s="34" t="str">
        <f t="shared" si="20"/>
        <v>x</v>
      </c>
      <c r="I48" s="142">
        <f t="shared" si="21"/>
        <v>0</v>
      </c>
      <c r="J48" s="37" t="str">
        <f>IF(COUNT(ngay11!$E$55)&gt;0,ngay11!$E$55,"")</f>
        <v/>
      </c>
      <c r="K48" s="137" t="str">
        <f t="shared" si="22"/>
        <v>x</v>
      </c>
      <c r="L48" s="142">
        <f t="shared" si="23"/>
        <v>0</v>
      </c>
      <c r="M48" s="34"/>
      <c r="N48" s="37" t="str">
        <f>IF(COUNT(ngay11!$F$4)&gt;0,ngay11!$F$4,"")</f>
        <v/>
      </c>
      <c r="O48" s="34" t="str">
        <f t="shared" si="24"/>
        <v>x</v>
      </c>
      <c r="P48" s="142">
        <f t="shared" si="25"/>
        <v>0</v>
      </c>
      <c r="Q48" s="37" t="str">
        <f>IF(COUNT(ngay11!$E$58)&gt;0,ngay11!$E$58,"")</f>
        <v/>
      </c>
      <c r="R48" s="137" t="str">
        <f t="shared" si="26"/>
        <v>x</v>
      </c>
      <c r="S48" s="142">
        <f t="shared" si="27"/>
        <v>0</v>
      </c>
      <c r="T48" s="34"/>
      <c r="U48" s="37" t="str">
        <f>IF(COUNT(ngay11!$F$15)&gt;0,ngay11!$F$15,"")</f>
        <v/>
      </c>
      <c r="V48" s="34" t="str">
        <f t="shared" si="28"/>
        <v>x</v>
      </c>
      <c r="W48" s="142">
        <f t="shared" si="29"/>
        <v>0</v>
      </c>
    </row>
    <row r="49" spans="1:23">
      <c r="A49" s="41"/>
      <c r="B49" s="48">
        <v>13</v>
      </c>
      <c r="C49" s="37" t="str">
        <f>IF(COUNT(ngay11!$G$59)&gt;0,ngay11!$G$59,"")</f>
        <v/>
      </c>
      <c r="D49" s="137" t="str">
        <f t="shared" si="18"/>
        <v>x</v>
      </c>
      <c r="E49" s="142">
        <f t="shared" si="19"/>
        <v>0</v>
      </c>
      <c r="F49" s="34"/>
      <c r="G49" s="37" t="str">
        <f>IF(COUNT(ngay11!$H$12)&gt;0,ngay11!$H$12,"")</f>
        <v/>
      </c>
      <c r="H49" s="34" t="str">
        <f t="shared" si="20"/>
        <v>x</v>
      </c>
      <c r="I49" s="142">
        <f t="shared" si="21"/>
        <v>0</v>
      </c>
      <c r="J49" s="37" t="str">
        <f>IF(COUNT(ngay11!$G$55)&gt;0,ngay11!$G$55,"")</f>
        <v/>
      </c>
      <c r="K49" s="137" t="str">
        <f t="shared" si="22"/>
        <v>x</v>
      </c>
      <c r="L49" s="142">
        <f t="shared" si="23"/>
        <v>0</v>
      </c>
      <c r="M49" s="34"/>
      <c r="N49" s="37" t="str">
        <f>IF(COUNT(ngay11!$H$4)&gt;0,ngay11!$H$4,"")</f>
        <v/>
      </c>
      <c r="O49" s="34" t="str">
        <f t="shared" si="24"/>
        <v>x</v>
      </c>
      <c r="P49" s="142">
        <f t="shared" si="25"/>
        <v>0</v>
      </c>
      <c r="Q49" s="37" t="str">
        <f>IF(COUNT(ngay11!$G$58)&gt;0,ngay11!$G$58,"")</f>
        <v/>
      </c>
      <c r="R49" s="137" t="str">
        <f t="shared" si="26"/>
        <v>x</v>
      </c>
      <c r="S49" s="142">
        <f t="shared" si="27"/>
        <v>0</v>
      </c>
      <c r="T49" s="34"/>
      <c r="U49" s="37" t="str">
        <f>IF(COUNT(ngay11!$H$15)&gt;0,ngay11!$H$15,"")</f>
        <v/>
      </c>
      <c r="V49" s="34" t="str">
        <f t="shared" si="28"/>
        <v>x</v>
      </c>
      <c r="W49" s="142">
        <f t="shared" si="29"/>
        <v>0</v>
      </c>
    </row>
    <row r="50" spans="1:23">
      <c r="A50" s="41"/>
      <c r="B50" s="48">
        <v>19</v>
      </c>
      <c r="C50" s="37" t="str">
        <f>IF(COUNT(ngay11!$I$59)&gt;0,ngay11!$I$59,"")</f>
        <v/>
      </c>
      <c r="D50" s="137" t="str">
        <f t="shared" si="18"/>
        <v>x</v>
      </c>
      <c r="E50" s="142">
        <f t="shared" si="19"/>
        <v>0</v>
      </c>
      <c r="F50" s="34"/>
      <c r="G50" s="37" t="str">
        <f>IF(COUNT(ngay11!$J$12)&gt;0,ngay11!$J$12,"")</f>
        <v/>
      </c>
      <c r="H50" s="34" t="str">
        <f t="shared" si="20"/>
        <v>x</v>
      </c>
      <c r="I50" s="142">
        <f t="shared" si="21"/>
        <v>0</v>
      </c>
      <c r="J50" s="37" t="str">
        <f>IF(COUNT(ngay11!$I$55)&gt;0,ngay11!$I$55,"")</f>
        <v/>
      </c>
      <c r="K50" s="137" t="str">
        <f t="shared" si="22"/>
        <v>x</v>
      </c>
      <c r="L50" s="142">
        <f t="shared" si="23"/>
        <v>0</v>
      </c>
      <c r="M50" s="34"/>
      <c r="N50" s="37" t="str">
        <f>IF(COUNT(ngay11!$J$4)&gt;0,ngay11!$J$4,"")</f>
        <v/>
      </c>
      <c r="O50" s="34" t="str">
        <f t="shared" si="24"/>
        <v>x</v>
      </c>
      <c r="P50" s="142">
        <f t="shared" si="25"/>
        <v>0</v>
      </c>
      <c r="Q50" s="37" t="str">
        <f>IF(COUNT(ngay11!$I$58)&gt;0,ngay11!$I$58,"")</f>
        <v/>
      </c>
      <c r="R50" s="137" t="str">
        <f t="shared" si="26"/>
        <v>x</v>
      </c>
      <c r="S50" s="142">
        <f t="shared" si="27"/>
        <v>0</v>
      </c>
      <c r="T50" s="34"/>
      <c r="U50" s="37" t="str">
        <f>IF(COUNT(ngay11!$J$15)&gt;0,ngay11!$J$15,"")</f>
        <v/>
      </c>
      <c r="V50" s="34" t="str">
        <f t="shared" si="28"/>
        <v>x</v>
      </c>
      <c r="W50" s="142">
        <f t="shared" si="29"/>
        <v>0</v>
      </c>
    </row>
    <row r="51" spans="1:23" s="145" customFormat="1">
      <c r="A51" s="146">
        <v>12</v>
      </c>
      <c r="B51" s="48">
        <v>1</v>
      </c>
      <c r="C51" s="141" t="str">
        <f>IF(COUNT(ngay12!$C$59)&gt;0,ngay12!$C$59,"")</f>
        <v/>
      </c>
      <c r="D51" s="144" t="str">
        <f t="shared" si="18"/>
        <v>x</v>
      </c>
      <c r="E51" s="142">
        <f t="shared" si="19"/>
        <v>0</v>
      </c>
      <c r="F51" s="140"/>
      <c r="G51" s="141" t="str">
        <f>IF(COUNT(ngay12!$D$12)&gt;0,ngay12!$D$12,"")</f>
        <v/>
      </c>
      <c r="H51" s="140" t="str">
        <f t="shared" si="20"/>
        <v>x</v>
      </c>
      <c r="I51" s="142">
        <f t="shared" si="21"/>
        <v>0</v>
      </c>
      <c r="J51" s="141" t="str">
        <f>IF(COUNT(ngay12!$C$55)&gt;0,ngay12!$C$55,"")</f>
        <v/>
      </c>
      <c r="K51" s="144" t="str">
        <f t="shared" si="22"/>
        <v>x</v>
      </c>
      <c r="L51" s="142">
        <f t="shared" si="23"/>
        <v>0</v>
      </c>
      <c r="M51" s="140"/>
      <c r="N51" s="141" t="str">
        <f>IF(COUNT(ngay12!$D$4)&gt;0,ngay12!$D$4,"")</f>
        <v/>
      </c>
      <c r="O51" s="140" t="str">
        <f t="shared" si="24"/>
        <v>x</v>
      </c>
      <c r="P51" s="142">
        <f t="shared" si="25"/>
        <v>0</v>
      </c>
      <c r="Q51" s="141" t="str">
        <f>IF(COUNT(ngay12!$C$58)&gt;0,ngay12!$C$58,"")</f>
        <v/>
      </c>
      <c r="R51" s="144" t="str">
        <f t="shared" si="26"/>
        <v>x</v>
      </c>
      <c r="S51" s="142">
        <f t="shared" si="27"/>
        <v>0</v>
      </c>
      <c r="T51" s="140"/>
      <c r="U51" s="141" t="str">
        <f>IF(COUNT(ngay12!$D$15)&gt;0,ngay12!$D$15,"")</f>
        <v/>
      </c>
      <c r="V51" s="140" t="str">
        <f t="shared" si="28"/>
        <v>x</v>
      </c>
      <c r="W51" s="142">
        <f t="shared" si="29"/>
        <v>0</v>
      </c>
    </row>
    <row r="52" spans="1:23">
      <c r="A52" s="41"/>
      <c r="B52" s="139">
        <v>7</v>
      </c>
      <c r="C52" s="37" t="str">
        <f>IF(COUNT(ngay12!$E$59)&gt;0,ngay12!$E$59,"")</f>
        <v/>
      </c>
      <c r="D52" s="137" t="str">
        <f t="shared" si="18"/>
        <v>x</v>
      </c>
      <c r="E52" s="142">
        <f t="shared" si="19"/>
        <v>0</v>
      </c>
      <c r="F52" s="34"/>
      <c r="G52" s="37" t="str">
        <f>IF(COUNT(ngay12!$F$12)&gt;0,ngay12!$F$12,"")</f>
        <v/>
      </c>
      <c r="H52" s="34" t="str">
        <f t="shared" si="20"/>
        <v>x</v>
      </c>
      <c r="I52" s="142">
        <f t="shared" si="21"/>
        <v>0</v>
      </c>
      <c r="J52" s="37" t="str">
        <f>IF(COUNT(ngay12!$E$55)&gt;0,ngay12!$E$55,"")</f>
        <v/>
      </c>
      <c r="K52" s="137" t="str">
        <f t="shared" si="22"/>
        <v>x</v>
      </c>
      <c r="L52" s="142">
        <f t="shared" si="23"/>
        <v>0</v>
      </c>
      <c r="M52" s="34"/>
      <c r="N52" s="37" t="str">
        <f>IF(COUNT(ngay12!$F$4)&gt;0,ngay12!$F$4,"")</f>
        <v/>
      </c>
      <c r="O52" s="34" t="str">
        <f t="shared" si="24"/>
        <v>x</v>
      </c>
      <c r="P52" s="142">
        <f t="shared" si="25"/>
        <v>0</v>
      </c>
      <c r="Q52" s="37" t="str">
        <f>IF(COUNT(ngay12!$E$58)&gt;0,ngay12!$E$58,"")</f>
        <v/>
      </c>
      <c r="R52" s="137" t="str">
        <f t="shared" si="26"/>
        <v>x</v>
      </c>
      <c r="S52" s="142">
        <f t="shared" si="27"/>
        <v>0</v>
      </c>
      <c r="T52" s="34"/>
      <c r="U52" s="37" t="str">
        <f>IF(COUNT(ngay12!$F$15)&gt;0,ngay12!$F$15,"")</f>
        <v/>
      </c>
      <c r="V52" s="34" t="str">
        <f t="shared" si="28"/>
        <v>x</v>
      </c>
      <c r="W52" s="142">
        <f t="shared" si="29"/>
        <v>0</v>
      </c>
    </row>
    <row r="53" spans="1:23">
      <c r="A53" s="41"/>
      <c r="B53" s="48">
        <v>13</v>
      </c>
      <c r="C53" s="37" t="str">
        <f>IF(COUNT(ngay12!$G$59)&gt;0,ngay12!$G$59,"")</f>
        <v/>
      </c>
      <c r="D53" s="137" t="str">
        <f t="shared" si="18"/>
        <v>x</v>
      </c>
      <c r="E53" s="142">
        <f t="shared" si="19"/>
        <v>0</v>
      </c>
      <c r="F53" s="34"/>
      <c r="G53" s="37" t="str">
        <f>IF(COUNT(ngay12!$H$12)&gt;0,ngay12!$H$12,"")</f>
        <v/>
      </c>
      <c r="H53" s="34" t="str">
        <f t="shared" si="20"/>
        <v>x</v>
      </c>
      <c r="I53" s="142">
        <f t="shared" si="21"/>
        <v>0</v>
      </c>
      <c r="J53" s="37" t="str">
        <f>IF(COUNT(ngay12!$G$55)&gt;0,ngay12!$G$55,"")</f>
        <v/>
      </c>
      <c r="K53" s="137" t="str">
        <f t="shared" si="22"/>
        <v>x</v>
      </c>
      <c r="L53" s="142">
        <f t="shared" si="23"/>
        <v>0</v>
      </c>
      <c r="M53" s="34"/>
      <c r="N53" s="37" t="str">
        <f>IF(COUNT(ngay12!$H$4)&gt;0,ngay12!$H$4,"")</f>
        <v/>
      </c>
      <c r="O53" s="34" t="str">
        <f t="shared" si="24"/>
        <v>x</v>
      </c>
      <c r="P53" s="142">
        <f t="shared" si="25"/>
        <v>0</v>
      </c>
      <c r="Q53" s="37" t="str">
        <f>IF(COUNT(ngay12!$G$58)&gt;0,ngay12!$G$58,"")</f>
        <v/>
      </c>
      <c r="R53" s="137" t="str">
        <f t="shared" si="26"/>
        <v>x</v>
      </c>
      <c r="S53" s="142">
        <f t="shared" si="27"/>
        <v>0</v>
      </c>
      <c r="T53" s="34"/>
      <c r="U53" s="37" t="str">
        <f>IF(COUNT(ngay12!$H$15)&gt;0,ngay12!$H$15,"")</f>
        <v/>
      </c>
      <c r="V53" s="34" t="str">
        <f t="shared" si="28"/>
        <v>x</v>
      </c>
      <c r="W53" s="142">
        <f t="shared" si="29"/>
        <v>0</v>
      </c>
    </row>
    <row r="54" spans="1:23">
      <c r="A54" s="41"/>
      <c r="B54" s="48">
        <v>19</v>
      </c>
      <c r="C54" s="37" t="str">
        <f>IF(COUNT(ngay12!$I$59)&gt;0,ngay12!$I$59,"")</f>
        <v/>
      </c>
      <c r="D54" s="137" t="str">
        <f t="shared" si="18"/>
        <v>x</v>
      </c>
      <c r="E54" s="142">
        <f t="shared" si="19"/>
        <v>0</v>
      </c>
      <c r="F54" s="34"/>
      <c r="G54" s="37" t="str">
        <f>IF(COUNT(ngay12!$J$12)&gt;0,ngay12!$J$12,"")</f>
        <v/>
      </c>
      <c r="H54" s="34" t="str">
        <f t="shared" si="20"/>
        <v>x</v>
      </c>
      <c r="I54" s="142">
        <f t="shared" si="21"/>
        <v>0</v>
      </c>
      <c r="J54" s="37" t="str">
        <f>IF(COUNT(ngay12!$I$55)&gt;0,ngay12!$I$55,"")</f>
        <v/>
      </c>
      <c r="K54" s="137" t="str">
        <f t="shared" si="22"/>
        <v>x</v>
      </c>
      <c r="L54" s="142">
        <f t="shared" si="23"/>
        <v>0</v>
      </c>
      <c r="M54" s="34"/>
      <c r="N54" s="37" t="str">
        <f>IF(COUNT(ngay12!$J$4)&gt;0,ngay12!$J$4,"")</f>
        <v/>
      </c>
      <c r="O54" s="34" t="str">
        <f t="shared" si="24"/>
        <v>x</v>
      </c>
      <c r="P54" s="142">
        <f t="shared" si="25"/>
        <v>0</v>
      </c>
      <c r="Q54" s="37" t="str">
        <f>IF(COUNT(ngay12!$I$58)&gt;0,ngay12!$I$58,"")</f>
        <v/>
      </c>
      <c r="R54" s="137" t="str">
        <f t="shared" si="26"/>
        <v>x</v>
      </c>
      <c r="S54" s="142">
        <f t="shared" si="27"/>
        <v>0</v>
      </c>
      <c r="T54" s="34"/>
      <c r="U54" s="37" t="str">
        <f>IF(COUNT(ngay12!$J$15)&gt;0,ngay12!$J$15,"")</f>
        <v/>
      </c>
      <c r="V54" s="34" t="str">
        <f t="shared" si="28"/>
        <v>x</v>
      </c>
      <c r="W54" s="142">
        <f t="shared" si="29"/>
        <v>0</v>
      </c>
    </row>
    <row r="55" spans="1:23" s="145" customFormat="1">
      <c r="A55" s="146">
        <v>13</v>
      </c>
      <c r="B55" s="48">
        <v>1</v>
      </c>
      <c r="C55" s="141" t="str">
        <f>IF(COUNT(ngay13!$C$59)&gt;0,ngay13!$C$59,"")</f>
        <v/>
      </c>
      <c r="D55" s="144" t="str">
        <f t="shared" si="18"/>
        <v>x</v>
      </c>
      <c r="E55" s="142">
        <f t="shared" ref="E55:E70" si="30">IF(COUNT(D55,E54)=2,D55+E54,E54)</f>
        <v>0</v>
      </c>
      <c r="F55" s="140"/>
      <c r="G55" s="141" t="str">
        <f>IF(COUNT(ngay13!$D$12)&gt;0,ngay13!$D$12,"")</f>
        <v/>
      </c>
      <c r="H55" s="140" t="str">
        <f t="shared" si="20"/>
        <v>x</v>
      </c>
      <c r="I55" s="142">
        <f t="shared" ref="I55:I70" si="31">IF(COUNT(H55,I54)=2,H55+I54,I54)</f>
        <v>0</v>
      </c>
      <c r="J55" s="141" t="str">
        <f>IF(COUNT(ngay13!$C$55)&gt;0,ngay13!$C$55,"")</f>
        <v/>
      </c>
      <c r="K55" s="144" t="str">
        <f t="shared" si="22"/>
        <v>x</v>
      </c>
      <c r="L55" s="142">
        <f t="shared" ref="L55:L70" si="32">IF(COUNT(K55,L54)=2,K55+L54,L54)</f>
        <v>0</v>
      </c>
      <c r="M55" s="140"/>
      <c r="N55" s="141" t="str">
        <f>IF(COUNT(ngay13!$D$4)&gt;0,ngay13!$D$4,"")</f>
        <v/>
      </c>
      <c r="O55" s="140" t="str">
        <f t="shared" si="24"/>
        <v>x</v>
      </c>
      <c r="P55" s="142">
        <f t="shared" ref="P55:P70" si="33">IF(COUNT(O55,P54)=2,O55+P54,P54)</f>
        <v>0</v>
      </c>
      <c r="Q55" s="141" t="str">
        <f>IF(COUNT(ngay13!$C$58)&gt;0,ngay13!$C$58,"")</f>
        <v/>
      </c>
      <c r="R55" s="144" t="str">
        <f t="shared" si="26"/>
        <v>x</v>
      </c>
      <c r="S55" s="142">
        <f t="shared" ref="S55:S70" si="34">IF(COUNT(R55,S54)=2,R55+S54,S54)</f>
        <v>0</v>
      </c>
      <c r="T55" s="140"/>
      <c r="U55" s="141" t="str">
        <f>IF(COUNT(ngay13!$D$15)&gt;0,ngay13!$D$15,"")</f>
        <v/>
      </c>
      <c r="V55" s="140" t="str">
        <f t="shared" si="28"/>
        <v>x</v>
      </c>
      <c r="W55" s="142">
        <f t="shared" ref="W55:W70" si="35">IF(COUNT(V55,W54)=2,V55+W54,W54)</f>
        <v>0</v>
      </c>
    </row>
    <row r="56" spans="1:23">
      <c r="A56" s="41"/>
      <c r="B56" s="139">
        <v>7</v>
      </c>
      <c r="C56" s="37" t="str">
        <f>IF(COUNT(ngay13!$E$59)&gt;0,ngay13!$E$59,"")</f>
        <v/>
      </c>
      <c r="D56" s="137" t="str">
        <f t="shared" si="18"/>
        <v>x</v>
      </c>
      <c r="E56" s="142">
        <f t="shared" si="30"/>
        <v>0</v>
      </c>
      <c r="F56" s="34"/>
      <c r="G56" s="37" t="str">
        <f>IF(COUNT(ngay13!$F$12)&gt;0,ngay13!$F$12,"")</f>
        <v/>
      </c>
      <c r="H56" s="34" t="str">
        <f t="shared" si="20"/>
        <v>x</v>
      </c>
      <c r="I56" s="142">
        <f t="shared" si="31"/>
        <v>0</v>
      </c>
      <c r="J56" s="37" t="str">
        <f>IF(COUNT(ngay13!$E$55)&gt;0,ngay13!$E$55,"")</f>
        <v/>
      </c>
      <c r="K56" s="137" t="str">
        <f t="shared" si="22"/>
        <v>x</v>
      </c>
      <c r="L56" s="142">
        <f t="shared" si="32"/>
        <v>0</v>
      </c>
      <c r="M56" s="34"/>
      <c r="N56" s="37" t="str">
        <f>IF(COUNT(ngay13!$F$4)&gt;0,ngay13!$F$4,"")</f>
        <v/>
      </c>
      <c r="O56" s="34" t="str">
        <f t="shared" si="24"/>
        <v>x</v>
      </c>
      <c r="P56" s="142">
        <f t="shared" si="33"/>
        <v>0</v>
      </c>
      <c r="Q56" s="37" t="str">
        <f>IF(COUNT(ngay13!$E$58)&gt;0,ngay13!$E$58,"")</f>
        <v/>
      </c>
      <c r="R56" s="137" t="str">
        <f t="shared" si="26"/>
        <v>x</v>
      </c>
      <c r="S56" s="142">
        <f t="shared" si="34"/>
        <v>0</v>
      </c>
      <c r="T56" s="34"/>
      <c r="U56" s="37" t="str">
        <f>IF(COUNT(ngay13!$F$15)&gt;0,ngay13!$F$15,"")</f>
        <v/>
      </c>
      <c r="V56" s="34" t="str">
        <f t="shared" si="28"/>
        <v>x</v>
      </c>
      <c r="W56" s="142">
        <f t="shared" si="35"/>
        <v>0</v>
      </c>
    </row>
    <row r="57" spans="1:23">
      <c r="A57" s="41"/>
      <c r="B57" s="48">
        <v>13</v>
      </c>
      <c r="C57" s="37" t="str">
        <f>IF(COUNT(ngay13!$G$59)&gt;0,ngay13!$G$59,"")</f>
        <v/>
      </c>
      <c r="D57" s="137" t="str">
        <f t="shared" si="18"/>
        <v>x</v>
      </c>
      <c r="E57" s="142">
        <f t="shared" si="30"/>
        <v>0</v>
      </c>
      <c r="F57" s="34"/>
      <c r="G57" s="37" t="str">
        <f>IF(COUNT(ngay13!$H$12)&gt;0,ngay13!$H$12,"")</f>
        <v/>
      </c>
      <c r="H57" s="34" t="str">
        <f t="shared" si="20"/>
        <v>x</v>
      </c>
      <c r="I57" s="142">
        <f t="shared" si="31"/>
        <v>0</v>
      </c>
      <c r="J57" s="37" t="str">
        <f>IF(COUNT(ngay13!$G$55)&gt;0,ngay13!$G$55,"")</f>
        <v/>
      </c>
      <c r="K57" s="137" t="str">
        <f t="shared" si="22"/>
        <v>x</v>
      </c>
      <c r="L57" s="142">
        <f t="shared" si="32"/>
        <v>0</v>
      </c>
      <c r="M57" s="34"/>
      <c r="N57" s="37" t="str">
        <f>IF(COUNT(ngay13!$H$4)&gt;0,ngay13!$H$4,"")</f>
        <v/>
      </c>
      <c r="O57" s="34" t="str">
        <f t="shared" si="24"/>
        <v>x</v>
      </c>
      <c r="P57" s="142">
        <f t="shared" si="33"/>
        <v>0</v>
      </c>
      <c r="Q57" s="37" t="str">
        <f>IF(COUNT(ngay13!$G$58)&gt;0,ngay13!$G$58,"")</f>
        <v/>
      </c>
      <c r="R57" s="137" t="str">
        <f t="shared" si="26"/>
        <v>x</v>
      </c>
      <c r="S57" s="142">
        <f t="shared" si="34"/>
        <v>0</v>
      </c>
      <c r="T57" s="34"/>
      <c r="U57" s="37" t="str">
        <f>IF(COUNT(ngay13!$H$15)&gt;0,ngay13!$H$15,"")</f>
        <v/>
      </c>
      <c r="V57" s="34" t="str">
        <f t="shared" si="28"/>
        <v>x</v>
      </c>
      <c r="W57" s="142">
        <f t="shared" si="35"/>
        <v>0</v>
      </c>
    </row>
    <row r="58" spans="1:23">
      <c r="A58" s="41"/>
      <c r="B58" s="48">
        <v>19</v>
      </c>
      <c r="C58" s="37" t="str">
        <f>IF(COUNT(ngay13!$I$59)&gt;0,ngay13!$I$59,"")</f>
        <v/>
      </c>
      <c r="D58" s="137" t="str">
        <f t="shared" si="18"/>
        <v>x</v>
      </c>
      <c r="E58" s="142">
        <f t="shared" si="30"/>
        <v>0</v>
      </c>
      <c r="F58" s="34"/>
      <c r="G58" s="37" t="str">
        <f>IF(COUNT(ngay13!$J$12)&gt;0,ngay13!$J$12,"")</f>
        <v/>
      </c>
      <c r="H58" s="34" t="str">
        <f t="shared" si="20"/>
        <v>x</v>
      </c>
      <c r="I58" s="142">
        <f t="shared" si="31"/>
        <v>0</v>
      </c>
      <c r="J58" s="37" t="str">
        <f>IF(COUNT(ngay13!$I$55)&gt;0,ngay13!$I$55,"")</f>
        <v/>
      </c>
      <c r="K58" s="137" t="str">
        <f t="shared" si="22"/>
        <v>x</v>
      </c>
      <c r="L58" s="142">
        <f t="shared" si="32"/>
        <v>0</v>
      </c>
      <c r="M58" s="34"/>
      <c r="N58" s="37" t="str">
        <f>IF(COUNT(ngay13!$J$4)&gt;0,ngay13!$J$4,"")</f>
        <v/>
      </c>
      <c r="O58" s="34" t="str">
        <f t="shared" si="24"/>
        <v>x</v>
      </c>
      <c r="P58" s="142">
        <f t="shared" si="33"/>
        <v>0</v>
      </c>
      <c r="Q58" s="37" t="str">
        <f>IF(COUNT(ngay13!$I$58)&gt;0,ngay13!$I$58,"")</f>
        <v/>
      </c>
      <c r="R58" s="137" t="str">
        <f t="shared" si="26"/>
        <v>x</v>
      </c>
      <c r="S58" s="142">
        <f t="shared" si="34"/>
        <v>0</v>
      </c>
      <c r="T58" s="34"/>
      <c r="U58" s="37" t="str">
        <f>IF(COUNT(ngay13!$J$15)&gt;0,ngay13!$J$15,"")</f>
        <v/>
      </c>
      <c r="V58" s="34" t="str">
        <f t="shared" si="28"/>
        <v>x</v>
      </c>
      <c r="W58" s="142">
        <f t="shared" si="35"/>
        <v>0</v>
      </c>
    </row>
    <row r="59" spans="1:23" s="145" customFormat="1">
      <c r="A59" s="146">
        <v>14</v>
      </c>
      <c r="B59" s="48">
        <v>1</v>
      </c>
      <c r="C59" s="141" t="str">
        <f>IF(COUNT(ngay14!$C$59)&gt;0,ngay14!$C$59,"")</f>
        <v/>
      </c>
      <c r="D59" s="144" t="str">
        <f t="shared" si="18"/>
        <v>x</v>
      </c>
      <c r="E59" s="142">
        <f t="shared" si="30"/>
        <v>0</v>
      </c>
      <c r="F59" s="140"/>
      <c r="G59" s="141" t="str">
        <f>IF(COUNT(ngay14!$D$12)&gt;0,ngay14!$D$12,"")</f>
        <v/>
      </c>
      <c r="H59" s="140" t="str">
        <f t="shared" si="20"/>
        <v>x</v>
      </c>
      <c r="I59" s="142">
        <f t="shared" si="31"/>
        <v>0</v>
      </c>
      <c r="J59" s="141" t="str">
        <f>IF(COUNT(ngay14!$C$55)&gt;0,ngay14!$C$55,"")</f>
        <v/>
      </c>
      <c r="K59" s="144" t="str">
        <f t="shared" si="22"/>
        <v>x</v>
      </c>
      <c r="L59" s="142">
        <f t="shared" si="32"/>
        <v>0</v>
      </c>
      <c r="M59" s="140"/>
      <c r="N59" s="141" t="str">
        <f>IF(COUNT(ngay14!$D$4)&gt;0,ngay14!$D$4,"")</f>
        <v/>
      </c>
      <c r="O59" s="140" t="str">
        <f t="shared" si="24"/>
        <v>x</v>
      </c>
      <c r="P59" s="142">
        <f t="shared" si="33"/>
        <v>0</v>
      </c>
      <c r="Q59" s="141" t="str">
        <f>IF(COUNT(ngay14!$C$58)&gt;0,ngay14!$C$58,"")</f>
        <v/>
      </c>
      <c r="R59" s="144" t="str">
        <f t="shared" si="26"/>
        <v>x</v>
      </c>
      <c r="S59" s="142">
        <f t="shared" si="34"/>
        <v>0</v>
      </c>
      <c r="T59" s="140"/>
      <c r="U59" s="141" t="str">
        <f>IF(COUNT(ngay14!$D$15)&gt;0,ngay14!$D$15,"")</f>
        <v/>
      </c>
      <c r="V59" s="140" t="str">
        <f t="shared" si="28"/>
        <v>x</v>
      </c>
      <c r="W59" s="142">
        <f t="shared" si="35"/>
        <v>0</v>
      </c>
    </row>
    <row r="60" spans="1:23">
      <c r="A60" s="41"/>
      <c r="B60" s="139">
        <v>7</v>
      </c>
      <c r="C60" s="37" t="str">
        <f>IF(COUNT(ngay14!$E$59)&gt;0,ngay14!$E$59,"")</f>
        <v/>
      </c>
      <c r="D60" s="137" t="str">
        <f t="shared" si="18"/>
        <v>x</v>
      </c>
      <c r="E60" s="142">
        <f t="shared" si="30"/>
        <v>0</v>
      </c>
      <c r="F60" s="34"/>
      <c r="G60" s="37" t="str">
        <f>IF(COUNT(ngay14!$F$12)&gt;0,ngay14!$F$12,"")</f>
        <v/>
      </c>
      <c r="H60" s="34" t="str">
        <f t="shared" si="20"/>
        <v>x</v>
      </c>
      <c r="I60" s="142">
        <f t="shared" si="31"/>
        <v>0</v>
      </c>
      <c r="J60" s="37" t="str">
        <f>IF(COUNT(ngay14!$E$55)&gt;0,ngay14!$E$55,"")</f>
        <v/>
      </c>
      <c r="K60" s="137" t="str">
        <f t="shared" si="22"/>
        <v>x</v>
      </c>
      <c r="L60" s="142">
        <f t="shared" si="32"/>
        <v>0</v>
      </c>
      <c r="M60" s="34"/>
      <c r="N60" s="37" t="str">
        <f>IF(COUNT(ngay14!$F$4)&gt;0,ngay14!$F$4,"")</f>
        <v/>
      </c>
      <c r="O60" s="34" t="str">
        <f t="shared" si="24"/>
        <v>x</v>
      </c>
      <c r="P60" s="142">
        <f t="shared" si="33"/>
        <v>0</v>
      </c>
      <c r="Q60" s="37" t="str">
        <f>IF(COUNT(ngay14!$E$58)&gt;0,ngay14!$E$58,"")</f>
        <v/>
      </c>
      <c r="R60" s="137" t="str">
        <f t="shared" si="26"/>
        <v>x</v>
      </c>
      <c r="S60" s="142">
        <f t="shared" si="34"/>
        <v>0</v>
      </c>
      <c r="T60" s="34"/>
      <c r="U60" s="37" t="str">
        <f>IF(COUNT(ngay14!$F$15)&gt;0,ngay14!$F$15,"")</f>
        <v/>
      </c>
      <c r="V60" s="34" t="str">
        <f t="shared" si="28"/>
        <v>x</v>
      </c>
      <c r="W60" s="142">
        <f t="shared" si="35"/>
        <v>0</v>
      </c>
    </row>
    <row r="61" spans="1:23">
      <c r="A61" s="41"/>
      <c r="B61" s="48">
        <v>13</v>
      </c>
      <c r="C61" s="37" t="str">
        <f>IF(COUNT(ngay14!$G$59)&gt;0,ngay14!$G$59,"")</f>
        <v/>
      </c>
      <c r="D61" s="137" t="str">
        <f t="shared" si="18"/>
        <v>x</v>
      </c>
      <c r="E61" s="142">
        <f t="shared" si="30"/>
        <v>0</v>
      </c>
      <c r="F61" s="34"/>
      <c r="G61" s="37" t="str">
        <f>IF(COUNT(ngay14!$H$12)&gt;0,ngay14!$H$12,"")</f>
        <v/>
      </c>
      <c r="H61" s="34" t="str">
        <f t="shared" si="20"/>
        <v>x</v>
      </c>
      <c r="I61" s="142">
        <f t="shared" si="31"/>
        <v>0</v>
      </c>
      <c r="J61" s="37" t="str">
        <f>IF(COUNT(ngay14!$G$55)&gt;0,ngay14!$G$55,"")</f>
        <v/>
      </c>
      <c r="K61" s="137" t="str">
        <f t="shared" si="22"/>
        <v>x</v>
      </c>
      <c r="L61" s="142">
        <f t="shared" si="32"/>
        <v>0</v>
      </c>
      <c r="M61" s="34"/>
      <c r="N61" s="37" t="str">
        <f>IF(COUNT(ngay14!$H$4)&gt;0,ngay14!$H$4,"")</f>
        <v/>
      </c>
      <c r="O61" s="34" t="str">
        <f t="shared" si="24"/>
        <v>x</v>
      </c>
      <c r="P61" s="142">
        <f t="shared" si="33"/>
        <v>0</v>
      </c>
      <c r="Q61" s="37" t="str">
        <f>IF(COUNT(ngay14!$G$58)&gt;0,ngay14!$G$58,"")</f>
        <v/>
      </c>
      <c r="R61" s="137" t="str">
        <f t="shared" si="26"/>
        <v>x</v>
      </c>
      <c r="S61" s="142">
        <f t="shared" si="34"/>
        <v>0</v>
      </c>
      <c r="T61" s="34"/>
      <c r="U61" s="37" t="str">
        <f>IF(COUNT(ngay14!$H$15)&gt;0,ngay14!$H$15,"")</f>
        <v/>
      </c>
      <c r="V61" s="34" t="str">
        <f t="shared" si="28"/>
        <v>x</v>
      </c>
      <c r="W61" s="142">
        <f t="shared" si="35"/>
        <v>0</v>
      </c>
    </row>
    <row r="62" spans="1:23">
      <c r="A62" s="41"/>
      <c r="B62" s="48">
        <v>19</v>
      </c>
      <c r="C62" s="37" t="str">
        <f>IF(COUNT(ngay14!$I$59)&gt;0,ngay14!$I$59,"")</f>
        <v/>
      </c>
      <c r="D62" s="137" t="str">
        <f t="shared" si="18"/>
        <v>x</v>
      </c>
      <c r="E62" s="142">
        <f t="shared" si="30"/>
        <v>0</v>
      </c>
      <c r="F62" s="34"/>
      <c r="G62" s="37" t="str">
        <f>IF(COUNT(ngay14!$J$12)&gt;0,ngay14!$J$12,"")</f>
        <v/>
      </c>
      <c r="H62" s="34" t="str">
        <f t="shared" si="20"/>
        <v>x</v>
      </c>
      <c r="I62" s="142">
        <f t="shared" si="31"/>
        <v>0</v>
      </c>
      <c r="J62" s="37" t="str">
        <f>IF(COUNT(ngay14!$I$55)&gt;0,ngay14!$I$55,"")</f>
        <v/>
      </c>
      <c r="K62" s="137" t="str">
        <f t="shared" si="22"/>
        <v>x</v>
      </c>
      <c r="L62" s="142">
        <f t="shared" si="32"/>
        <v>0</v>
      </c>
      <c r="M62" s="34"/>
      <c r="N62" s="37" t="str">
        <f>IF(COUNT(ngay14!$J$4)&gt;0,ngay14!$J$4,"")</f>
        <v/>
      </c>
      <c r="O62" s="34" t="str">
        <f t="shared" si="24"/>
        <v>x</v>
      </c>
      <c r="P62" s="142">
        <f t="shared" si="33"/>
        <v>0</v>
      </c>
      <c r="Q62" s="37" t="str">
        <f>IF(COUNT(ngay14!$I$58)&gt;0,ngay14!$I$58,"")</f>
        <v/>
      </c>
      <c r="R62" s="137" t="str">
        <f t="shared" si="26"/>
        <v>x</v>
      </c>
      <c r="S62" s="142">
        <f t="shared" si="34"/>
        <v>0</v>
      </c>
      <c r="T62" s="34"/>
      <c r="U62" s="37" t="str">
        <f>IF(COUNT(ngay14!$J$15)&gt;0,ngay14!$J$15,"")</f>
        <v/>
      </c>
      <c r="V62" s="34" t="str">
        <f t="shared" si="28"/>
        <v>x</v>
      </c>
      <c r="W62" s="142">
        <f t="shared" si="35"/>
        <v>0</v>
      </c>
    </row>
    <row r="63" spans="1:23" s="145" customFormat="1">
      <c r="A63" s="146">
        <v>15</v>
      </c>
      <c r="B63" s="48">
        <v>1</v>
      </c>
      <c r="C63" s="141" t="str">
        <f>IF(COUNT(ngay15!$C$59)&gt;0,ngay15!$C$59,"")</f>
        <v/>
      </c>
      <c r="D63" s="144" t="str">
        <f t="shared" si="18"/>
        <v>x</v>
      </c>
      <c r="E63" s="142">
        <f t="shared" si="30"/>
        <v>0</v>
      </c>
      <c r="F63" s="140"/>
      <c r="G63" s="141" t="str">
        <f>IF(COUNT(ngay15!$D$12)&gt;0,ngay15!$D$12,"")</f>
        <v/>
      </c>
      <c r="H63" s="140" t="str">
        <f t="shared" si="20"/>
        <v>x</v>
      </c>
      <c r="I63" s="142">
        <f t="shared" si="31"/>
        <v>0</v>
      </c>
      <c r="J63" s="141" t="str">
        <f>IF(COUNT(ngay15!$C$55)&gt;0,ngay15!$C$55,"")</f>
        <v/>
      </c>
      <c r="K63" s="144" t="str">
        <f t="shared" si="22"/>
        <v>x</v>
      </c>
      <c r="L63" s="142">
        <f t="shared" si="32"/>
        <v>0</v>
      </c>
      <c r="M63" s="140"/>
      <c r="N63" s="141" t="str">
        <f>IF(COUNT(ngay15!$D$4)&gt;0,ngay15!$D$4,"")</f>
        <v/>
      </c>
      <c r="O63" s="140" t="str">
        <f t="shared" si="24"/>
        <v>x</v>
      </c>
      <c r="P63" s="142">
        <f t="shared" si="33"/>
        <v>0</v>
      </c>
      <c r="Q63" s="141" t="str">
        <f>IF(COUNT(ngay15!$C$58)&gt;0,ngay15!$C$58,"")</f>
        <v/>
      </c>
      <c r="R63" s="144" t="str">
        <f t="shared" si="26"/>
        <v>x</v>
      </c>
      <c r="S63" s="142">
        <f t="shared" si="34"/>
        <v>0</v>
      </c>
      <c r="T63" s="140"/>
      <c r="U63" s="141" t="str">
        <f>IF(COUNT(ngay15!$D$15)&gt;0,ngay15!$D$15,"")</f>
        <v/>
      </c>
      <c r="V63" s="140" t="str">
        <f t="shared" si="28"/>
        <v>x</v>
      </c>
      <c r="W63" s="142">
        <f t="shared" si="35"/>
        <v>0</v>
      </c>
    </row>
    <row r="64" spans="1:23">
      <c r="A64" s="41"/>
      <c r="B64" s="139">
        <v>7</v>
      </c>
      <c r="C64" s="37" t="str">
        <f>IF(COUNT(ngay15!$E$59)&gt;0,ngay15!$E$59,"")</f>
        <v/>
      </c>
      <c r="D64" s="137" t="str">
        <f t="shared" si="18"/>
        <v>x</v>
      </c>
      <c r="E64" s="142">
        <f t="shared" si="30"/>
        <v>0</v>
      </c>
      <c r="F64" s="34"/>
      <c r="G64" s="37" t="str">
        <f>IF(COUNT(ngay15!$F$12)&gt;0,ngay15!$F$12,"")</f>
        <v/>
      </c>
      <c r="H64" s="34" t="str">
        <f t="shared" si="20"/>
        <v>x</v>
      </c>
      <c r="I64" s="142">
        <f t="shared" si="31"/>
        <v>0</v>
      </c>
      <c r="J64" s="37" t="str">
        <f>IF(COUNT(ngay15!$E$55)&gt;0,ngay15!$E$55,"")</f>
        <v/>
      </c>
      <c r="K64" s="137" t="str">
        <f t="shared" si="22"/>
        <v>x</v>
      </c>
      <c r="L64" s="142">
        <f t="shared" si="32"/>
        <v>0</v>
      </c>
      <c r="M64" s="34"/>
      <c r="N64" s="37" t="str">
        <f>IF(COUNT(ngay15!$F$4)&gt;0,ngay15!$F$4,"")</f>
        <v/>
      </c>
      <c r="O64" s="34" t="str">
        <f t="shared" si="24"/>
        <v>x</v>
      </c>
      <c r="P64" s="142">
        <f t="shared" si="33"/>
        <v>0</v>
      </c>
      <c r="Q64" s="37" t="str">
        <f>IF(COUNT(ngay15!$E$58)&gt;0,ngay15!$E$58,"")</f>
        <v/>
      </c>
      <c r="R64" s="137" t="str">
        <f t="shared" si="26"/>
        <v>x</v>
      </c>
      <c r="S64" s="142">
        <f t="shared" si="34"/>
        <v>0</v>
      </c>
      <c r="T64" s="34"/>
      <c r="U64" s="37" t="str">
        <f>IF(COUNT(ngay15!$F$15)&gt;0,ngay15!$F$15,"")</f>
        <v/>
      </c>
      <c r="V64" s="34" t="str">
        <f t="shared" si="28"/>
        <v>x</v>
      </c>
      <c r="W64" s="142">
        <f t="shared" si="35"/>
        <v>0</v>
      </c>
    </row>
    <row r="65" spans="1:23">
      <c r="A65" s="41"/>
      <c r="B65" s="48">
        <v>13</v>
      </c>
      <c r="C65" s="37" t="str">
        <f>IF(COUNT(ngay15!$G$59)&gt;0,ngay15!$G$59,"")</f>
        <v/>
      </c>
      <c r="D65" s="137" t="str">
        <f t="shared" si="18"/>
        <v>x</v>
      </c>
      <c r="E65" s="142">
        <f t="shared" si="30"/>
        <v>0</v>
      </c>
      <c r="F65" s="34"/>
      <c r="G65" s="37" t="str">
        <f>IF(COUNT(ngay15!$H$12)&gt;0,ngay15!$H$12,"")</f>
        <v/>
      </c>
      <c r="H65" s="34" t="str">
        <f t="shared" si="20"/>
        <v>x</v>
      </c>
      <c r="I65" s="142">
        <f t="shared" si="31"/>
        <v>0</v>
      </c>
      <c r="J65" s="37" t="str">
        <f>IF(COUNT(ngay15!$G$55)&gt;0,ngay15!$G$55,"")</f>
        <v/>
      </c>
      <c r="K65" s="137" t="str">
        <f t="shared" si="22"/>
        <v>x</v>
      </c>
      <c r="L65" s="142">
        <f t="shared" si="32"/>
        <v>0</v>
      </c>
      <c r="M65" s="34"/>
      <c r="N65" s="37" t="str">
        <f>IF(COUNT(ngay15!$H$4)&gt;0,ngay15!$H$4,"")</f>
        <v/>
      </c>
      <c r="O65" s="34" t="str">
        <f t="shared" si="24"/>
        <v>x</v>
      </c>
      <c r="P65" s="142">
        <f t="shared" si="33"/>
        <v>0</v>
      </c>
      <c r="Q65" s="37" t="str">
        <f>IF(COUNT(ngay15!$G$58)&gt;0,ngay15!$G$58,"")</f>
        <v/>
      </c>
      <c r="R65" s="137" t="str">
        <f t="shared" si="26"/>
        <v>x</v>
      </c>
      <c r="S65" s="142">
        <f t="shared" si="34"/>
        <v>0</v>
      </c>
      <c r="T65" s="34"/>
      <c r="U65" s="37" t="str">
        <f>IF(COUNT(ngay15!$H$15)&gt;0,ngay15!$H$15,"")</f>
        <v/>
      </c>
      <c r="V65" s="34" t="str">
        <f t="shared" si="28"/>
        <v>x</v>
      </c>
      <c r="W65" s="142">
        <f t="shared" si="35"/>
        <v>0</v>
      </c>
    </row>
    <row r="66" spans="1:23">
      <c r="A66" s="41"/>
      <c r="B66" s="48">
        <v>19</v>
      </c>
      <c r="C66" s="37" t="str">
        <f>IF(COUNT(ngay15!$I$59)&gt;0,ngay15!$I$59,"")</f>
        <v/>
      </c>
      <c r="D66" s="137" t="str">
        <f t="shared" si="18"/>
        <v>x</v>
      </c>
      <c r="E66" s="142">
        <f t="shared" si="30"/>
        <v>0</v>
      </c>
      <c r="F66" s="34"/>
      <c r="G66" s="37" t="str">
        <f>IF(COUNT(ngay15!$J$12)&gt;0,ngay15!$J$12,"")</f>
        <v/>
      </c>
      <c r="H66" s="34" t="str">
        <f t="shared" si="20"/>
        <v>x</v>
      </c>
      <c r="I66" s="142">
        <f t="shared" si="31"/>
        <v>0</v>
      </c>
      <c r="J66" s="37" t="str">
        <f>IF(COUNT(ngay15!$I$55)&gt;0,ngay15!$I$55,"")</f>
        <v/>
      </c>
      <c r="K66" s="137" t="str">
        <f t="shared" si="22"/>
        <v>x</v>
      </c>
      <c r="L66" s="142">
        <f t="shared" si="32"/>
        <v>0</v>
      </c>
      <c r="M66" s="34"/>
      <c r="N66" s="37" t="str">
        <f>IF(COUNT(ngay15!$J$4)&gt;0,ngay15!$J$4,"")</f>
        <v/>
      </c>
      <c r="O66" s="34" t="str">
        <f t="shared" si="24"/>
        <v>x</v>
      </c>
      <c r="P66" s="142">
        <f t="shared" si="33"/>
        <v>0</v>
      </c>
      <c r="Q66" s="37" t="str">
        <f>IF(COUNT(ngay15!$I$58)&gt;0,ngay15!$I$58,"")</f>
        <v/>
      </c>
      <c r="R66" s="137" t="str">
        <f t="shared" si="26"/>
        <v>x</v>
      </c>
      <c r="S66" s="142">
        <f t="shared" si="34"/>
        <v>0</v>
      </c>
      <c r="T66" s="34"/>
      <c r="U66" s="37" t="str">
        <f>IF(COUNT(ngay15!$J$15)&gt;0,ngay15!$J$15,"")</f>
        <v/>
      </c>
      <c r="V66" s="34" t="str">
        <f t="shared" si="28"/>
        <v>x</v>
      </c>
      <c r="W66" s="142">
        <f t="shared" si="35"/>
        <v>0</v>
      </c>
    </row>
    <row r="67" spans="1:23" s="145" customFormat="1" ht="11.25" customHeight="1">
      <c r="A67" s="146">
        <v>16</v>
      </c>
      <c r="B67" s="48">
        <v>1</v>
      </c>
      <c r="C67" s="141" t="str">
        <f>IF(COUNT(ngay16!$C$59)&gt;0,ngay16!$C$59,"")</f>
        <v/>
      </c>
      <c r="D67" s="144" t="str">
        <f t="shared" si="18"/>
        <v>x</v>
      </c>
      <c r="E67" s="142">
        <f t="shared" si="30"/>
        <v>0</v>
      </c>
      <c r="F67" s="140"/>
      <c r="G67" s="141" t="str">
        <f>IF(COUNT(ngay16!$D$12)&gt;0,ngay16!$D$12,"")</f>
        <v/>
      </c>
      <c r="H67" s="140" t="str">
        <f t="shared" si="20"/>
        <v>x</v>
      </c>
      <c r="I67" s="142">
        <f t="shared" si="31"/>
        <v>0</v>
      </c>
      <c r="J67" s="141" t="str">
        <f>IF(COUNT(ngay16!$C$55)&gt;0,ngay16!$C$55,"")</f>
        <v/>
      </c>
      <c r="K67" s="144" t="str">
        <f t="shared" si="22"/>
        <v>x</v>
      </c>
      <c r="L67" s="142">
        <f t="shared" si="32"/>
        <v>0</v>
      </c>
      <c r="M67" s="140"/>
      <c r="N67" s="141" t="str">
        <f>IF(COUNT(ngay16!$D$4)&gt;0,ngay16!$D$4,"")</f>
        <v/>
      </c>
      <c r="O67" s="140" t="str">
        <f t="shared" si="24"/>
        <v>x</v>
      </c>
      <c r="P67" s="142">
        <f t="shared" si="33"/>
        <v>0</v>
      </c>
      <c r="Q67" s="141" t="str">
        <f>IF(COUNT(ngay16!$C$58)&gt;0,ngay16!$C$58,"")</f>
        <v/>
      </c>
      <c r="R67" s="144" t="str">
        <f t="shared" si="26"/>
        <v>x</v>
      </c>
      <c r="S67" s="142">
        <f t="shared" si="34"/>
        <v>0</v>
      </c>
      <c r="T67" s="140"/>
      <c r="U67" s="141" t="str">
        <f>IF(COUNT(ngay16!$D$15)&gt;0,ngay16!$D$15,"")</f>
        <v/>
      </c>
      <c r="V67" s="140" t="str">
        <f t="shared" si="28"/>
        <v>x</v>
      </c>
      <c r="W67" s="142">
        <f t="shared" si="35"/>
        <v>0</v>
      </c>
    </row>
    <row r="68" spans="1:23">
      <c r="A68" s="41"/>
      <c r="B68" s="139">
        <v>7</v>
      </c>
      <c r="C68" s="37" t="str">
        <f>IF(COUNT(ngay16!$E$59)&gt;0,ngay16!$E$59,"")</f>
        <v/>
      </c>
      <c r="D68" s="137" t="str">
        <f t="shared" si="18"/>
        <v>x</v>
      </c>
      <c r="E68" s="142">
        <f t="shared" si="30"/>
        <v>0</v>
      </c>
      <c r="F68" s="34"/>
      <c r="G68" s="37" t="str">
        <f>IF(COUNT(ngay16!$F$12)&gt;0,ngay16!$F$12,"")</f>
        <v/>
      </c>
      <c r="H68" s="34" t="str">
        <f t="shared" si="20"/>
        <v>x</v>
      </c>
      <c r="I68" s="142">
        <f t="shared" si="31"/>
        <v>0</v>
      </c>
      <c r="J68" s="37" t="str">
        <f>IF(COUNT(ngay16!$E$55)&gt;0,ngay16!$E$55,"")</f>
        <v/>
      </c>
      <c r="K68" s="137" t="str">
        <f t="shared" si="22"/>
        <v>x</v>
      </c>
      <c r="L68" s="142">
        <f t="shared" si="32"/>
        <v>0</v>
      </c>
      <c r="M68" s="34"/>
      <c r="N68" s="37" t="str">
        <f>IF(COUNT(ngay16!$F$4)&gt;0,ngay16!$F$4,"")</f>
        <v/>
      </c>
      <c r="O68" s="34" t="str">
        <f t="shared" si="24"/>
        <v>x</v>
      </c>
      <c r="P68" s="142">
        <f t="shared" si="33"/>
        <v>0</v>
      </c>
      <c r="Q68" s="37" t="str">
        <f>IF(COUNT(ngay16!$E$58)&gt;0,ngay16!$E$58,"")</f>
        <v/>
      </c>
      <c r="R68" s="137" t="str">
        <f t="shared" si="26"/>
        <v>x</v>
      </c>
      <c r="S68" s="142">
        <f t="shared" si="34"/>
        <v>0</v>
      </c>
      <c r="T68" s="34"/>
      <c r="U68" s="37" t="str">
        <f>IF(COUNT(ngay16!$F$15)&gt;0,ngay16!$F$15,"")</f>
        <v/>
      </c>
      <c r="V68" s="34" t="str">
        <f t="shared" si="28"/>
        <v>x</v>
      </c>
      <c r="W68" s="142">
        <f t="shared" si="35"/>
        <v>0</v>
      </c>
    </row>
    <row r="69" spans="1:23">
      <c r="A69" s="41"/>
      <c r="B69" s="48">
        <v>13</v>
      </c>
      <c r="C69" s="37" t="str">
        <f>IF(COUNT(ngay16!$G$59)&gt;0,ngay16!$G$59,"")</f>
        <v/>
      </c>
      <c r="D69" s="137" t="str">
        <f t="shared" si="18"/>
        <v>x</v>
      </c>
      <c r="E69" s="142">
        <f t="shared" si="30"/>
        <v>0</v>
      </c>
      <c r="F69" s="34"/>
      <c r="G69" s="37" t="str">
        <f>IF(COUNT(ngay16!$H$12)&gt;0,ngay16!$H$12,"")</f>
        <v/>
      </c>
      <c r="H69" s="34" t="str">
        <f t="shared" si="20"/>
        <v>x</v>
      </c>
      <c r="I69" s="142">
        <f t="shared" si="31"/>
        <v>0</v>
      </c>
      <c r="J69" s="37" t="str">
        <f>IF(COUNT(ngay16!$G$55)&gt;0,ngay16!$G$55,"")</f>
        <v/>
      </c>
      <c r="K69" s="137" t="str">
        <f t="shared" si="22"/>
        <v>x</v>
      </c>
      <c r="L69" s="142">
        <f t="shared" si="32"/>
        <v>0</v>
      </c>
      <c r="M69" s="34"/>
      <c r="N69" s="37" t="str">
        <f>IF(COUNT(ngay16!$H$4)&gt;0,ngay16!$H$4,"")</f>
        <v/>
      </c>
      <c r="O69" s="34" t="str">
        <f t="shared" si="24"/>
        <v>x</v>
      </c>
      <c r="P69" s="142">
        <f t="shared" si="33"/>
        <v>0</v>
      </c>
      <c r="Q69" s="37" t="str">
        <f>IF(COUNT(ngay16!$G$58)&gt;0,ngay16!$G$58,"")</f>
        <v/>
      </c>
      <c r="R69" s="137" t="str">
        <f t="shared" si="26"/>
        <v>x</v>
      </c>
      <c r="S69" s="142">
        <f t="shared" si="34"/>
        <v>0</v>
      </c>
      <c r="T69" s="34"/>
      <c r="U69" s="37" t="str">
        <f>IF(COUNT(ngay16!$H$15)&gt;0,ngay16!$H$15,"")</f>
        <v/>
      </c>
      <c r="V69" s="34" t="str">
        <f t="shared" si="28"/>
        <v>x</v>
      </c>
      <c r="W69" s="142">
        <f t="shared" si="35"/>
        <v>0</v>
      </c>
    </row>
    <row r="70" spans="1:23">
      <c r="A70" s="41"/>
      <c r="B70" s="48">
        <v>19</v>
      </c>
      <c r="C70" s="37" t="str">
        <f>IF(COUNT(ngay16!$I$59)&gt;0,ngay16!$I$59,"")</f>
        <v/>
      </c>
      <c r="D70" s="137" t="str">
        <f t="shared" si="18"/>
        <v>x</v>
      </c>
      <c r="E70" s="142">
        <f t="shared" si="30"/>
        <v>0</v>
      </c>
      <c r="F70" s="34"/>
      <c r="G70" s="37" t="str">
        <f>IF(COUNT(ngay16!$J$12)&gt;0,ngay16!$J$12,"")</f>
        <v/>
      </c>
      <c r="H70" s="34" t="str">
        <f t="shared" si="20"/>
        <v>x</v>
      </c>
      <c r="I70" s="142">
        <f t="shared" si="31"/>
        <v>0</v>
      </c>
      <c r="J70" s="37" t="str">
        <f>IF(COUNT(ngay16!$I$55)&gt;0,ngay16!$I$55,"")</f>
        <v/>
      </c>
      <c r="K70" s="137" t="str">
        <f t="shared" si="22"/>
        <v>x</v>
      </c>
      <c r="L70" s="142">
        <f t="shared" si="32"/>
        <v>0</v>
      </c>
      <c r="M70" s="34"/>
      <c r="N70" s="37" t="str">
        <f>IF(COUNT(ngay16!$J$4)&gt;0,ngay16!$J$4,"")</f>
        <v/>
      </c>
      <c r="O70" s="34" t="str">
        <f t="shared" si="24"/>
        <v>x</v>
      </c>
      <c r="P70" s="142">
        <f t="shared" si="33"/>
        <v>0</v>
      </c>
      <c r="Q70" s="37" t="str">
        <f>IF(COUNT(ngay16!$I$58)&gt;0,ngay16!$I$58,"")</f>
        <v/>
      </c>
      <c r="R70" s="137" t="str">
        <f t="shared" si="26"/>
        <v>x</v>
      </c>
      <c r="S70" s="142">
        <f t="shared" si="34"/>
        <v>0</v>
      </c>
      <c r="T70" s="34"/>
      <c r="U70" s="37" t="str">
        <f>IF(COUNT(ngay16!$J$15)&gt;0,ngay16!$J$15,"")</f>
        <v/>
      </c>
      <c r="V70" s="34" t="str">
        <f t="shared" si="28"/>
        <v>x</v>
      </c>
      <c r="W70" s="142">
        <f t="shared" si="35"/>
        <v>0</v>
      </c>
    </row>
    <row r="71" spans="1:23" s="145" customFormat="1">
      <c r="A71" s="146">
        <v>17</v>
      </c>
      <c r="B71" s="48">
        <v>1</v>
      </c>
      <c r="C71" s="141" t="str">
        <f>IF(COUNT(ngay17!$C$59)&gt;0,ngay17!$C$59,"")</f>
        <v/>
      </c>
      <c r="D71" s="144" t="str">
        <f t="shared" ref="D71:D102" si="36">IF(COUNT(C67,C71)=2,C71-C67,"x")</f>
        <v>x</v>
      </c>
      <c r="E71" s="142">
        <f t="shared" ref="E71:E86" si="37">IF(COUNT(D71,E70)=2,D71+E70,E70)</f>
        <v>0</v>
      </c>
      <c r="F71" s="140"/>
      <c r="G71" s="141" t="str">
        <f>IF(COUNT(ngay17!$D$12)&gt;0,ngay17!$D$12,"")</f>
        <v/>
      </c>
      <c r="H71" s="140" t="str">
        <f t="shared" ref="H71:H102" si="38">IF(COUNT(G67,G71)=2,G71-G67,"x")</f>
        <v>x</v>
      </c>
      <c r="I71" s="142">
        <f t="shared" ref="I71:I86" si="39">IF(COUNT(H71,I70)=2,H71+I70,I70)</f>
        <v>0</v>
      </c>
      <c r="J71" s="141" t="str">
        <f>IF(COUNT(ngay17!$C$55)&gt;0,ngay17!$C$55,"")</f>
        <v/>
      </c>
      <c r="K71" s="144" t="str">
        <f t="shared" ref="K71:K102" si="40">IF(COUNT(J67,J71)=2,J71-J67,"x")</f>
        <v>x</v>
      </c>
      <c r="L71" s="142">
        <f t="shared" ref="L71:L86" si="41">IF(COUNT(K71,L70)=2,K71+L70,L70)</f>
        <v>0</v>
      </c>
      <c r="M71" s="140"/>
      <c r="N71" s="141" t="str">
        <f>IF(COUNT(ngay17!$D$4)&gt;0,ngay17!$D$4,"")</f>
        <v/>
      </c>
      <c r="O71" s="140" t="str">
        <f t="shared" ref="O71:O102" si="42">IF(COUNT(N67,N71)=2,N71-N67,"x")</f>
        <v>x</v>
      </c>
      <c r="P71" s="142">
        <f t="shared" ref="P71:P86" si="43">IF(COUNT(O71,P70)=2,O71+P70,P70)</f>
        <v>0</v>
      </c>
      <c r="Q71" s="141" t="str">
        <f>IF(COUNT(ngay17!$C$58)&gt;0,ngay17!$C$58,"")</f>
        <v/>
      </c>
      <c r="R71" s="144" t="str">
        <f t="shared" ref="R71:R102" si="44">IF(COUNT(Q67,Q71)=2,Q71-Q67,"x")</f>
        <v>x</v>
      </c>
      <c r="S71" s="142">
        <f t="shared" ref="S71:S86" si="45">IF(COUNT(R71,S70)=2,R71+S70,S70)</f>
        <v>0</v>
      </c>
      <c r="T71" s="140"/>
      <c r="U71" s="141" t="str">
        <f>IF(COUNT(ngay17!$D$15)&gt;0,ngay17!$D$15,"")</f>
        <v/>
      </c>
      <c r="V71" s="140" t="str">
        <f t="shared" ref="V71:V102" si="46">IF(COUNT(U67,U71)=2,U71-U67,"x")</f>
        <v>x</v>
      </c>
      <c r="W71" s="142">
        <f t="shared" ref="W71:W86" si="47">IF(COUNT(V71,W70)=2,V71+W70,W70)</f>
        <v>0</v>
      </c>
    </row>
    <row r="72" spans="1:23">
      <c r="A72" s="41"/>
      <c r="B72" s="139">
        <v>7</v>
      </c>
      <c r="C72" s="37" t="str">
        <f>IF(COUNT(ngay17!$E$59)&gt;0,ngay17!$E$59,"")</f>
        <v/>
      </c>
      <c r="D72" s="137" t="str">
        <f t="shared" si="36"/>
        <v>x</v>
      </c>
      <c r="E72" s="142">
        <f t="shared" si="37"/>
        <v>0</v>
      </c>
      <c r="F72" s="34"/>
      <c r="G72" s="37" t="str">
        <f>IF(COUNT(ngay17!$F$12)&gt;0,ngay17!$F$12,"")</f>
        <v/>
      </c>
      <c r="H72" s="34" t="str">
        <f t="shared" si="38"/>
        <v>x</v>
      </c>
      <c r="I72" s="142">
        <f t="shared" si="39"/>
        <v>0</v>
      </c>
      <c r="J72" s="37" t="str">
        <f>IF(COUNT(ngay17!$E$55)&gt;0,ngay17!$E$55,"")</f>
        <v/>
      </c>
      <c r="K72" s="137" t="str">
        <f t="shared" si="40"/>
        <v>x</v>
      </c>
      <c r="L72" s="142">
        <f t="shared" si="41"/>
        <v>0</v>
      </c>
      <c r="M72" s="34"/>
      <c r="N72" s="37" t="str">
        <f>IF(COUNT(ngay17!$F$4)&gt;0,ngay17!$F$4,"")</f>
        <v/>
      </c>
      <c r="O72" s="34" t="str">
        <f t="shared" si="42"/>
        <v>x</v>
      </c>
      <c r="P72" s="142">
        <f t="shared" si="43"/>
        <v>0</v>
      </c>
      <c r="Q72" s="37" t="str">
        <f>IF(COUNT(ngay17!$E$58)&gt;0,ngay17!$E$58,"")</f>
        <v/>
      </c>
      <c r="R72" s="137" t="str">
        <f t="shared" si="44"/>
        <v>x</v>
      </c>
      <c r="S72" s="142">
        <f t="shared" si="45"/>
        <v>0</v>
      </c>
      <c r="T72" s="34"/>
      <c r="U72" s="37" t="str">
        <f>IF(COUNT(ngay17!$F$15)&gt;0,ngay17!$F$15,"")</f>
        <v/>
      </c>
      <c r="V72" s="34" t="str">
        <f t="shared" si="46"/>
        <v>x</v>
      </c>
      <c r="W72" s="142">
        <f t="shared" si="47"/>
        <v>0</v>
      </c>
    </row>
    <row r="73" spans="1:23">
      <c r="A73" s="41"/>
      <c r="B73" s="48">
        <v>13</v>
      </c>
      <c r="C73" s="37" t="str">
        <f>IF(COUNT(ngay17!$G$59)&gt;0,ngay17!$G$59,"")</f>
        <v/>
      </c>
      <c r="D73" s="137" t="str">
        <f t="shared" si="36"/>
        <v>x</v>
      </c>
      <c r="E73" s="142">
        <f t="shared" si="37"/>
        <v>0</v>
      </c>
      <c r="F73" s="34"/>
      <c r="G73" s="37" t="str">
        <f>IF(COUNT(ngay17!$H$12)&gt;0,ngay17!$H$12,"")</f>
        <v/>
      </c>
      <c r="H73" s="34" t="str">
        <f t="shared" si="38"/>
        <v>x</v>
      </c>
      <c r="I73" s="142">
        <f t="shared" si="39"/>
        <v>0</v>
      </c>
      <c r="J73" s="37" t="str">
        <f>IF(COUNT(ngay17!$G$55)&gt;0,ngay17!$G$55,"")</f>
        <v/>
      </c>
      <c r="K73" s="137" t="str">
        <f t="shared" si="40"/>
        <v>x</v>
      </c>
      <c r="L73" s="142">
        <f t="shared" si="41"/>
        <v>0</v>
      </c>
      <c r="M73" s="34"/>
      <c r="N73" s="37" t="str">
        <f>IF(COUNT(ngay17!$H$4)&gt;0,ngay17!$H$4,"")</f>
        <v/>
      </c>
      <c r="O73" s="34" t="str">
        <f t="shared" si="42"/>
        <v>x</v>
      </c>
      <c r="P73" s="142">
        <f t="shared" si="43"/>
        <v>0</v>
      </c>
      <c r="Q73" s="37" t="str">
        <f>IF(COUNT(ngay17!$G$58)&gt;0,ngay17!$G$58,"")</f>
        <v/>
      </c>
      <c r="R73" s="137" t="str">
        <f t="shared" si="44"/>
        <v>x</v>
      </c>
      <c r="S73" s="142">
        <f t="shared" si="45"/>
        <v>0</v>
      </c>
      <c r="T73" s="34"/>
      <c r="U73" s="37" t="str">
        <f>IF(COUNT(ngay17!$H$15)&gt;0,ngay17!$H$15,"")</f>
        <v/>
      </c>
      <c r="V73" s="34" t="str">
        <f t="shared" si="46"/>
        <v>x</v>
      </c>
      <c r="W73" s="142">
        <f t="shared" si="47"/>
        <v>0</v>
      </c>
    </row>
    <row r="74" spans="1:23">
      <c r="A74" s="41"/>
      <c r="B74" s="48">
        <v>19</v>
      </c>
      <c r="C74" s="37" t="str">
        <f>IF(COUNT(ngay17!$I$59)&gt;0,ngay17!$I$59,"")</f>
        <v/>
      </c>
      <c r="D74" s="137" t="str">
        <f t="shared" si="36"/>
        <v>x</v>
      </c>
      <c r="E74" s="142">
        <f t="shared" si="37"/>
        <v>0</v>
      </c>
      <c r="F74" s="34"/>
      <c r="G74" s="37" t="str">
        <f>IF(COUNT(ngay17!$J$12)&gt;0,ngay17!$J$12,"")</f>
        <v/>
      </c>
      <c r="H74" s="34" t="str">
        <f t="shared" si="38"/>
        <v>x</v>
      </c>
      <c r="I74" s="142">
        <f t="shared" si="39"/>
        <v>0</v>
      </c>
      <c r="J74" s="37" t="str">
        <f>IF(COUNT(ngay17!$I$55)&gt;0,ngay17!$I$55,"")</f>
        <v/>
      </c>
      <c r="K74" s="137" t="str">
        <f t="shared" si="40"/>
        <v>x</v>
      </c>
      <c r="L74" s="142">
        <f t="shared" si="41"/>
        <v>0</v>
      </c>
      <c r="M74" s="34"/>
      <c r="N74" s="37" t="str">
        <f>IF(COUNT(ngay17!$J$4)&gt;0,ngay17!$J$4,"")</f>
        <v/>
      </c>
      <c r="O74" s="34" t="str">
        <f t="shared" si="42"/>
        <v>x</v>
      </c>
      <c r="P74" s="142">
        <f t="shared" si="43"/>
        <v>0</v>
      </c>
      <c r="Q74" s="37" t="str">
        <f>IF(COUNT(ngay17!$I$58)&gt;0,ngay17!$I$58,"")</f>
        <v/>
      </c>
      <c r="R74" s="137" t="str">
        <f t="shared" si="44"/>
        <v>x</v>
      </c>
      <c r="S74" s="142">
        <f t="shared" si="45"/>
        <v>0</v>
      </c>
      <c r="T74" s="34"/>
      <c r="U74" s="37" t="str">
        <f>IF(COUNT(ngay17!$J$15)&gt;0,ngay17!$J$15,"")</f>
        <v/>
      </c>
      <c r="V74" s="34" t="str">
        <f t="shared" si="46"/>
        <v>x</v>
      </c>
      <c r="W74" s="142">
        <f t="shared" si="47"/>
        <v>0</v>
      </c>
    </row>
    <row r="75" spans="1:23" s="145" customFormat="1">
      <c r="A75" s="146">
        <v>18</v>
      </c>
      <c r="B75" s="48">
        <v>1</v>
      </c>
      <c r="C75" s="141" t="str">
        <f>IF(COUNT(ngay18!$C$59)&gt;0,ngay18!$C$59,"")</f>
        <v/>
      </c>
      <c r="D75" s="144" t="str">
        <f t="shared" si="36"/>
        <v>x</v>
      </c>
      <c r="E75" s="142">
        <f t="shared" si="37"/>
        <v>0</v>
      </c>
      <c r="F75" s="140"/>
      <c r="G75" s="141" t="str">
        <f>IF(COUNT(ngay18!$D$12)&gt;0,ngay18!$D$12,"")</f>
        <v/>
      </c>
      <c r="H75" s="140" t="str">
        <f t="shared" si="38"/>
        <v>x</v>
      </c>
      <c r="I75" s="142">
        <f t="shared" si="39"/>
        <v>0</v>
      </c>
      <c r="J75" s="141" t="str">
        <f>IF(COUNT(ngay18!$C$55)&gt;0,ngay18!$C$55,"")</f>
        <v/>
      </c>
      <c r="K75" s="144" t="str">
        <f t="shared" si="40"/>
        <v>x</v>
      </c>
      <c r="L75" s="142">
        <f t="shared" si="41"/>
        <v>0</v>
      </c>
      <c r="M75" s="140"/>
      <c r="N75" s="141" t="str">
        <f>IF(COUNT(ngay18!$D$4)&gt;0,ngay18!$D$4,"")</f>
        <v/>
      </c>
      <c r="O75" s="140" t="str">
        <f t="shared" si="42"/>
        <v>x</v>
      </c>
      <c r="P75" s="142">
        <f t="shared" si="43"/>
        <v>0</v>
      </c>
      <c r="Q75" s="141" t="str">
        <f>IF(COUNT(ngay18!$C$58)&gt;0,ngay18!$C$58,"")</f>
        <v/>
      </c>
      <c r="R75" s="144" t="str">
        <f t="shared" si="44"/>
        <v>x</v>
      </c>
      <c r="S75" s="142">
        <f t="shared" si="45"/>
        <v>0</v>
      </c>
      <c r="T75" s="140"/>
      <c r="U75" s="141" t="str">
        <f>IF(COUNT(ngay18!$D$15)&gt;0,ngay18!$D$15,"")</f>
        <v/>
      </c>
      <c r="V75" s="140" t="str">
        <f t="shared" si="46"/>
        <v>x</v>
      </c>
      <c r="W75" s="142">
        <f t="shared" si="47"/>
        <v>0</v>
      </c>
    </row>
    <row r="76" spans="1:23">
      <c r="A76" s="41"/>
      <c r="B76" s="139">
        <v>7</v>
      </c>
      <c r="C76" s="37" t="str">
        <f>IF(COUNT(ngay18!$E$59)&gt;0,ngay18!$E$59,"")</f>
        <v/>
      </c>
      <c r="D76" s="137" t="str">
        <f t="shared" si="36"/>
        <v>x</v>
      </c>
      <c r="E76" s="142">
        <f t="shared" si="37"/>
        <v>0</v>
      </c>
      <c r="F76" s="34"/>
      <c r="G76" s="37" t="str">
        <f>IF(COUNT(ngay18!$F$12)&gt;0,ngay18!$F$12,"")</f>
        <v/>
      </c>
      <c r="H76" s="34" t="str">
        <f t="shared" si="38"/>
        <v>x</v>
      </c>
      <c r="I76" s="142">
        <f t="shared" si="39"/>
        <v>0</v>
      </c>
      <c r="J76" s="37" t="str">
        <f>IF(COUNT(ngay18!$E$55)&gt;0,ngay18!$E$55,"")</f>
        <v/>
      </c>
      <c r="K76" s="137" t="str">
        <f t="shared" si="40"/>
        <v>x</v>
      </c>
      <c r="L76" s="142">
        <f t="shared" si="41"/>
        <v>0</v>
      </c>
      <c r="M76" s="34"/>
      <c r="N76" s="37" t="str">
        <f>IF(COUNT(ngay18!$F$4)&gt;0,ngay18!$F$4,"")</f>
        <v/>
      </c>
      <c r="O76" s="34" t="str">
        <f t="shared" si="42"/>
        <v>x</v>
      </c>
      <c r="P76" s="142">
        <f t="shared" si="43"/>
        <v>0</v>
      </c>
      <c r="Q76" s="37" t="str">
        <f>IF(COUNT(ngay18!$E$58)&gt;0,ngay18!$E$58,"")</f>
        <v/>
      </c>
      <c r="R76" s="137" t="str">
        <f t="shared" si="44"/>
        <v>x</v>
      </c>
      <c r="S76" s="142">
        <f t="shared" si="45"/>
        <v>0</v>
      </c>
      <c r="T76" s="34"/>
      <c r="U76" s="37" t="str">
        <f>IF(COUNT(ngay18!$F$15)&gt;0,ngay18!$F$15,"")</f>
        <v/>
      </c>
      <c r="V76" s="34" t="str">
        <f t="shared" si="46"/>
        <v>x</v>
      </c>
      <c r="W76" s="142">
        <f t="shared" si="47"/>
        <v>0</v>
      </c>
    </row>
    <row r="77" spans="1:23">
      <c r="A77" s="41"/>
      <c r="B77" s="48">
        <v>13</v>
      </c>
      <c r="C77" s="37" t="str">
        <f>IF(COUNT(ngay18!$G$59)&gt;0,ngay18!$G$59,"")</f>
        <v/>
      </c>
      <c r="D77" s="137" t="str">
        <f t="shared" si="36"/>
        <v>x</v>
      </c>
      <c r="E77" s="142">
        <f t="shared" si="37"/>
        <v>0</v>
      </c>
      <c r="F77" s="34"/>
      <c r="G77" s="37" t="str">
        <f>IF(COUNT(ngay18!$H$12)&gt;0,ngay18!$H$12,"")</f>
        <v/>
      </c>
      <c r="H77" s="34" t="str">
        <f t="shared" si="38"/>
        <v>x</v>
      </c>
      <c r="I77" s="142">
        <f t="shared" si="39"/>
        <v>0</v>
      </c>
      <c r="J77" s="37" t="str">
        <f>IF(COUNT(ngay18!$G$55)&gt;0,ngay18!$G$55,"")</f>
        <v/>
      </c>
      <c r="K77" s="137" t="str">
        <f t="shared" si="40"/>
        <v>x</v>
      </c>
      <c r="L77" s="142">
        <f t="shared" si="41"/>
        <v>0</v>
      </c>
      <c r="M77" s="34"/>
      <c r="N77" s="37" t="str">
        <f>IF(COUNT(ngay18!$H$4)&gt;0,ngay18!$H$4,"")</f>
        <v/>
      </c>
      <c r="O77" s="34" t="str">
        <f t="shared" si="42"/>
        <v>x</v>
      </c>
      <c r="P77" s="142">
        <f t="shared" si="43"/>
        <v>0</v>
      </c>
      <c r="Q77" s="37" t="str">
        <f>IF(COUNT(ngay18!$G$58)&gt;0,ngay18!$G$58,"")</f>
        <v/>
      </c>
      <c r="R77" s="137" t="str">
        <f t="shared" si="44"/>
        <v>x</v>
      </c>
      <c r="S77" s="142">
        <f t="shared" si="45"/>
        <v>0</v>
      </c>
      <c r="T77" s="34"/>
      <c r="U77" s="37" t="str">
        <f>IF(COUNT(ngay18!$H$15)&gt;0,ngay18!$H$15,"")</f>
        <v/>
      </c>
      <c r="V77" s="34" t="str">
        <f t="shared" si="46"/>
        <v>x</v>
      </c>
      <c r="W77" s="142">
        <f t="shared" si="47"/>
        <v>0</v>
      </c>
    </row>
    <row r="78" spans="1:23">
      <c r="A78" s="41"/>
      <c r="B78" s="48">
        <v>19</v>
      </c>
      <c r="C78" s="37" t="str">
        <f>IF(COUNT(ngay18!$I$59)&gt;0,ngay18!$I$59,"")</f>
        <v/>
      </c>
      <c r="D78" s="137" t="str">
        <f t="shared" si="36"/>
        <v>x</v>
      </c>
      <c r="E78" s="142">
        <f t="shared" si="37"/>
        <v>0</v>
      </c>
      <c r="F78" s="34"/>
      <c r="G78" s="37" t="str">
        <f>IF(COUNT(ngay18!$J$12)&gt;0,ngay18!$J$12,"")</f>
        <v/>
      </c>
      <c r="H78" s="34" t="str">
        <f t="shared" si="38"/>
        <v>x</v>
      </c>
      <c r="I78" s="142">
        <f t="shared" si="39"/>
        <v>0</v>
      </c>
      <c r="J78" s="37" t="str">
        <f>IF(COUNT(ngay18!$I$55)&gt;0,ngay18!$I$55,"")</f>
        <v/>
      </c>
      <c r="K78" s="137" t="str">
        <f t="shared" si="40"/>
        <v>x</v>
      </c>
      <c r="L78" s="142">
        <f t="shared" si="41"/>
        <v>0</v>
      </c>
      <c r="M78" s="34"/>
      <c r="N78" s="37" t="str">
        <f>IF(COUNT(ngay18!$J$4)&gt;0,ngay18!$J$4,"")</f>
        <v/>
      </c>
      <c r="O78" s="34" t="str">
        <f t="shared" si="42"/>
        <v>x</v>
      </c>
      <c r="P78" s="142">
        <f t="shared" si="43"/>
        <v>0</v>
      </c>
      <c r="Q78" s="37" t="str">
        <f>IF(COUNT(ngay18!$I$58)&gt;0,ngay18!$I$58,"")</f>
        <v/>
      </c>
      <c r="R78" s="137" t="str">
        <f t="shared" si="44"/>
        <v>x</v>
      </c>
      <c r="S78" s="142">
        <f t="shared" si="45"/>
        <v>0</v>
      </c>
      <c r="T78" s="34"/>
      <c r="U78" s="37" t="str">
        <f>IF(COUNT(ngay18!$J$15)&gt;0,ngay18!$J$15,"")</f>
        <v/>
      </c>
      <c r="V78" s="34" t="str">
        <f t="shared" si="46"/>
        <v>x</v>
      </c>
      <c r="W78" s="142">
        <f t="shared" si="47"/>
        <v>0</v>
      </c>
    </row>
    <row r="79" spans="1:23" s="145" customFormat="1">
      <c r="A79" s="146">
        <v>19</v>
      </c>
      <c r="B79" s="48">
        <v>1</v>
      </c>
      <c r="C79" s="141" t="str">
        <f>IF(COUNT(ngay19!$C$59)&gt;0,ngay19!$C$59,"")</f>
        <v/>
      </c>
      <c r="D79" s="144" t="str">
        <f t="shared" si="36"/>
        <v>x</v>
      </c>
      <c r="E79" s="142">
        <f t="shared" si="37"/>
        <v>0</v>
      </c>
      <c r="F79" s="140"/>
      <c r="G79" s="141" t="str">
        <f>IF(COUNT(ngay19!$D$12)&gt;0,ngay19!$D$12,"")</f>
        <v/>
      </c>
      <c r="H79" s="140" t="str">
        <f t="shared" si="38"/>
        <v>x</v>
      </c>
      <c r="I79" s="142">
        <f t="shared" si="39"/>
        <v>0</v>
      </c>
      <c r="J79" s="141" t="str">
        <f>IF(COUNT(ngay19!$C$55)&gt;0,ngay19!$C$55,"")</f>
        <v/>
      </c>
      <c r="K79" s="144" t="str">
        <f t="shared" si="40"/>
        <v>x</v>
      </c>
      <c r="L79" s="142">
        <f t="shared" si="41"/>
        <v>0</v>
      </c>
      <c r="M79" s="140"/>
      <c r="N79" s="141" t="str">
        <f>IF(COUNT(ngay19!$D$4)&gt;0,ngay19!$D$4,"")</f>
        <v/>
      </c>
      <c r="O79" s="140" t="str">
        <f t="shared" si="42"/>
        <v>x</v>
      </c>
      <c r="P79" s="142">
        <f t="shared" si="43"/>
        <v>0</v>
      </c>
      <c r="Q79" s="141" t="str">
        <f>IF(COUNT(ngay19!$C$58)&gt;0,ngay19!$C$58,"")</f>
        <v/>
      </c>
      <c r="R79" s="144" t="str">
        <f t="shared" si="44"/>
        <v>x</v>
      </c>
      <c r="S79" s="142">
        <f t="shared" si="45"/>
        <v>0</v>
      </c>
      <c r="T79" s="140"/>
      <c r="U79" s="141" t="str">
        <f>IF(COUNT(ngay19!$D$15)&gt;0,ngay19!$D$15,"")</f>
        <v/>
      </c>
      <c r="V79" s="140" t="str">
        <f t="shared" si="46"/>
        <v>x</v>
      </c>
      <c r="W79" s="142">
        <f t="shared" si="47"/>
        <v>0</v>
      </c>
    </row>
    <row r="80" spans="1:23">
      <c r="A80" s="41"/>
      <c r="B80" s="139">
        <v>7</v>
      </c>
      <c r="C80" s="37" t="str">
        <f>IF(COUNT(ngay19!$E$59)&gt;0,ngay19!$E$59,"")</f>
        <v/>
      </c>
      <c r="D80" s="137" t="str">
        <f t="shared" si="36"/>
        <v>x</v>
      </c>
      <c r="E80" s="142">
        <f t="shared" si="37"/>
        <v>0</v>
      </c>
      <c r="F80" s="34"/>
      <c r="G80" s="37" t="str">
        <f>IF(COUNT(ngay19!$F$12)&gt;0,ngay19!$F$12,"")</f>
        <v/>
      </c>
      <c r="H80" s="34" t="str">
        <f t="shared" si="38"/>
        <v>x</v>
      </c>
      <c r="I80" s="142">
        <f t="shared" si="39"/>
        <v>0</v>
      </c>
      <c r="J80" s="37" t="str">
        <f>IF(COUNT(ngay19!$E$55)&gt;0,ngay19!$E$55,"")</f>
        <v/>
      </c>
      <c r="K80" s="137" t="str">
        <f t="shared" si="40"/>
        <v>x</v>
      </c>
      <c r="L80" s="142">
        <f t="shared" si="41"/>
        <v>0</v>
      </c>
      <c r="M80" s="34"/>
      <c r="N80" s="37" t="str">
        <f>IF(COUNT(ngay19!$F$4)&gt;0,ngay19!$F$4,"")</f>
        <v/>
      </c>
      <c r="O80" s="34" t="str">
        <f t="shared" si="42"/>
        <v>x</v>
      </c>
      <c r="P80" s="142">
        <f t="shared" si="43"/>
        <v>0</v>
      </c>
      <c r="Q80" s="37" t="str">
        <f>IF(COUNT(ngay19!$E$58)&gt;0,ngay19!$E$58,"")</f>
        <v/>
      </c>
      <c r="R80" s="137" t="str">
        <f t="shared" si="44"/>
        <v>x</v>
      </c>
      <c r="S80" s="142">
        <f t="shared" si="45"/>
        <v>0</v>
      </c>
      <c r="T80" s="34"/>
      <c r="U80" s="37" t="str">
        <f>IF(COUNT(ngay19!$F$15)&gt;0,ngay19!$F$15,"")</f>
        <v/>
      </c>
      <c r="V80" s="34" t="str">
        <f t="shared" si="46"/>
        <v>x</v>
      </c>
      <c r="W80" s="142">
        <f t="shared" si="47"/>
        <v>0</v>
      </c>
    </row>
    <row r="81" spans="1:23">
      <c r="A81" s="41"/>
      <c r="B81" s="48">
        <v>13</v>
      </c>
      <c r="C81" s="37" t="str">
        <f>IF(COUNT(ngay19!$G$59)&gt;0,ngay19!$G$59,"")</f>
        <v/>
      </c>
      <c r="D81" s="137" t="str">
        <f t="shared" si="36"/>
        <v>x</v>
      </c>
      <c r="E81" s="142">
        <f t="shared" si="37"/>
        <v>0</v>
      </c>
      <c r="F81" s="34"/>
      <c r="G81" s="37" t="str">
        <f>IF(COUNT(ngay19!$H$12)&gt;0,ngay19!$H$12,"")</f>
        <v/>
      </c>
      <c r="H81" s="34" t="str">
        <f t="shared" si="38"/>
        <v>x</v>
      </c>
      <c r="I81" s="142">
        <f t="shared" si="39"/>
        <v>0</v>
      </c>
      <c r="J81" s="37" t="str">
        <f>IF(COUNT(ngay19!$G$55)&gt;0,ngay19!$G$55,"")</f>
        <v/>
      </c>
      <c r="K81" s="137" t="str">
        <f t="shared" si="40"/>
        <v>x</v>
      </c>
      <c r="L81" s="142">
        <f t="shared" si="41"/>
        <v>0</v>
      </c>
      <c r="M81" s="34"/>
      <c r="N81" s="37" t="str">
        <f>IF(COUNT(ngay19!$H$4)&gt;0,ngay19!$H$4,"")</f>
        <v/>
      </c>
      <c r="O81" s="34" t="str">
        <f t="shared" si="42"/>
        <v>x</v>
      </c>
      <c r="P81" s="142">
        <f t="shared" si="43"/>
        <v>0</v>
      </c>
      <c r="Q81" s="37" t="str">
        <f>IF(COUNT(ngay19!$G$58)&gt;0,ngay19!$G$58,"")</f>
        <v/>
      </c>
      <c r="R81" s="137" t="str">
        <f t="shared" si="44"/>
        <v>x</v>
      </c>
      <c r="S81" s="142">
        <f t="shared" si="45"/>
        <v>0</v>
      </c>
      <c r="T81" s="34"/>
      <c r="U81" s="37" t="str">
        <f>IF(COUNT(ngay19!$H$15)&gt;0,ngay19!$H$15,"")</f>
        <v/>
      </c>
      <c r="V81" s="34" t="str">
        <f t="shared" si="46"/>
        <v>x</v>
      </c>
      <c r="W81" s="142">
        <f t="shared" si="47"/>
        <v>0</v>
      </c>
    </row>
    <row r="82" spans="1:23">
      <c r="A82" s="41"/>
      <c r="B82" s="48">
        <v>19</v>
      </c>
      <c r="C82" s="37" t="str">
        <f>IF(COUNT(ngay19!$I$59)&gt;0,ngay19!$I$59,"")</f>
        <v/>
      </c>
      <c r="D82" s="137" t="str">
        <f t="shared" si="36"/>
        <v>x</v>
      </c>
      <c r="E82" s="142">
        <f t="shared" si="37"/>
        <v>0</v>
      </c>
      <c r="F82" s="34"/>
      <c r="G82" s="37" t="str">
        <f>IF(COUNT(ngay19!$J$12)&gt;0,ngay19!$J$12,"")</f>
        <v/>
      </c>
      <c r="H82" s="34" t="str">
        <f t="shared" si="38"/>
        <v>x</v>
      </c>
      <c r="I82" s="142">
        <f t="shared" si="39"/>
        <v>0</v>
      </c>
      <c r="J82" s="37" t="str">
        <f>IF(COUNT(ngay19!$I$55)&gt;0,ngay19!$I$55,"")</f>
        <v/>
      </c>
      <c r="K82" s="137" t="str">
        <f t="shared" si="40"/>
        <v>x</v>
      </c>
      <c r="L82" s="142">
        <f t="shared" si="41"/>
        <v>0</v>
      </c>
      <c r="M82" s="34"/>
      <c r="N82" s="37" t="str">
        <f>IF(COUNT(ngay19!$J$4)&gt;0,ngay19!$J$4,"")</f>
        <v/>
      </c>
      <c r="O82" s="34" t="str">
        <f t="shared" si="42"/>
        <v>x</v>
      </c>
      <c r="P82" s="142">
        <f t="shared" si="43"/>
        <v>0</v>
      </c>
      <c r="Q82" s="37" t="str">
        <f>IF(COUNT(ngay19!$I$58)&gt;0,ngay19!$I$58,"")</f>
        <v/>
      </c>
      <c r="R82" s="137" t="str">
        <f t="shared" si="44"/>
        <v>x</v>
      </c>
      <c r="S82" s="142">
        <f t="shared" si="45"/>
        <v>0</v>
      </c>
      <c r="T82" s="34"/>
      <c r="U82" s="37" t="str">
        <f>IF(COUNT(ngay19!$J$15)&gt;0,ngay19!$J$15,"")</f>
        <v/>
      </c>
      <c r="V82" s="34" t="str">
        <f t="shared" si="46"/>
        <v>x</v>
      </c>
      <c r="W82" s="142">
        <f t="shared" si="47"/>
        <v>0</v>
      </c>
    </row>
    <row r="83" spans="1:23" s="145" customFormat="1">
      <c r="A83" s="146">
        <v>20</v>
      </c>
      <c r="B83" s="48">
        <v>1</v>
      </c>
      <c r="C83" s="141" t="str">
        <f>IF(COUNT(ngay20!$C$59)&gt;0,ngay20!$C$59,"")</f>
        <v/>
      </c>
      <c r="D83" s="144" t="str">
        <f t="shared" si="36"/>
        <v>x</v>
      </c>
      <c r="E83" s="142">
        <f t="shared" si="37"/>
        <v>0</v>
      </c>
      <c r="F83" s="140"/>
      <c r="G83" s="141" t="str">
        <f>IF(COUNT(ngay20!$D$12)&gt;0,ngay20!$D$12,"")</f>
        <v/>
      </c>
      <c r="H83" s="140" t="str">
        <f t="shared" si="38"/>
        <v>x</v>
      </c>
      <c r="I83" s="142">
        <f t="shared" si="39"/>
        <v>0</v>
      </c>
      <c r="J83" s="141" t="str">
        <f>IF(COUNT(ngay20!$C$55)&gt;0,ngay20!$C$55,"")</f>
        <v/>
      </c>
      <c r="K83" s="144" t="str">
        <f t="shared" si="40"/>
        <v>x</v>
      </c>
      <c r="L83" s="142">
        <f t="shared" si="41"/>
        <v>0</v>
      </c>
      <c r="M83" s="140"/>
      <c r="N83" s="141" t="str">
        <f>IF(COUNT(ngay20!$D$4)&gt;0,ngay20!$D$4,"")</f>
        <v/>
      </c>
      <c r="O83" s="140" t="str">
        <f t="shared" si="42"/>
        <v>x</v>
      </c>
      <c r="P83" s="142">
        <f t="shared" si="43"/>
        <v>0</v>
      </c>
      <c r="Q83" s="141" t="str">
        <f>IF(COUNT(ngay20!$C$58)&gt;0,ngay20!$C$58,"")</f>
        <v/>
      </c>
      <c r="R83" s="144" t="str">
        <f t="shared" si="44"/>
        <v>x</v>
      </c>
      <c r="S83" s="142">
        <f t="shared" si="45"/>
        <v>0</v>
      </c>
      <c r="T83" s="140"/>
      <c r="U83" s="141" t="str">
        <f>IF(COUNT(ngay20!$D$15)&gt;0,ngay20!$D$15,"")</f>
        <v/>
      </c>
      <c r="V83" s="140" t="str">
        <f t="shared" si="46"/>
        <v>x</v>
      </c>
      <c r="W83" s="142">
        <f t="shared" si="47"/>
        <v>0</v>
      </c>
    </row>
    <row r="84" spans="1:23">
      <c r="A84" s="41"/>
      <c r="B84" s="139">
        <v>7</v>
      </c>
      <c r="C84" s="37" t="str">
        <f>IF(COUNT(ngay20!$E$59)&gt;0,ngay20!$E$59,"")</f>
        <v/>
      </c>
      <c r="D84" s="137" t="str">
        <f t="shared" si="36"/>
        <v>x</v>
      </c>
      <c r="E84" s="142">
        <f t="shared" si="37"/>
        <v>0</v>
      </c>
      <c r="F84" s="34"/>
      <c r="G84" s="37" t="str">
        <f>IF(COUNT(ngay20!$F$12)&gt;0,ngay20!$F$12,"")</f>
        <v/>
      </c>
      <c r="H84" s="34" t="str">
        <f t="shared" si="38"/>
        <v>x</v>
      </c>
      <c r="I84" s="142">
        <f t="shared" si="39"/>
        <v>0</v>
      </c>
      <c r="J84" s="37" t="str">
        <f>IF(COUNT(ngay20!$E$55)&gt;0,ngay20!$E$55,"")</f>
        <v/>
      </c>
      <c r="K84" s="137" t="str">
        <f t="shared" si="40"/>
        <v>x</v>
      </c>
      <c r="L84" s="142">
        <f t="shared" si="41"/>
        <v>0</v>
      </c>
      <c r="M84" s="34"/>
      <c r="N84" s="37" t="str">
        <f>IF(COUNT(ngay20!$F$4)&gt;0,ngay20!$F$4,"")</f>
        <v/>
      </c>
      <c r="O84" s="34" t="str">
        <f t="shared" si="42"/>
        <v>x</v>
      </c>
      <c r="P84" s="142">
        <f t="shared" si="43"/>
        <v>0</v>
      </c>
      <c r="Q84" s="37" t="str">
        <f>IF(COUNT(ngay20!$E$58)&gt;0,ngay20!$E$58,"")</f>
        <v/>
      </c>
      <c r="R84" s="137" t="str">
        <f t="shared" si="44"/>
        <v>x</v>
      </c>
      <c r="S84" s="142">
        <f t="shared" si="45"/>
        <v>0</v>
      </c>
      <c r="T84" s="34"/>
      <c r="U84" s="37" t="str">
        <f>IF(COUNT(ngay20!$F$15)&gt;0,ngay20!$F$15,"")</f>
        <v/>
      </c>
      <c r="V84" s="34" t="str">
        <f t="shared" si="46"/>
        <v>x</v>
      </c>
      <c r="W84" s="142">
        <f t="shared" si="47"/>
        <v>0</v>
      </c>
    </row>
    <row r="85" spans="1:23">
      <c r="A85" s="41"/>
      <c r="B85" s="48">
        <v>13</v>
      </c>
      <c r="C85" s="37" t="str">
        <f>IF(COUNT(ngay20!$G$59)&gt;0,ngay20!$G$59,"")</f>
        <v/>
      </c>
      <c r="D85" s="137" t="str">
        <f t="shared" si="36"/>
        <v>x</v>
      </c>
      <c r="E85" s="142">
        <f t="shared" si="37"/>
        <v>0</v>
      </c>
      <c r="F85" s="34"/>
      <c r="G85" s="37" t="str">
        <f>IF(COUNT(ngay20!$H$12)&gt;0,ngay20!$H$12,"")</f>
        <v/>
      </c>
      <c r="H85" s="34" t="str">
        <f t="shared" si="38"/>
        <v>x</v>
      </c>
      <c r="I85" s="142">
        <f t="shared" si="39"/>
        <v>0</v>
      </c>
      <c r="J85" s="37" t="str">
        <f>IF(COUNT(ngay20!$G$55)&gt;0,ngay20!$G$55,"")</f>
        <v/>
      </c>
      <c r="K85" s="137" t="str">
        <f t="shared" si="40"/>
        <v>x</v>
      </c>
      <c r="L85" s="142">
        <f t="shared" si="41"/>
        <v>0</v>
      </c>
      <c r="M85" s="34"/>
      <c r="N85" s="37" t="str">
        <f>IF(COUNT(ngay20!$H$4)&gt;0,ngay20!$H$4,"")</f>
        <v/>
      </c>
      <c r="O85" s="34" t="str">
        <f t="shared" si="42"/>
        <v>x</v>
      </c>
      <c r="P85" s="142">
        <f t="shared" si="43"/>
        <v>0</v>
      </c>
      <c r="Q85" s="37" t="str">
        <f>IF(COUNT(ngay20!$G$58)&gt;0,ngay20!$G$58,"")</f>
        <v/>
      </c>
      <c r="R85" s="137" t="str">
        <f t="shared" si="44"/>
        <v>x</v>
      </c>
      <c r="S85" s="142">
        <f t="shared" si="45"/>
        <v>0</v>
      </c>
      <c r="T85" s="34"/>
      <c r="U85" s="37" t="str">
        <f>IF(COUNT(ngay20!$H$15)&gt;0,ngay20!$H$15,"")</f>
        <v/>
      </c>
      <c r="V85" s="34" t="str">
        <f t="shared" si="46"/>
        <v>x</v>
      </c>
      <c r="W85" s="142">
        <f t="shared" si="47"/>
        <v>0</v>
      </c>
    </row>
    <row r="86" spans="1:23">
      <c r="A86" s="41"/>
      <c r="B86" s="48">
        <v>19</v>
      </c>
      <c r="C86" s="37" t="str">
        <f>IF(COUNT(ngay20!$I$59)&gt;0,ngay20!$I$59,"")</f>
        <v/>
      </c>
      <c r="D86" s="137" t="str">
        <f t="shared" si="36"/>
        <v>x</v>
      </c>
      <c r="E86" s="142">
        <f t="shared" si="37"/>
        <v>0</v>
      </c>
      <c r="F86" s="34"/>
      <c r="G86" s="37" t="str">
        <f>IF(COUNT(ngay20!$J$12)&gt;0,ngay20!$J$12,"")</f>
        <v/>
      </c>
      <c r="H86" s="34" t="str">
        <f t="shared" si="38"/>
        <v>x</v>
      </c>
      <c r="I86" s="142">
        <f t="shared" si="39"/>
        <v>0</v>
      </c>
      <c r="J86" s="37" t="str">
        <f>IF(COUNT(ngay20!$I$55)&gt;0,ngay20!$I$55,"")</f>
        <v/>
      </c>
      <c r="K86" s="137" t="str">
        <f t="shared" si="40"/>
        <v>x</v>
      </c>
      <c r="L86" s="142">
        <f t="shared" si="41"/>
        <v>0</v>
      </c>
      <c r="M86" s="34"/>
      <c r="N86" s="37" t="str">
        <f>IF(COUNT(ngay20!$J$4)&gt;0,ngay20!$J$4,"")</f>
        <v/>
      </c>
      <c r="O86" s="34" t="str">
        <f t="shared" si="42"/>
        <v>x</v>
      </c>
      <c r="P86" s="142">
        <f t="shared" si="43"/>
        <v>0</v>
      </c>
      <c r="Q86" s="37" t="str">
        <f>IF(COUNT(ngay20!$I$58)&gt;0,ngay20!$I$58,"")</f>
        <v/>
      </c>
      <c r="R86" s="137" t="str">
        <f t="shared" si="44"/>
        <v>x</v>
      </c>
      <c r="S86" s="142">
        <f t="shared" si="45"/>
        <v>0</v>
      </c>
      <c r="T86" s="34"/>
      <c r="U86" s="37" t="str">
        <f>IF(COUNT(ngay20!$J$15)&gt;0,ngay20!$J$15,"")</f>
        <v/>
      </c>
      <c r="V86" s="34" t="str">
        <f t="shared" si="46"/>
        <v>x</v>
      </c>
      <c r="W86" s="142">
        <f t="shared" si="47"/>
        <v>0</v>
      </c>
    </row>
    <row r="87" spans="1:23" s="145" customFormat="1">
      <c r="A87" s="146">
        <v>21</v>
      </c>
      <c r="B87" s="48">
        <v>1</v>
      </c>
      <c r="C87" s="141" t="str">
        <f>IF(COUNT(ngay21!$C$59)&gt;0,ngay21!$C$59,"")</f>
        <v/>
      </c>
      <c r="D87" s="144" t="str">
        <f t="shared" si="36"/>
        <v>x</v>
      </c>
      <c r="E87" s="142">
        <f t="shared" ref="E87:E102" si="48">IF(COUNT(D87,E86)=2,D87+E86,E86)</f>
        <v>0</v>
      </c>
      <c r="F87" s="140"/>
      <c r="G87" s="141" t="str">
        <f>IF(COUNT(ngay21!$D$12)&gt;0,ngay21!$D$12,"")</f>
        <v/>
      </c>
      <c r="H87" s="140" t="str">
        <f t="shared" si="38"/>
        <v>x</v>
      </c>
      <c r="I87" s="142">
        <f t="shared" ref="I87:I102" si="49">IF(COUNT(H87,I86)=2,H87+I86,I86)</f>
        <v>0</v>
      </c>
      <c r="J87" s="141" t="str">
        <f>IF(COUNT(ngay21!$C$55)&gt;0,ngay21!$C$55,"")</f>
        <v/>
      </c>
      <c r="K87" s="144" t="str">
        <f t="shared" si="40"/>
        <v>x</v>
      </c>
      <c r="L87" s="142">
        <f t="shared" ref="L87:L102" si="50">IF(COUNT(K87,L86)=2,K87+L86,L86)</f>
        <v>0</v>
      </c>
      <c r="M87" s="140"/>
      <c r="N87" s="141" t="str">
        <f>IF(COUNT(ngay21!$D$4)&gt;0,ngay21!$D$4,"")</f>
        <v/>
      </c>
      <c r="O87" s="140" t="str">
        <f t="shared" si="42"/>
        <v>x</v>
      </c>
      <c r="P87" s="142">
        <f t="shared" ref="P87:P102" si="51">IF(COUNT(O87,P86)=2,O87+P86,P86)</f>
        <v>0</v>
      </c>
      <c r="Q87" s="141" t="str">
        <f>IF(COUNT(ngay21!$C$58)&gt;0,ngay21!$C$58,"")</f>
        <v/>
      </c>
      <c r="R87" s="144" t="str">
        <f t="shared" si="44"/>
        <v>x</v>
      </c>
      <c r="S87" s="142">
        <f t="shared" ref="S87:S102" si="52">IF(COUNT(R87,S86)=2,R87+S86,S86)</f>
        <v>0</v>
      </c>
      <c r="T87" s="140"/>
      <c r="U87" s="141" t="str">
        <f>IF(COUNT(ngay21!$D$15)&gt;0,ngay21!$D$15,"")</f>
        <v/>
      </c>
      <c r="V87" s="140" t="str">
        <f t="shared" si="46"/>
        <v>x</v>
      </c>
      <c r="W87" s="142">
        <f t="shared" ref="W87:W102" si="53">IF(COUNT(V87,W86)=2,V87+W86,W86)</f>
        <v>0</v>
      </c>
    </row>
    <row r="88" spans="1:23">
      <c r="A88" s="41"/>
      <c r="B88" s="139">
        <v>7</v>
      </c>
      <c r="C88" s="37" t="str">
        <f>IF(COUNT(ngay21!$E$59)&gt;0,ngay21!$E$59,"")</f>
        <v/>
      </c>
      <c r="D88" s="137" t="str">
        <f t="shared" si="36"/>
        <v>x</v>
      </c>
      <c r="E88" s="142">
        <f t="shared" si="48"/>
        <v>0</v>
      </c>
      <c r="F88" s="34"/>
      <c r="G88" s="37" t="str">
        <f>IF(COUNT(ngay21!$F$12)&gt;0,ngay21!$F$12,"")</f>
        <v/>
      </c>
      <c r="H88" s="34" t="str">
        <f t="shared" si="38"/>
        <v>x</v>
      </c>
      <c r="I88" s="142">
        <f t="shared" si="49"/>
        <v>0</v>
      </c>
      <c r="J88" s="37" t="str">
        <f>IF(COUNT(ngay21!$E$55)&gt;0,ngay21!$E$55,"")</f>
        <v/>
      </c>
      <c r="K88" s="137" t="str">
        <f t="shared" si="40"/>
        <v>x</v>
      </c>
      <c r="L88" s="142">
        <f t="shared" si="50"/>
        <v>0</v>
      </c>
      <c r="M88" s="34"/>
      <c r="N88" s="37" t="str">
        <f>IF(COUNT(ngay21!$F$4)&gt;0,ngay21!$F$4,"")</f>
        <v/>
      </c>
      <c r="O88" s="34" t="str">
        <f t="shared" si="42"/>
        <v>x</v>
      </c>
      <c r="P88" s="142">
        <f t="shared" si="51"/>
        <v>0</v>
      </c>
      <c r="Q88" s="37" t="str">
        <f>IF(COUNT(ngay21!$E$58)&gt;0,ngay21!$E$58,"")</f>
        <v/>
      </c>
      <c r="R88" s="137" t="str">
        <f t="shared" si="44"/>
        <v>x</v>
      </c>
      <c r="S88" s="142">
        <f t="shared" si="52"/>
        <v>0</v>
      </c>
      <c r="T88" s="34"/>
      <c r="U88" s="37" t="str">
        <f>IF(COUNT(ngay21!$F$15)&gt;0,ngay21!$F$15,"")</f>
        <v/>
      </c>
      <c r="V88" s="34" t="str">
        <f t="shared" si="46"/>
        <v>x</v>
      </c>
      <c r="W88" s="142">
        <f t="shared" si="53"/>
        <v>0</v>
      </c>
    </row>
    <row r="89" spans="1:23">
      <c r="A89" s="41"/>
      <c r="B89" s="48">
        <v>13</v>
      </c>
      <c r="C89" s="37" t="str">
        <f>IF(COUNT(ngay21!$G$59)&gt;0,ngay21!$G$59,"")</f>
        <v/>
      </c>
      <c r="D89" s="137" t="str">
        <f t="shared" si="36"/>
        <v>x</v>
      </c>
      <c r="E89" s="142">
        <f t="shared" si="48"/>
        <v>0</v>
      </c>
      <c r="F89" s="34"/>
      <c r="G89" s="37" t="str">
        <f>IF(COUNT(ngay21!$H$12)&gt;0,ngay21!$H$12,"")</f>
        <v/>
      </c>
      <c r="H89" s="34" t="str">
        <f t="shared" si="38"/>
        <v>x</v>
      </c>
      <c r="I89" s="142">
        <f t="shared" si="49"/>
        <v>0</v>
      </c>
      <c r="J89" s="37" t="str">
        <f>IF(COUNT(ngay21!$G$55)&gt;0,ngay21!$G$55,"")</f>
        <v/>
      </c>
      <c r="K89" s="137" t="str">
        <f t="shared" si="40"/>
        <v>x</v>
      </c>
      <c r="L89" s="142">
        <f t="shared" si="50"/>
        <v>0</v>
      </c>
      <c r="M89" s="34"/>
      <c r="N89" s="37" t="str">
        <f>IF(COUNT(ngay21!$H$4)&gt;0,ngay21!$H$4,"")</f>
        <v/>
      </c>
      <c r="O89" s="34" t="str">
        <f t="shared" si="42"/>
        <v>x</v>
      </c>
      <c r="P89" s="142">
        <f t="shared" si="51"/>
        <v>0</v>
      </c>
      <c r="Q89" s="37" t="str">
        <f>IF(COUNT(ngay21!$G$58)&gt;0,ngay21!$G$58,"")</f>
        <v/>
      </c>
      <c r="R89" s="137" t="str">
        <f t="shared" si="44"/>
        <v>x</v>
      </c>
      <c r="S89" s="142">
        <f t="shared" si="52"/>
        <v>0</v>
      </c>
      <c r="T89" s="34"/>
      <c r="U89" s="37" t="str">
        <f>IF(COUNT(ngay21!$H$15)&gt;0,ngay21!$H$15,"")</f>
        <v/>
      </c>
      <c r="V89" s="34" t="str">
        <f t="shared" si="46"/>
        <v>x</v>
      </c>
      <c r="W89" s="142">
        <f t="shared" si="53"/>
        <v>0</v>
      </c>
    </row>
    <row r="90" spans="1:23">
      <c r="A90" s="41"/>
      <c r="B90" s="48">
        <v>19</v>
      </c>
      <c r="C90" s="37" t="str">
        <f>IF(COUNT(ngay21!$I$59)&gt;0,ngay21!$I$59,"")</f>
        <v/>
      </c>
      <c r="D90" s="137" t="str">
        <f t="shared" si="36"/>
        <v>x</v>
      </c>
      <c r="E90" s="142">
        <f t="shared" si="48"/>
        <v>0</v>
      </c>
      <c r="F90" s="34"/>
      <c r="G90" s="37" t="str">
        <f>IF(COUNT(ngay21!$J$12)&gt;0,ngay21!$J$12,"")</f>
        <v/>
      </c>
      <c r="H90" s="34" t="str">
        <f t="shared" si="38"/>
        <v>x</v>
      </c>
      <c r="I90" s="142">
        <f t="shared" si="49"/>
        <v>0</v>
      </c>
      <c r="J90" s="37" t="str">
        <f>IF(COUNT(ngay21!$I$55)&gt;0,ngay21!$I$55,"")</f>
        <v/>
      </c>
      <c r="K90" s="137" t="str">
        <f t="shared" si="40"/>
        <v>x</v>
      </c>
      <c r="L90" s="142">
        <f t="shared" si="50"/>
        <v>0</v>
      </c>
      <c r="M90" s="34"/>
      <c r="N90" s="37" t="str">
        <f>IF(COUNT(ngay21!$J$4)&gt;0,ngay21!$J$4,"")</f>
        <v/>
      </c>
      <c r="O90" s="34" t="str">
        <f t="shared" si="42"/>
        <v>x</v>
      </c>
      <c r="P90" s="142">
        <f t="shared" si="51"/>
        <v>0</v>
      </c>
      <c r="Q90" s="37" t="str">
        <f>IF(COUNT(ngay21!$I$58)&gt;0,ngay21!$I$58,"")</f>
        <v/>
      </c>
      <c r="R90" s="137" t="str">
        <f t="shared" si="44"/>
        <v>x</v>
      </c>
      <c r="S90" s="142">
        <f t="shared" si="52"/>
        <v>0</v>
      </c>
      <c r="T90" s="34"/>
      <c r="U90" s="37" t="str">
        <f>IF(COUNT(ngay21!$J$15)&gt;0,ngay21!$J$15,"")</f>
        <v/>
      </c>
      <c r="V90" s="34" t="str">
        <f t="shared" si="46"/>
        <v>x</v>
      </c>
      <c r="W90" s="142">
        <f t="shared" si="53"/>
        <v>0</v>
      </c>
    </row>
    <row r="91" spans="1:23" s="145" customFormat="1">
      <c r="A91" s="146">
        <v>22</v>
      </c>
      <c r="B91" s="48">
        <v>1</v>
      </c>
      <c r="C91" s="141" t="str">
        <f>IF(COUNT(ngay22!$C$59)&gt;0,ngay22!$C$59,"")</f>
        <v/>
      </c>
      <c r="D91" s="144" t="str">
        <f t="shared" si="36"/>
        <v>x</v>
      </c>
      <c r="E91" s="142">
        <f t="shared" si="48"/>
        <v>0</v>
      </c>
      <c r="F91" s="140"/>
      <c r="G91" s="141" t="str">
        <f>IF(COUNT(ngay22!$D$12)&gt;0,ngay22!$D$12,"")</f>
        <v/>
      </c>
      <c r="H91" s="140" t="str">
        <f t="shared" si="38"/>
        <v>x</v>
      </c>
      <c r="I91" s="142">
        <f t="shared" si="49"/>
        <v>0</v>
      </c>
      <c r="J91" s="141" t="str">
        <f>IF(COUNT(ngay22!$C$55)&gt;0,ngay22!$C$55,"")</f>
        <v/>
      </c>
      <c r="K91" s="144" t="str">
        <f t="shared" si="40"/>
        <v>x</v>
      </c>
      <c r="L91" s="142">
        <f t="shared" si="50"/>
        <v>0</v>
      </c>
      <c r="M91" s="140"/>
      <c r="N91" s="141" t="str">
        <f>IF(COUNT(ngay22!$D$4)&gt;0,ngay22!$D$4,"")</f>
        <v/>
      </c>
      <c r="O91" s="140" t="str">
        <f t="shared" si="42"/>
        <v>x</v>
      </c>
      <c r="P91" s="142">
        <f t="shared" si="51"/>
        <v>0</v>
      </c>
      <c r="Q91" s="141" t="str">
        <f>IF(COUNT(ngay22!$C$58)&gt;0,ngay22!$C$58,"")</f>
        <v/>
      </c>
      <c r="R91" s="144" t="str">
        <f t="shared" si="44"/>
        <v>x</v>
      </c>
      <c r="S91" s="142">
        <f t="shared" si="52"/>
        <v>0</v>
      </c>
      <c r="T91" s="140"/>
      <c r="U91" s="141" t="str">
        <f>IF(COUNT(ngay22!$D$15)&gt;0,ngay22!$D$15,"")</f>
        <v/>
      </c>
      <c r="V91" s="140" t="str">
        <f t="shared" si="46"/>
        <v>x</v>
      </c>
      <c r="W91" s="142">
        <f t="shared" si="53"/>
        <v>0</v>
      </c>
    </row>
    <row r="92" spans="1:23">
      <c r="A92" s="41"/>
      <c r="B92" s="139">
        <v>7</v>
      </c>
      <c r="C92" s="37" t="str">
        <f>IF(COUNT(ngay22!$E$59)&gt;0,ngay22!$E$59,"")</f>
        <v/>
      </c>
      <c r="D92" s="137" t="str">
        <f t="shared" si="36"/>
        <v>x</v>
      </c>
      <c r="E92" s="142">
        <f t="shared" si="48"/>
        <v>0</v>
      </c>
      <c r="F92" s="34"/>
      <c r="G92" s="37" t="str">
        <f>IF(COUNT(ngay22!$F$12)&gt;0,ngay22!$F$12,"")</f>
        <v/>
      </c>
      <c r="H92" s="34" t="str">
        <f t="shared" si="38"/>
        <v>x</v>
      </c>
      <c r="I92" s="142">
        <f t="shared" si="49"/>
        <v>0</v>
      </c>
      <c r="J92" s="37" t="str">
        <f>IF(COUNT(ngay22!$E$55)&gt;0,ngay22!$E$55,"")</f>
        <v/>
      </c>
      <c r="K92" s="137" t="str">
        <f t="shared" si="40"/>
        <v>x</v>
      </c>
      <c r="L92" s="142">
        <f t="shared" si="50"/>
        <v>0</v>
      </c>
      <c r="M92" s="34"/>
      <c r="N92" s="37" t="str">
        <f>IF(COUNT(ngay22!$F$4)&gt;0,ngay22!$F$4,"")</f>
        <v/>
      </c>
      <c r="O92" s="34" t="str">
        <f t="shared" si="42"/>
        <v>x</v>
      </c>
      <c r="P92" s="142">
        <f t="shared" si="51"/>
        <v>0</v>
      </c>
      <c r="Q92" s="37" t="str">
        <f>IF(COUNT(ngay22!$E$58)&gt;0,ngay22!$E$58,"")</f>
        <v/>
      </c>
      <c r="R92" s="137" t="str">
        <f t="shared" si="44"/>
        <v>x</v>
      </c>
      <c r="S92" s="142">
        <f t="shared" si="52"/>
        <v>0</v>
      </c>
      <c r="T92" s="34"/>
      <c r="U92" s="37" t="str">
        <f>IF(COUNT(ngay22!$F$15)&gt;0,ngay22!$F$15,"")</f>
        <v/>
      </c>
      <c r="V92" s="34" t="str">
        <f t="shared" si="46"/>
        <v>x</v>
      </c>
      <c r="W92" s="142">
        <f t="shared" si="53"/>
        <v>0</v>
      </c>
    </row>
    <row r="93" spans="1:23">
      <c r="A93" s="41"/>
      <c r="B93" s="48">
        <v>13</v>
      </c>
      <c r="C93" s="37" t="str">
        <f>IF(COUNT(ngay22!$G$59)&gt;0,ngay22!$G$59,"")</f>
        <v/>
      </c>
      <c r="D93" s="137" t="str">
        <f t="shared" si="36"/>
        <v>x</v>
      </c>
      <c r="E93" s="142">
        <f t="shared" si="48"/>
        <v>0</v>
      </c>
      <c r="F93" s="34"/>
      <c r="G93" s="37" t="str">
        <f>IF(COUNT(ngay22!$H$12)&gt;0,ngay22!$H$12,"")</f>
        <v/>
      </c>
      <c r="H93" s="34" t="str">
        <f t="shared" si="38"/>
        <v>x</v>
      </c>
      <c r="I93" s="142">
        <f t="shared" si="49"/>
        <v>0</v>
      </c>
      <c r="J93" s="37" t="str">
        <f>IF(COUNT(ngay22!$G$55)&gt;0,ngay22!$G$55,"")</f>
        <v/>
      </c>
      <c r="K93" s="137" t="str">
        <f t="shared" si="40"/>
        <v>x</v>
      </c>
      <c r="L93" s="142">
        <f t="shared" si="50"/>
        <v>0</v>
      </c>
      <c r="M93" s="34"/>
      <c r="N93" s="37" t="str">
        <f>IF(COUNT(ngay22!$H$4)&gt;0,ngay22!$H$4,"")</f>
        <v/>
      </c>
      <c r="O93" s="34" t="str">
        <f t="shared" si="42"/>
        <v>x</v>
      </c>
      <c r="P93" s="142">
        <f t="shared" si="51"/>
        <v>0</v>
      </c>
      <c r="Q93" s="37" t="str">
        <f>IF(COUNT(ngay22!$G$58)&gt;0,ngay22!$G$58,"")</f>
        <v/>
      </c>
      <c r="R93" s="137" t="str">
        <f t="shared" si="44"/>
        <v>x</v>
      </c>
      <c r="S93" s="142">
        <f t="shared" si="52"/>
        <v>0</v>
      </c>
      <c r="T93" s="34"/>
      <c r="U93" s="37" t="str">
        <f>IF(COUNT(ngay22!$H$15)&gt;0,ngay22!$H$15,"")</f>
        <v/>
      </c>
      <c r="V93" s="34" t="str">
        <f t="shared" si="46"/>
        <v>x</v>
      </c>
      <c r="W93" s="142">
        <f t="shared" si="53"/>
        <v>0</v>
      </c>
    </row>
    <row r="94" spans="1:23">
      <c r="A94" s="41"/>
      <c r="B94" s="48">
        <v>19</v>
      </c>
      <c r="C94" s="37" t="str">
        <f>IF(COUNT(ngay22!$I$59)&gt;0,ngay22!$I$59,"")</f>
        <v/>
      </c>
      <c r="D94" s="137" t="str">
        <f t="shared" si="36"/>
        <v>x</v>
      </c>
      <c r="E94" s="142">
        <f t="shared" si="48"/>
        <v>0</v>
      </c>
      <c r="F94" s="34"/>
      <c r="G94" s="37" t="str">
        <f>IF(COUNT(ngay22!$J$12)&gt;0,ngay22!$J$12,"")</f>
        <v/>
      </c>
      <c r="H94" s="34" t="str">
        <f t="shared" si="38"/>
        <v>x</v>
      </c>
      <c r="I94" s="142">
        <f t="shared" si="49"/>
        <v>0</v>
      </c>
      <c r="J94" s="37" t="str">
        <f>IF(COUNT(ngay22!$I$55)&gt;0,ngay22!$I$55,"")</f>
        <v/>
      </c>
      <c r="K94" s="137" t="str">
        <f t="shared" si="40"/>
        <v>x</v>
      </c>
      <c r="L94" s="142">
        <f t="shared" si="50"/>
        <v>0</v>
      </c>
      <c r="M94" s="34"/>
      <c r="N94" s="37" t="str">
        <f>IF(COUNT(ngay22!$J$4)&gt;0,ngay22!$J$4,"")</f>
        <v/>
      </c>
      <c r="O94" s="34" t="str">
        <f t="shared" si="42"/>
        <v>x</v>
      </c>
      <c r="P94" s="142">
        <f t="shared" si="51"/>
        <v>0</v>
      </c>
      <c r="Q94" s="37" t="str">
        <f>IF(COUNT(ngay22!$I$58)&gt;0,ngay22!$I$58,"")</f>
        <v/>
      </c>
      <c r="R94" s="137" t="str">
        <f t="shared" si="44"/>
        <v>x</v>
      </c>
      <c r="S94" s="142">
        <f t="shared" si="52"/>
        <v>0</v>
      </c>
      <c r="T94" s="34"/>
      <c r="U94" s="37" t="str">
        <f>IF(COUNT(ngay22!$J$15)&gt;0,ngay22!$J$15,"")</f>
        <v/>
      </c>
      <c r="V94" s="34" t="str">
        <f t="shared" si="46"/>
        <v>x</v>
      </c>
      <c r="W94" s="142">
        <f t="shared" si="53"/>
        <v>0</v>
      </c>
    </row>
    <row r="95" spans="1:23" s="145" customFormat="1">
      <c r="A95" s="146">
        <v>23</v>
      </c>
      <c r="B95" s="48">
        <v>1</v>
      </c>
      <c r="C95" s="141" t="str">
        <f>IF(COUNT(ngay23!$C$58)&gt;0,ngay23!$C$58,"")</f>
        <v/>
      </c>
      <c r="D95" s="144" t="str">
        <f t="shared" si="36"/>
        <v>x</v>
      </c>
      <c r="E95" s="142">
        <f t="shared" si="48"/>
        <v>0</v>
      </c>
      <c r="F95" s="140"/>
      <c r="G95" s="141" t="str">
        <f>IF(COUNT(ngay23!$D$12)&gt;0,ngay23!$D$12,"")</f>
        <v/>
      </c>
      <c r="H95" s="140" t="str">
        <f t="shared" si="38"/>
        <v>x</v>
      </c>
      <c r="I95" s="142">
        <f t="shared" si="49"/>
        <v>0</v>
      </c>
      <c r="J95" s="141" t="str">
        <f>IF(COUNT(ngay23!$C$55)&gt;0,ngay23!$C$55,"")</f>
        <v/>
      </c>
      <c r="K95" s="144" t="str">
        <f t="shared" si="40"/>
        <v>x</v>
      </c>
      <c r="L95" s="142">
        <f t="shared" si="50"/>
        <v>0</v>
      </c>
      <c r="M95" s="140"/>
      <c r="N95" s="141" t="str">
        <f>IF(COUNT(ngay23!$D$4)&gt;0,ngay23!$D$4,"")</f>
        <v/>
      </c>
      <c r="O95" s="140" t="str">
        <f t="shared" si="42"/>
        <v>x</v>
      </c>
      <c r="P95" s="142">
        <f t="shared" si="51"/>
        <v>0</v>
      </c>
      <c r="Q95" s="141" t="str">
        <f>IF(COUNT(ngay23!$C$57)&gt;0,ngay23!$C$57,"")</f>
        <v/>
      </c>
      <c r="R95" s="144" t="str">
        <f t="shared" si="44"/>
        <v>x</v>
      </c>
      <c r="S95" s="142">
        <f t="shared" si="52"/>
        <v>0</v>
      </c>
      <c r="T95" s="140"/>
      <c r="U95" s="141" t="str">
        <f>IF(COUNT(ngay23!$D$15)&gt;0,ngay23!$D$15,"")</f>
        <v/>
      </c>
      <c r="V95" s="140" t="str">
        <f t="shared" si="46"/>
        <v>x</v>
      </c>
      <c r="W95" s="142">
        <f t="shared" si="53"/>
        <v>0</v>
      </c>
    </row>
    <row r="96" spans="1:23">
      <c r="A96" s="41"/>
      <c r="B96" s="139">
        <v>7</v>
      </c>
      <c r="C96" s="37" t="str">
        <f>IF(COUNT(ngay23!$E$58)&gt;0,ngay23!$E$58,"")</f>
        <v/>
      </c>
      <c r="D96" s="137" t="str">
        <f t="shared" si="36"/>
        <v>x</v>
      </c>
      <c r="E96" s="142">
        <f t="shared" si="48"/>
        <v>0</v>
      </c>
      <c r="F96" s="34"/>
      <c r="G96" s="37" t="str">
        <f>IF(COUNT(ngay23!$F$12)&gt;0,ngay23!$F$12,"")</f>
        <v/>
      </c>
      <c r="H96" s="34" t="str">
        <f t="shared" si="38"/>
        <v>x</v>
      </c>
      <c r="I96" s="142">
        <f t="shared" si="49"/>
        <v>0</v>
      </c>
      <c r="J96" s="37" t="str">
        <f>IF(COUNT(ngay23!$E$55)&gt;0,ngay23!$E$55,"")</f>
        <v/>
      </c>
      <c r="K96" s="137" t="str">
        <f t="shared" si="40"/>
        <v>x</v>
      </c>
      <c r="L96" s="142">
        <f t="shared" si="50"/>
        <v>0</v>
      </c>
      <c r="M96" s="34"/>
      <c r="N96" s="37" t="str">
        <f>IF(COUNT(ngay23!$F$4)&gt;0,ngay23!$F$4,"")</f>
        <v/>
      </c>
      <c r="O96" s="34" t="str">
        <f t="shared" si="42"/>
        <v>x</v>
      </c>
      <c r="P96" s="142">
        <f t="shared" si="51"/>
        <v>0</v>
      </c>
      <c r="Q96" s="37" t="str">
        <f>IF(COUNT(ngay23!$E$57)&gt;0,ngay23!$E$57,"")</f>
        <v/>
      </c>
      <c r="R96" s="137" t="str">
        <f t="shared" si="44"/>
        <v>x</v>
      </c>
      <c r="S96" s="142">
        <f t="shared" si="52"/>
        <v>0</v>
      </c>
      <c r="T96" s="34"/>
      <c r="U96" s="37" t="str">
        <f>IF(COUNT(ngay23!$F$15)&gt;0,ngay23!$F$15,"")</f>
        <v/>
      </c>
      <c r="V96" s="34" t="str">
        <f t="shared" si="46"/>
        <v>x</v>
      </c>
      <c r="W96" s="142">
        <f t="shared" si="53"/>
        <v>0</v>
      </c>
    </row>
    <row r="97" spans="1:23">
      <c r="A97" s="41"/>
      <c r="B97" s="48">
        <v>13</v>
      </c>
      <c r="C97" s="37" t="str">
        <f>IF(COUNT(ngay23!$G$58)&gt;0,ngay23!$G$58,"")</f>
        <v/>
      </c>
      <c r="D97" s="137" t="str">
        <f t="shared" si="36"/>
        <v>x</v>
      </c>
      <c r="E97" s="142">
        <f t="shared" si="48"/>
        <v>0</v>
      </c>
      <c r="F97" s="34"/>
      <c r="G97" s="37" t="str">
        <f>IF(COUNT(ngay23!$H$12)&gt;0,ngay23!$H$12,"")</f>
        <v/>
      </c>
      <c r="H97" s="34" t="str">
        <f t="shared" si="38"/>
        <v>x</v>
      </c>
      <c r="I97" s="142">
        <f t="shared" si="49"/>
        <v>0</v>
      </c>
      <c r="J97" s="37" t="str">
        <f>IF(COUNT(ngay23!$G$55)&gt;0,ngay23!$G$55,"")</f>
        <v/>
      </c>
      <c r="K97" s="137" t="str">
        <f t="shared" si="40"/>
        <v>x</v>
      </c>
      <c r="L97" s="142">
        <f t="shared" si="50"/>
        <v>0</v>
      </c>
      <c r="M97" s="34"/>
      <c r="N97" s="37" t="str">
        <f>IF(COUNT(ngay23!$H$4)&gt;0,ngay23!$H$4,"")</f>
        <v/>
      </c>
      <c r="O97" s="34" t="str">
        <f t="shared" si="42"/>
        <v>x</v>
      </c>
      <c r="P97" s="142">
        <f t="shared" si="51"/>
        <v>0</v>
      </c>
      <c r="Q97" s="37" t="str">
        <f>IF(COUNT(ngay23!$G$57)&gt;0,ngay23!$G$57,"")</f>
        <v/>
      </c>
      <c r="R97" s="137" t="str">
        <f t="shared" si="44"/>
        <v>x</v>
      </c>
      <c r="S97" s="142">
        <f t="shared" si="52"/>
        <v>0</v>
      </c>
      <c r="T97" s="34"/>
      <c r="U97" s="37" t="str">
        <f>IF(COUNT(ngay23!$H$15)&gt;0,ngay23!$H$15,"")</f>
        <v/>
      </c>
      <c r="V97" s="34" t="str">
        <f t="shared" si="46"/>
        <v>x</v>
      </c>
      <c r="W97" s="142">
        <f t="shared" si="53"/>
        <v>0</v>
      </c>
    </row>
    <row r="98" spans="1:23">
      <c r="A98" s="41"/>
      <c r="B98" s="48">
        <v>19</v>
      </c>
      <c r="C98" s="37" t="str">
        <f>IF(COUNT(ngay23!$I$58)&gt;0,ngay23!$I$58,"")</f>
        <v/>
      </c>
      <c r="D98" s="137" t="str">
        <f t="shared" si="36"/>
        <v>x</v>
      </c>
      <c r="E98" s="142">
        <f t="shared" si="48"/>
        <v>0</v>
      </c>
      <c r="F98" s="34"/>
      <c r="G98" s="37" t="str">
        <f>IF(COUNT(ngay23!$J$12)&gt;0,ngay23!$J$12,"")</f>
        <v/>
      </c>
      <c r="H98" s="34" t="str">
        <f t="shared" si="38"/>
        <v>x</v>
      </c>
      <c r="I98" s="142">
        <f t="shared" si="49"/>
        <v>0</v>
      </c>
      <c r="J98" s="37" t="str">
        <f>IF(COUNT(ngay23!$I$55)&gt;0,ngay23!$I$55,"")</f>
        <v/>
      </c>
      <c r="K98" s="137" t="str">
        <f t="shared" si="40"/>
        <v>x</v>
      </c>
      <c r="L98" s="142">
        <f t="shared" si="50"/>
        <v>0</v>
      </c>
      <c r="M98" s="34"/>
      <c r="N98" s="37" t="str">
        <f>IF(COUNT(ngay23!$J$4)&gt;0,ngay23!$J$4,"")</f>
        <v/>
      </c>
      <c r="O98" s="34" t="str">
        <f t="shared" si="42"/>
        <v>x</v>
      </c>
      <c r="P98" s="142">
        <f t="shared" si="51"/>
        <v>0</v>
      </c>
      <c r="Q98" s="37" t="str">
        <f>IF(COUNT(ngay23!$I$57)&gt;0,ngay23!$I$57,"")</f>
        <v/>
      </c>
      <c r="R98" s="137" t="str">
        <f t="shared" si="44"/>
        <v>x</v>
      </c>
      <c r="S98" s="142">
        <f t="shared" si="52"/>
        <v>0</v>
      </c>
      <c r="T98" s="34"/>
      <c r="U98" s="37" t="str">
        <f>IF(COUNT(ngay23!$J$15)&gt;0,ngay23!$J$15,"")</f>
        <v/>
      </c>
      <c r="V98" s="34" t="str">
        <f t="shared" si="46"/>
        <v>x</v>
      </c>
      <c r="W98" s="142">
        <f t="shared" si="53"/>
        <v>0</v>
      </c>
    </row>
    <row r="99" spans="1:23" s="145" customFormat="1">
      <c r="A99" s="146">
        <v>24</v>
      </c>
      <c r="B99" s="48">
        <v>1</v>
      </c>
      <c r="C99" s="141" t="str">
        <f>IF(COUNT(ngay24!$C$59)&gt;0,ngay24!$C$59,"")</f>
        <v/>
      </c>
      <c r="D99" s="144" t="str">
        <f t="shared" si="36"/>
        <v>x</v>
      </c>
      <c r="E99" s="142">
        <f t="shared" si="48"/>
        <v>0</v>
      </c>
      <c r="F99" s="140"/>
      <c r="G99" s="141" t="str">
        <f>IF(COUNT(ngay24!$D$12)&gt;0,ngay24!$D$12,"")</f>
        <v/>
      </c>
      <c r="H99" s="140" t="str">
        <f t="shared" si="38"/>
        <v>x</v>
      </c>
      <c r="I99" s="142">
        <f t="shared" si="49"/>
        <v>0</v>
      </c>
      <c r="J99" s="141" t="str">
        <f>IF(COUNT(ngay24!$C$55)&gt;0,ngay24!$C$55,"")</f>
        <v/>
      </c>
      <c r="K99" s="144" t="str">
        <f t="shared" si="40"/>
        <v>x</v>
      </c>
      <c r="L99" s="142">
        <f t="shared" si="50"/>
        <v>0</v>
      </c>
      <c r="M99" s="140"/>
      <c r="N99" s="141" t="str">
        <f>IF(COUNT(ngay24!$D$4)&gt;0,ngay24!$D$4,"")</f>
        <v/>
      </c>
      <c r="O99" s="140" t="str">
        <f t="shared" si="42"/>
        <v>x</v>
      </c>
      <c r="P99" s="142">
        <f t="shared" si="51"/>
        <v>0</v>
      </c>
      <c r="Q99" s="141" t="str">
        <f>IF(COUNT(ngay24!$C$58)&gt;0,ngay24!$C$58,"")</f>
        <v/>
      </c>
      <c r="R99" s="144" t="str">
        <f t="shared" si="44"/>
        <v>x</v>
      </c>
      <c r="S99" s="142">
        <f t="shared" si="52"/>
        <v>0</v>
      </c>
      <c r="T99" s="140"/>
      <c r="U99" s="141" t="str">
        <f>IF(COUNT(ngay24!$D$15)&gt;0,ngay24!$D$15,"")</f>
        <v/>
      </c>
      <c r="V99" s="140" t="str">
        <f t="shared" si="46"/>
        <v>x</v>
      </c>
      <c r="W99" s="142">
        <f t="shared" si="53"/>
        <v>0</v>
      </c>
    </row>
    <row r="100" spans="1:23">
      <c r="A100" s="41"/>
      <c r="B100" s="139">
        <v>7</v>
      </c>
      <c r="C100" s="37" t="str">
        <f>IF(COUNT(ngay24!$E$59)&gt;0,ngay24!$E$59,"")</f>
        <v/>
      </c>
      <c r="D100" s="137" t="str">
        <f t="shared" si="36"/>
        <v>x</v>
      </c>
      <c r="E100" s="142">
        <f t="shared" si="48"/>
        <v>0</v>
      </c>
      <c r="F100" s="34"/>
      <c r="G100" s="37" t="str">
        <f>IF(COUNT(ngay24!$F$12)&gt;0,ngay24!$F$12,"")</f>
        <v/>
      </c>
      <c r="H100" s="34" t="str">
        <f t="shared" si="38"/>
        <v>x</v>
      </c>
      <c r="I100" s="142">
        <f t="shared" si="49"/>
        <v>0</v>
      </c>
      <c r="J100" s="37" t="str">
        <f>IF(COUNT(ngay24!$E$55)&gt;0,ngay24!$E$55,"")</f>
        <v/>
      </c>
      <c r="K100" s="137" t="str">
        <f t="shared" si="40"/>
        <v>x</v>
      </c>
      <c r="L100" s="142">
        <f t="shared" si="50"/>
        <v>0</v>
      </c>
      <c r="M100" s="34"/>
      <c r="N100" s="37" t="str">
        <f>IF(COUNT(ngay24!$F$4)&gt;0,ngay24!$F$4,"")</f>
        <v/>
      </c>
      <c r="O100" s="34" t="str">
        <f t="shared" si="42"/>
        <v>x</v>
      </c>
      <c r="P100" s="142">
        <f t="shared" si="51"/>
        <v>0</v>
      </c>
      <c r="Q100" s="37" t="str">
        <f>IF(COUNT(ngay24!$E$58)&gt;0,ngay24!$E$58,"")</f>
        <v/>
      </c>
      <c r="R100" s="137" t="str">
        <f t="shared" si="44"/>
        <v>x</v>
      </c>
      <c r="S100" s="142">
        <f t="shared" si="52"/>
        <v>0</v>
      </c>
      <c r="T100" s="34"/>
      <c r="U100" s="37" t="str">
        <f>IF(COUNT(ngay24!$F$15)&gt;0,ngay24!$F$15,"")</f>
        <v/>
      </c>
      <c r="V100" s="34" t="str">
        <f t="shared" si="46"/>
        <v>x</v>
      </c>
      <c r="W100" s="142">
        <f t="shared" si="53"/>
        <v>0</v>
      </c>
    </row>
    <row r="101" spans="1:23">
      <c r="A101" s="41"/>
      <c r="B101" s="48">
        <v>13</v>
      </c>
      <c r="C101" s="37" t="str">
        <f>IF(COUNT(ngay24!$G$59)&gt;0,ngay24!$G$59,"")</f>
        <v/>
      </c>
      <c r="D101" s="137" t="str">
        <f t="shared" si="36"/>
        <v>x</v>
      </c>
      <c r="E101" s="142">
        <f t="shared" si="48"/>
        <v>0</v>
      </c>
      <c r="F101" s="34"/>
      <c r="G101" s="37" t="str">
        <f>IF(COUNT(ngay24!$H$12)&gt;0,ngay24!$H$12,"")</f>
        <v/>
      </c>
      <c r="H101" s="34" t="str">
        <f t="shared" si="38"/>
        <v>x</v>
      </c>
      <c r="I101" s="142">
        <f t="shared" si="49"/>
        <v>0</v>
      </c>
      <c r="J101" s="37" t="str">
        <f>IF(COUNT(ngay24!$G$55)&gt;0,ngay24!$G$55,"")</f>
        <v/>
      </c>
      <c r="K101" s="137" t="str">
        <f t="shared" si="40"/>
        <v>x</v>
      </c>
      <c r="L101" s="142">
        <f t="shared" si="50"/>
        <v>0</v>
      </c>
      <c r="M101" s="34"/>
      <c r="N101" s="37" t="str">
        <f>IF(COUNT(ngay24!$H$4)&gt;0,ngay24!$H$4,"")</f>
        <v/>
      </c>
      <c r="O101" s="34" t="str">
        <f t="shared" si="42"/>
        <v>x</v>
      </c>
      <c r="P101" s="142">
        <f t="shared" si="51"/>
        <v>0</v>
      </c>
      <c r="Q101" s="37" t="str">
        <f>IF(COUNT(ngay24!$G$58)&gt;0,ngay24!$G$58,"")</f>
        <v/>
      </c>
      <c r="R101" s="137" t="str">
        <f t="shared" si="44"/>
        <v>x</v>
      </c>
      <c r="S101" s="142">
        <f t="shared" si="52"/>
        <v>0</v>
      </c>
      <c r="T101" s="34"/>
      <c r="U101" s="37" t="str">
        <f>IF(COUNT(ngay24!$H$15)&gt;0,ngay24!$H$15,"")</f>
        <v/>
      </c>
      <c r="V101" s="34" t="str">
        <f t="shared" si="46"/>
        <v>x</v>
      </c>
      <c r="W101" s="142">
        <f t="shared" si="53"/>
        <v>0</v>
      </c>
    </row>
    <row r="102" spans="1:23">
      <c r="A102" s="41"/>
      <c r="B102" s="48">
        <v>19</v>
      </c>
      <c r="C102" s="37" t="str">
        <f>IF(COUNT(ngay24!$I$59)&gt;0,ngay24!$I$59,"")</f>
        <v/>
      </c>
      <c r="D102" s="137" t="str">
        <f t="shared" si="36"/>
        <v>x</v>
      </c>
      <c r="E102" s="142">
        <f t="shared" si="48"/>
        <v>0</v>
      </c>
      <c r="F102" s="34"/>
      <c r="G102" s="37" t="str">
        <f>IF(COUNT(ngay24!$J$12)&gt;0,ngay24!$J$12,"")</f>
        <v/>
      </c>
      <c r="H102" s="34" t="str">
        <f t="shared" si="38"/>
        <v>x</v>
      </c>
      <c r="I102" s="142">
        <f t="shared" si="49"/>
        <v>0</v>
      </c>
      <c r="J102" s="37" t="str">
        <f>IF(COUNT(ngay24!$I$55)&gt;0,ngay24!$I$55,"")</f>
        <v/>
      </c>
      <c r="K102" s="137" t="str">
        <f t="shared" si="40"/>
        <v>x</v>
      </c>
      <c r="L102" s="142">
        <f t="shared" si="50"/>
        <v>0</v>
      </c>
      <c r="M102" s="34"/>
      <c r="N102" s="37" t="str">
        <f>IF(COUNT(ngay24!$J$4)&gt;0,ngay24!$J$4,"")</f>
        <v/>
      </c>
      <c r="O102" s="34" t="str">
        <f t="shared" si="42"/>
        <v>x</v>
      </c>
      <c r="P102" s="142">
        <f t="shared" si="51"/>
        <v>0</v>
      </c>
      <c r="Q102" s="37" t="str">
        <f>IF(COUNT(ngay24!$I$58)&gt;0,ngay24!$I$58,"")</f>
        <v/>
      </c>
      <c r="R102" s="137" t="str">
        <f t="shared" si="44"/>
        <v>x</v>
      </c>
      <c r="S102" s="142">
        <f t="shared" si="52"/>
        <v>0</v>
      </c>
      <c r="T102" s="34"/>
      <c r="U102" s="37" t="str">
        <f>IF(COUNT(ngay24!$J$15)&gt;0,ngay24!$J$15,"")</f>
        <v/>
      </c>
      <c r="V102" s="34" t="str">
        <f t="shared" si="46"/>
        <v>x</v>
      </c>
      <c r="W102" s="142">
        <f t="shared" si="53"/>
        <v>0</v>
      </c>
    </row>
    <row r="103" spans="1:23" s="145" customFormat="1">
      <c r="A103" s="146">
        <v>25</v>
      </c>
      <c r="B103" s="48">
        <v>1</v>
      </c>
      <c r="C103" s="141" t="str">
        <f>IF(COUNT(ngay25!$C$59)&gt;0,ngay25!$C$59,"")</f>
        <v/>
      </c>
      <c r="D103" s="144" t="str">
        <f t="shared" ref="D103:D130" si="54">IF(COUNT(C99,C103)=2,C103-C99,"x")</f>
        <v>x</v>
      </c>
      <c r="E103" s="142">
        <f t="shared" ref="E103:E118" si="55">IF(COUNT(D103,E102)=2,D103+E102,E102)</f>
        <v>0</v>
      </c>
      <c r="F103" s="140"/>
      <c r="G103" s="141" t="str">
        <f>IF(COUNT(ngay25!$D$12)&gt;0,ngay25!$D$12,"")</f>
        <v/>
      </c>
      <c r="H103" s="140" t="str">
        <f t="shared" ref="H103:H130" si="56">IF(COUNT(G99,G103)=2,G103-G99,"x")</f>
        <v>x</v>
      </c>
      <c r="I103" s="142">
        <f t="shared" ref="I103:I118" si="57">IF(COUNT(H103,I102)=2,H103+I102,I102)</f>
        <v>0</v>
      </c>
      <c r="J103" s="141" t="str">
        <f>IF(COUNT(ngay25!$C$55)&gt;0,ngay25!$C$55,"")</f>
        <v/>
      </c>
      <c r="K103" s="144" t="str">
        <f t="shared" ref="K103:K130" si="58">IF(COUNT(J99,J103)=2,J103-J99,"x")</f>
        <v>x</v>
      </c>
      <c r="L103" s="142">
        <f t="shared" ref="L103:L118" si="59">IF(COUNT(K103,L102)=2,K103+L102,L102)</f>
        <v>0</v>
      </c>
      <c r="M103" s="140"/>
      <c r="N103" s="141" t="str">
        <f>IF(COUNT(ngay25!$D$4)&gt;0,ngay25!$D$4,"")</f>
        <v/>
      </c>
      <c r="O103" s="140" t="str">
        <f t="shared" ref="O103:O130" si="60">IF(COUNT(N99,N103)=2,N103-N99,"x")</f>
        <v>x</v>
      </c>
      <c r="P103" s="142">
        <f t="shared" ref="P103:P118" si="61">IF(COUNT(O103,P102)=2,O103+P102,P102)</f>
        <v>0</v>
      </c>
      <c r="Q103" s="141" t="str">
        <f>IF(COUNT(ngay25!$C$58)&gt;0,ngay25!$C$58,"")</f>
        <v/>
      </c>
      <c r="R103" s="144" t="str">
        <f t="shared" ref="R103:R130" si="62">IF(COUNT(Q99,Q103)=2,Q103-Q99,"x")</f>
        <v>x</v>
      </c>
      <c r="S103" s="142">
        <f t="shared" ref="S103:S118" si="63">IF(COUNT(R103,S102)=2,R103+S102,S102)</f>
        <v>0</v>
      </c>
      <c r="T103" s="140"/>
      <c r="U103" s="141" t="str">
        <f>IF(COUNT(ngay25!$D$15)&gt;0,ngay25!$D$15,"")</f>
        <v/>
      </c>
      <c r="V103" s="140" t="str">
        <f t="shared" ref="V103:V130" si="64">IF(COUNT(U99,U103)=2,U103-U99,"x")</f>
        <v>x</v>
      </c>
      <c r="W103" s="142">
        <f t="shared" ref="W103:W118" si="65">IF(COUNT(V103,W102)=2,V103+W102,W102)</f>
        <v>0</v>
      </c>
    </row>
    <row r="104" spans="1:23">
      <c r="A104" s="41"/>
      <c r="B104" s="139">
        <v>7</v>
      </c>
      <c r="C104" s="37" t="str">
        <f>IF(COUNT(ngay25!$E$59)&gt;0,ngay25!$E$59,"")</f>
        <v/>
      </c>
      <c r="D104" s="137" t="str">
        <f t="shared" si="54"/>
        <v>x</v>
      </c>
      <c r="E104" s="142">
        <f t="shared" si="55"/>
        <v>0</v>
      </c>
      <c r="F104" s="34"/>
      <c r="G104" s="37" t="str">
        <f>IF(COUNT(ngay25!$F$12)&gt;0,ngay25!$F$12,"")</f>
        <v/>
      </c>
      <c r="H104" s="34" t="str">
        <f t="shared" si="56"/>
        <v>x</v>
      </c>
      <c r="I104" s="142">
        <f t="shared" si="57"/>
        <v>0</v>
      </c>
      <c r="J104" s="37" t="str">
        <f>IF(COUNT(ngay25!$E$55)&gt;0,ngay25!$E$55,"")</f>
        <v/>
      </c>
      <c r="K104" s="137" t="str">
        <f t="shared" si="58"/>
        <v>x</v>
      </c>
      <c r="L104" s="142">
        <f t="shared" si="59"/>
        <v>0</v>
      </c>
      <c r="M104" s="34"/>
      <c r="N104" s="37" t="str">
        <f>IF(COUNT(ngay25!$F$4)&gt;0,ngay25!$F$4,"")</f>
        <v/>
      </c>
      <c r="O104" s="34" t="str">
        <f t="shared" si="60"/>
        <v>x</v>
      </c>
      <c r="P104" s="142">
        <f t="shared" si="61"/>
        <v>0</v>
      </c>
      <c r="Q104" s="37" t="str">
        <f>IF(COUNT(ngay25!$E$58)&gt;0,ngay25!$E$58,"")</f>
        <v/>
      </c>
      <c r="R104" s="137" t="str">
        <f t="shared" si="62"/>
        <v>x</v>
      </c>
      <c r="S104" s="142">
        <f t="shared" si="63"/>
        <v>0</v>
      </c>
      <c r="T104" s="34"/>
      <c r="U104" s="37" t="str">
        <f>IF(COUNT(ngay25!$F$15)&gt;0,ngay25!$F$15,"")</f>
        <v/>
      </c>
      <c r="V104" s="34" t="str">
        <f t="shared" si="64"/>
        <v>x</v>
      </c>
      <c r="W104" s="142">
        <f t="shared" si="65"/>
        <v>0</v>
      </c>
    </row>
    <row r="105" spans="1:23">
      <c r="A105" s="41"/>
      <c r="B105" s="48">
        <v>13</v>
      </c>
      <c r="C105" s="37" t="str">
        <f>IF(COUNT(ngay25!$G$59)&gt;0,ngay25!$G$59,"")</f>
        <v/>
      </c>
      <c r="D105" s="137" t="str">
        <f t="shared" si="54"/>
        <v>x</v>
      </c>
      <c r="E105" s="142">
        <f t="shared" si="55"/>
        <v>0</v>
      </c>
      <c r="F105" s="34"/>
      <c r="G105" s="37" t="str">
        <f>IF(COUNT(ngay25!$H$12)&gt;0,ngay25!$H$12,"")</f>
        <v/>
      </c>
      <c r="H105" s="34" t="str">
        <f t="shared" si="56"/>
        <v>x</v>
      </c>
      <c r="I105" s="142">
        <f t="shared" si="57"/>
        <v>0</v>
      </c>
      <c r="J105" s="37" t="str">
        <f>IF(COUNT(ngay25!$G$55)&gt;0,ngay25!$G$55,"")</f>
        <v/>
      </c>
      <c r="K105" s="137" t="str">
        <f t="shared" si="58"/>
        <v>x</v>
      </c>
      <c r="L105" s="142">
        <f t="shared" si="59"/>
        <v>0</v>
      </c>
      <c r="M105" s="34"/>
      <c r="N105" s="37" t="str">
        <f>IF(COUNT(ngay25!$H$4)&gt;0,ngay25!$H$4,"")</f>
        <v/>
      </c>
      <c r="O105" s="34" t="str">
        <f t="shared" si="60"/>
        <v>x</v>
      </c>
      <c r="P105" s="142">
        <f t="shared" si="61"/>
        <v>0</v>
      </c>
      <c r="Q105" s="37" t="str">
        <f>IF(COUNT(ngay25!$G$58)&gt;0,ngay25!$G$58,"")</f>
        <v/>
      </c>
      <c r="R105" s="137" t="str">
        <f t="shared" si="62"/>
        <v>x</v>
      </c>
      <c r="S105" s="142">
        <f t="shared" si="63"/>
        <v>0</v>
      </c>
      <c r="T105" s="34"/>
      <c r="U105" s="37" t="str">
        <f>IF(COUNT(ngay25!$H$15)&gt;0,ngay25!$H$15,"")</f>
        <v/>
      </c>
      <c r="V105" s="34" t="str">
        <f t="shared" si="64"/>
        <v>x</v>
      </c>
      <c r="W105" s="142">
        <f t="shared" si="65"/>
        <v>0</v>
      </c>
    </row>
    <row r="106" spans="1:23">
      <c r="A106" s="41"/>
      <c r="B106" s="48">
        <v>19</v>
      </c>
      <c r="C106" s="37" t="str">
        <f>IF(COUNT(ngay25!$I$59)&gt;0,ngay25!$I$59,"")</f>
        <v/>
      </c>
      <c r="D106" s="137" t="str">
        <f t="shared" si="54"/>
        <v>x</v>
      </c>
      <c r="E106" s="142">
        <f t="shared" si="55"/>
        <v>0</v>
      </c>
      <c r="F106" s="34"/>
      <c r="G106" s="37" t="str">
        <f>IF(COUNT(ngay25!$J$12)&gt;0,ngay25!$J$12,"")</f>
        <v/>
      </c>
      <c r="H106" s="34" t="str">
        <f t="shared" si="56"/>
        <v>x</v>
      </c>
      <c r="I106" s="142">
        <f t="shared" si="57"/>
        <v>0</v>
      </c>
      <c r="J106" s="37" t="str">
        <f>IF(COUNT(ngay25!$I$55)&gt;0,ngay25!$I$55,"")</f>
        <v/>
      </c>
      <c r="K106" s="137" t="str">
        <f t="shared" si="58"/>
        <v>x</v>
      </c>
      <c r="L106" s="142">
        <f t="shared" si="59"/>
        <v>0</v>
      </c>
      <c r="M106" s="34"/>
      <c r="N106" s="37" t="str">
        <f>IF(COUNT(ngay25!$J$4)&gt;0,ngay25!$J$4,"")</f>
        <v/>
      </c>
      <c r="O106" s="34" t="str">
        <f t="shared" si="60"/>
        <v>x</v>
      </c>
      <c r="P106" s="142">
        <f t="shared" si="61"/>
        <v>0</v>
      </c>
      <c r="Q106" s="37" t="str">
        <f>IF(COUNT(ngay25!$I$58)&gt;0,ngay25!$I$58,"")</f>
        <v/>
      </c>
      <c r="R106" s="137" t="str">
        <f t="shared" si="62"/>
        <v>x</v>
      </c>
      <c r="S106" s="142">
        <f t="shared" si="63"/>
        <v>0</v>
      </c>
      <c r="T106" s="34"/>
      <c r="U106" s="37" t="str">
        <f>IF(COUNT(ngay25!$J$15)&gt;0,ngay25!$J$15,"")</f>
        <v/>
      </c>
      <c r="V106" s="34" t="str">
        <f t="shared" si="64"/>
        <v>x</v>
      </c>
      <c r="W106" s="142">
        <f t="shared" si="65"/>
        <v>0</v>
      </c>
    </row>
    <row r="107" spans="1:23" s="145" customFormat="1">
      <c r="A107" s="146">
        <v>26</v>
      </c>
      <c r="B107" s="48">
        <v>1</v>
      </c>
      <c r="C107" s="141" t="str">
        <f>IF(COUNT(ngay26!$C$59)&gt;0,ngay26!$C$59,"")</f>
        <v/>
      </c>
      <c r="D107" s="144" t="str">
        <f t="shared" si="54"/>
        <v>x</v>
      </c>
      <c r="E107" s="142">
        <f t="shared" si="55"/>
        <v>0</v>
      </c>
      <c r="F107" s="140"/>
      <c r="G107" s="141" t="str">
        <f>IF(COUNT(ngay26!$D$12)&gt;0,ngay26!$D$12,"")</f>
        <v/>
      </c>
      <c r="H107" s="140" t="str">
        <f t="shared" si="56"/>
        <v>x</v>
      </c>
      <c r="I107" s="142">
        <f t="shared" si="57"/>
        <v>0</v>
      </c>
      <c r="J107" s="141" t="str">
        <f>IF(COUNT(ngay26!$C$55)&gt;0,ngay26!$C$55,"")</f>
        <v/>
      </c>
      <c r="K107" s="144" t="str">
        <f t="shared" si="58"/>
        <v>x</v>
      </c>
      <c r="L107" s="142">
        <f t="shared" si="59"/>
        <v>0</v>
      </c>
      <c r="M107" s="140"/>
      <c r="N107" s="141" t="str">
        <f>IF(COUNT(ngay26!$D$4)&gt;0,ngay26!$D$4,"")</f>
        <v/>
      </c>
      <c r="O107" s="140" t="str">
        <f t="shared" si="60"/>
        <v>x</v>
      </c>
      <c r="P107" s="142">
        <f t="shared" si="61"/>
        <v>0</v>
      </c>
      <c r="Q107" s="141" t="str">
        <f>IF(COUNT(ngay26!$C$58)&gt;0,ngay26!$C$58,"")</f>
        <v/>
      </c>
      <c r="R107" s="144" t="str">
        <f t="shared" si="62"/>
        <v>x</v>
      </c>
      <c r="S107" s="142">
        <f t="shared" si="63"/>
        <v>0</v>
      </c>
      <c r="T107" s="140"/>
      <c r="U107" s="141" t="str">
        <f>IF(COUNT(ngay26!$D$15)&gt;0,ngay26!$D$15,"")</f>
        <v/>
      </c>
      <c r="V107" s="140" t="str">
        <f t="shared" si="64"/>
        <v>x</v>
      </c>
      <c r="W107" s="142">
        <f t="shared" si="65"/>
        <v>0</v>
      </c>
    </row>
    <row r="108" spans="1:23">
      <c r="A108" s="41"/>
      <c r="B108" s="139">
        <v>7</v>
      </c>
      <c r="C108" s="37" t="str">
        <f>IF(COUNT(ngay26!$E$59)&gt;0,ngay26!$E$59,"")</f>
        <v/>
      </c>
      <c r="D108" s="137" t="str">
        <f t="shared" si="54"/>
        <v>x</v>
      </c>
      <c r="E108" s="142">
        <f t="shared" si="55"/>
        <v>0</v>
      </c>
      <c r="F108" s="34"/>
      <c r="G108" s="37" t="str">
        <f>IF(COUNT(ngay26!$F$12)&gt;0,ngay26!$F$12,"")</f>
        <v/>
      </c>
      <c r="H108" s="34" t="str">
        <f t="shared" si="56"/>
        <v>x</v>
      </c>
      <c r="I108" s="142">
        <f t="shared" si="57"/>
        <v>0</v>
      </c>
      <c r="J108" s="37" t="str">
        <f>IF(COUNT(ngay26!$E$55)&gt;0,ngay26!$E$55,"")</f>
        <v/>
      </c>
      <c r="K108" s="137" t="str">
        <f t="shared" si="58"/>
        <v>x</v>
      </c>
      <c r="L108" s="142">
        <f t="shared" si="59"/>
        <v>0</v>
      </c>
      <c r="M108" s="34"/>
      <c r="N108" s="37" t="str">
        <f>IF(COUNT(ngay26!$F$4)&gt;0,ngay26!$F$4,"")</f>
        <v/>
      </c>
      <c r="O108" s="34" t="str">
        <f t="shared" si="60"/>
        <v>x</v>
      </c>
      <c r="P108" s="142">
        <f t="shared" si="61"/>
        <v>0</v>
      </c>
      <c r="Q108" s="37" t="str">
        <f>IF(COUNT(ngay26!$E$58)&gt;0,ngay26!$E$58,"")</f>
        <v/>
      </c>
      <c r="R108" s="137" t="str">
        <f t="shared" si="62"/>
        <v>x</v>
      </c>
      <c r="S108" s="142">
        <f t="shared" si="63"/>
        <v>0</v>
      </c>
      <c r="T108" s="34"/>
      <c r="U108" s="37" t="str">
        <f>IF(COUNT(ngay26!$F$15)&gt;0,ngay26!$F$15,"")</f>
        <v/>
      </c>
      <c r="V108" s="34" t="str">
        <f t="shared" si="64"/>
        <v>x</v>
      </c>
      <c r="W108" s="142">
        <f t="shared" si="65"/>
        <v>0</v>
      </c>
    </row>
    <row r="109" spans="1:23">
      <c r="A109" s="41"/>
      <c r="B109" s="48">
        <v>13</v>
      </c>
      <c r="C109" s="37" t="str">
        <f>IF(COUNT(ngay26!$G$59)&gt;0,ngay26!$G$59,"")</f>
        <v/>
      </c>
      <c r="D109" s="137" t="str">
        <f t="shared" si="54"/>
        <v>x</v>
      </c>
      <c r="E109" s="142">
        <f t="shared" si="55"/>
        <v>0</v>
      </c>
      <c r="F109" s="34"/>
      <c r="G109" s="37" t="str">
        <f>IF(COUNT(ngay26!$H$12)&gt;0,ngay26!$H$12,"")</f>
        <v/>
      </c>
      <c r="H109" s="34" t="str">
        <f t="shared" si="56"/>
        <v>x</v>
      </c>
      <c r="I109" s="142">
        <f t="shared" si="57"/>
        <v>0</v>
      </c>
      <c r="J109" s="37" t="str">
        <f>IF(COUNT(ngay26!$G$55)&gt;0,ngay26!$G$55,"")</f>
        <v/>
      </c>
      <c r="K109" s="137" t="str">
        <f t="shared" si="58"/>
        <v>x</v>
      </c>
      <c r="L109" s="142">
        <f t="shared" si="59"/>
        <v>0</v>
      </c>
      <c r="M109" s="34"/>
      <c r="N109" s="37" t="str">
        <f>IF(COUNT(ngay26!$H$4)&gt;0,ngay26!$H$4,"")</f>
        <v/>
      </c>
      <c r="O109" s="34" t="str">
        <f t="shared" si="60"/>
        <v>x</v>
      </c>
      <c r="P109" s="142">
        <f t="shared" si="61"/>
        <v>0</v>
      </c>
      <c r="Q109" s="37" t="str">
        <f>IF(COUNT(ngay26!$G$58)&gt;0,ngay26!$G$58,"")</f>
        <v/>
      </c>
      <c r="R109" s="137" t="str">
        <f t="shared" si="62"/>
        <v>x</v>
      </c>
      <c r="S109" s="142">
        <f t="shared" si="63"/>
        <v>0</v>
      </c>
      <c r="T109" s="34"/>
      <c r="U109" s="37" t="str">
        <f>IF(COUNT(ngay26!$H$15)&gt;0,ngay26!$H$15,"")</f>
        <v/>
      </c>
      <c r="V109" s="34" t="str">
        <f t="shared" si="64"/>
        <v>x</v>
      </c>
      <c r="W109" s="142">
        <f t="shared" si="65"/>
        <v>0</v>
      </c>
    </row>
    <row r="110" spans="1:23">
      <c r="A110" s="41"/>
      <c r="B110" s="48">
        <v>19</v>
      </c>
      <c r="C110" s="37" t="str">
        <f>IF(COUNT(ngay26!$I$59)&gt;0,ngay26!$I$59,"")</f>
        <v/>
      </c>
      <c r="D110" s="137" t="str">
        <f t="shared" si="54"/>
        <v>x</v>
      </c>
      <c r="E110" s="142">
        <f t="shared" si="55"/>
        <v>0</v>
      </c>
      <c r="F110" s="34"/>
      <c r="G110" s="37" t="str">
        <f>IF(COUNT(ngay26!$J$12)&gt;0,ngay26!$J$12,"")</f>
        <v/>
      </c>
      <c r="H110" s="34" t="str">
        <f t="shared" si="56"/>
        <v>x</v>
      </c>
      <c r="I110" s="142">
        <f t="shared" si="57"/>
        <v>0</v>
      </c>
      <c r="J110" s="37" t="str">
        <f>IF(COUNT(ngay26!$I$55)&gt;0,ngay26!$I$55,"")</f>
        <v/>
      </c>
      <c r="K110" s="137" t="str">
        <f t="shared" si="58"/>
        <v>x</v>
      </c>
      <c r="L110" s="142">
        <f t="shared" si="59"/>
        <v>0</v>
      </c>
      <c r="M110" s="34"/>
      <c r="N110" s="37" t="str">
        <f>IF(COUNT(ngay26!$J$4)&gt;0,ngay26!$J$4,"")</f>
        <v/>
      </c>
      <c r="O110" s="34" t="str">
        <f t="shared" si="60"/>
        <v>x</v>
      </c>
      <c r="P110" s="142">
        <f t="shared" si="61"/>
        <v>0</v>
      </c>
      <c r="Q110" s="37" t="str">
        <f>IF(COUNT(ngay26!$I$58)&gt;0,ngay26!$I$58,"")</f>
        <v/>
      </c>
      <c r="R110" s="137" t="str">
        <f t="shared" si="62"/>
        <v>x</v>
      </c>
      <c r="S110" s="142">
        <f t="shared" si="63"/>
        <v>0</v>
      </c>
      <c r="T110" s="34"/>
      <c r="U110" s="37" t="str">
        <f>IF(COUNT(ngay26!$J$15)&gt;0,ngay26!$J$15,"")</f>
        <v/>
      </c>
      <c r="V110" s="34" t="str">
        <f t="shared" si="64"/>
        <v>x</v>
      </c>
      <c r="W110" s="142">
        <f t="shared" si="65"/>
        <v>0</v>
      </c>
    </row>
    <row r="111" spans="1:23" s="145" customFormat="1">
      <c r="A111" s="146">
        <v>27</v>
      </c>
      <c r="B111" s="48">
        <v>1</v>
      </c>
      <c r="C111" s="141" t="str">
        <f>IF(COUNT(ngay27!$C$59)&gt;0,ngay27!$C$59,"")</f>
        <v/>
      </c>
      <c r="D111" s="144" t="str">
        <f t="shared" si="54"/>
        <v>x</v>
      </c>
      <c r="E111" s="142">
        <f t="shared" si="55"/>
        <v>0</v>
      </c>
      <c r="F111" s="140"/>
      <c r="G111" s="141" t="str">
        <f>IF(COUNT(ngay27!$D$12)&gt;0,ngay27!$D$12,"")</f>
        <v/>
      </c>
      <c r="H111" s="140" t="str">
        <f t="shared" si="56"/>
        <v>x</v>
      </c>
      <c r="I111" s="142">
        <f t="shared" si="57"/>
        <v>0</v>
      </c>
      <c r="J111" s="141" t="str">
        <f>IF(COUNT(ngay27!$C$55)&gt;0,ngay27!$C$55,"")</f>
        <v/>
      </c>
      <c r="K111" s="144" t="str">
        <f t="shared" si="58"/>
        <v>x</v>
      </c>
      <c r="L111" s="142">
        <f t="shared" si="59"/>
        <v>0</v>
      </c>
      <c r="M111" s="140"/>
      <c r="N111" s="141" t="str">
        <f>IF(COUNT(ngay27!$D$4)&gt;0,ngay27!$D$4,"")</f>
        <v/>
      </c>
      <c r="O111" s="140" t="str">
        <f t="shared" si="60"/>
        <v>x</v>
      </c>
      <c r="P111" s="142">
        <f t="shared" si="61"/>
        <v>0</v>
      </c>
      <c r="Q111" s="141" t="str">
        <f>IF(COUNT(ngay27!$C$58)&gt;0,ngay27!$C$58,"")</f>
        <v/>
      </c>
      <c r="R111" s="144" t="str">
        <f t="shared" si="62"/>
        <v>x</v>
      </c>
      <c r="S111" s="142">
        <f t="shared" si="63"/>
        <v>0</v>
      </c>
      <c r="T111" s="140"/>
      <c r="U111" s="141" t="str">
        <f>IF(COUNT(ngay27!$D$15)&gt;0,ngay27!$D$15,"")</f>
        <v/>
      </c>
      <c r="V111" s="140" t="str">
        <f t="shared" si="64"/>
        <v>x</v>
      </c>
      <c r="W111" s="142">
        <f t="shared" si="65"/>
        <v>0</v>
      </c>
    </row>
    <row r="112" spans="1:23">
      <c r="A112" s="41"/>
      <c r="B112" s="139">
        <v>7</v>
      </c>
      <c r="C112" s="37" t="str">
        <f>IF(COUNT(ngay27!$E$59)&gt;0,ngay27!$E$59,"")</f>
        <v/>
      </c>
      <c r="D112" s="137" t="str">
        <f t="shared" si="54"/>
        <v>x</v>
      </c>
      <c r="E112" s="142">
        <f t="shared" si="55"/>
        <v>0</v>
      </c>
      <c r="F112" s="34"/>
      <c r="G112" s="37" t="str">
        <f>IF(COUNT(ngay27!$F$12)&gt;0,ngay27!$F$12,"")</f>
        <v/>
      </c>
      <c r="H112" s="34" t="str">
        <f t="shared" si="56"/>
        <v>x</v>
      </c>
      <c r="I112" s="142">
        <f t="shared" si="57"/>
        <v>0</v>
      </c>
      <c r="J112" s="37" t="str">
        <f>IF(COUNT(ngay27!$E$55)&gt;0,ngay27!$E$55,"")</f>
        <v/>
      </c>
      <c r="K112" s="137" t="str">
        <f t="shared" si="58"/>
        <v>x</v>
      </c>
      <c r="L112" s="142">
        <f t="shared" si="59"/>
        <v>0</v>
      </c>
      <c r="M112" s="34"/>
      <c r="N112" s="37" t="str">
        <f>IF(COUNT(ngay27!$F$4)&gt;0,ngay27!$F$4,"")</f>
        <v/>
      </c>
      <c r="O112" s="34" t="str">
        <f t="shared" si="60"/>
        <v>x</v>
      </c>
      <c r="P112" s="142">
        <f t="shared" si="61"/>
        <v>0</v>
      </c>
      <c r="Q112" s="37" t="str">
        <f>IF(COUNT(ngay27!$E$58)&gt;0,ngay27!$E$58,"")</f>
        <v/>
      </c>
      <c r="R112" s="137" t="str">
        <f t="shared" si="62"/>
        <v>x</v>
      </c>
      <c r="S112" s="142">
        <f t="shared" si="63"/>
        <v>0</v>
      </c>
      <c r="T112" s="34"/>
      <c r="U112" s="37" t="str">
        <f>IF(COUNT(ngay27!$F$15)&gt;0,ngay27!$F$15,"")</f>
        <v/>
      </c>
      <c r="V112" s="34" t="str">
        <f t="shared" si="64"/>
        <v>x</v>
      </c>
      <c r="W112" s="142">
        <f t="shared" si="65"/>
        <v>0</v>
      </c>
    </row>
    <row r="113" spans="1:23">
      <c r="A113" s="41"/>
      <c r="B113" s="48">
        <v>13</v>
      </c>
      <c r="C113" s="37" t="str">
        <f>IF(COUNT(ngay27!$G$59)&gt;0,ngay27!$G$59,"")</f>
        <v/>
      </c>
      <c r="D113" s="137" t="str">
        <f t="shared" si="54"/>
        <v>x</v>
      </c>
      <c r="E113" s="142">
        <f t="shared" si="55"/>
        <v>0</v>
      </c>
      <c r="F113" s="34"/>
      <c r="G113" s="37" t="str">
        <f>IF(COUNT(ngay27!$H$12)&gt;0,ngay27!$H$12,"")</f>
        <v/>
      </c>
      <c r="H113" s="34" t="str">
        <f t="shared" si="56"/>
        <v>x</v>
      </c>
      <c r="I113" s="142">
        <f t="shared" si="57"/>
        <v>0</v>
      </c>
      <c r="J113" s="37" t="str">
        <f>IF(COUNT(ngay27!$G$55)&gt;0,ngay27!$G$55,"")</f>
        <v/>
      </c>
      <c r="K113" s="137" t="str">
        <f t="shared" si="58"/>
        <v>x</v>
      </c>
      <c r="L113" s="142">
        <f t="shared" si="59"/>
        <v>0</v>
      </c>
      <c r="M113" s="34"/>
      <c r="N113" s="37" t="str">
        <f>IF(COUNT(ngay27!$H$4)&gt;0,ngay27!$H$4,"")</f>
        <v/>
      </c>
      <c r="O113" s="34" t="str">
        <f t="shared" si="60"/>
        <v>x</v>
      </c>
      <c r="P113" s="142">
        <f t="shared" si="61"/>
        <v>0</v>
      </c>
      <c r="Q113" s="37" t="str">
        <f>IF(COUNT(ngay27!$G$58)&gt;0,ngay27!$G$58,"")</f>
        <v/>
      </c>
      <c r="R113" s="137" t="str">
        <f t="shared" si="62"/>
        <v>x</v>
      </c>
      <c r="S113" s="142">
        <f t="shared" si="63"/>
        <v>0</v>
      </c>
      <c r="T113" s="34"/>
      <c r="U113" s="37" t="str">
        <f>IF(COUNT(ngay27!$H$15)&gt;0,ngay27!$H$15,"")</f>
        <v/>
      </c>
      <c r="V113" s="34" t="str">
        <f t="shared" si="64"/>
        <v>x</v>
      </c>
      <c r="W113" s="142">
        <f t="shared" si="65"/>
        <v>0</v>
      </c>
    </row>
    <row r="114" spans="1:23">
      <c r="A114" s="41"/>
      <c r="B114" s="48">
        <v>19</v>
      </c>
      <c r="C114" s="37" t="str">
        <f>IF(COUNT(ngay27!$I$59)&gt;0,ngay27!$I$59,"")</f>
        <v/>
      </c>
      <c r="D114" s="137" t="str">
        <f t="shared" si="54"/>
        <v>x</v>
      </c>
      <c r="E114" s="142">
        <f t="shared" si="55"/>
        <v>0</v>
      </c>
      <c r="F114" s="34"/>
      <c r="G114" s="37" t="str">
        <f>IF(COUNT(ngay27!$J$12)&gt;0,ngay27!$J$12,"")</f>
        <v/>
      </c>
      <c r="H114" s="34" t="str">
        <f t="shared" si="56"/>
        <v>x</v>
      </c>
      <c r="I114" s="142">
        <f t="shared" si="57"/>
        <v>0</v>
      </c>
      <c r="J114" s="37" t="str">
        <f>IF(COUNT(ngay27!$I$55)&gt;0,ngay27!$I$55,"")</f>
        <v/>
      </c>
      <c r="K114" s="137" t="str">
        <f t="shared" si="58"/>
        <v>x</v>
      </c>
      <c r="L114" s="142">
        <f t="shared" si="59"/>
        <v>0</v>
      </c>
      <c r="M114" s="34"/>
      <c r="N114" s="37" t="str">
        <f>IF(COUNT(ngay27!$J$4)&gt;0,ngay27!$J$4,"")</f>
        <v/>
      </c>
      <c r="O114" s="34" t="str">
        <f t="shared" si="60"/>
        <v>x</v>
      </c>
      <c r="P114" s="142">
        <f t="shared" si="61"/>
        <v>0</v>
      </c>
      <c r="Q114" s="37" t="str">
        <f>IF(COUNT(ngay27!$I$58)&gt;0,ngay27!$I$58,"")</f>
        <v/>
      </c>
      <c r="R114" s="137" t="str">
        <f t="shared" si="62"/>
        <v>x</v>
      </c>
      <c r="S114" s="142">
        <f t="shared" si="63"/>
        <v>0</v>
      </c>
      <c r="T114" s="34"/>
      <c r="U114" s="37" t="str">
        <f>IF(COUNT(ngay27!$J$15)&gt;0,ngay27!$J$15,"")</f>
        <v/>
      </c>
      <c r="V114" s="34" t="str">
        <f t="shared" si="64"/>
        <v>x</v>
      </c>
      <c r="W114" s="142">
        <f t="shared" si="65"/>
        <v>0</v>
      </c>
    </row>
    <row r="115" spans="1:23" s="145" customFormat="1">
      <c r="A115" s="146">
        <v>28</v>
      </c>
      <c r="B115" s="48">
        <v>1</v>
      </c>
      <c r="C115" s="141" t="str">
        <f>IF(COUNT(ngay28!$C$59)&gt;0,ngay28!$C$59,"")</f>
        <v/>
      </c>
      <c r="D115" s="144" t="str">
        <f t="shared" si="54"/>
        <v>x</v>
      </c>
      <c r="E115" s="142">
        <f t="shared" si="55"/>
        <v>0</v>
      </c>
      <c r="F115" s="140"/>
      <c r="G115" s="141" t="str">
        <f>IF(COUNT(ngay28!$D$12)&gt;0,ngay28!$D$12,"")</f>
        <v/>
      </c>
      <c r="H115" s="140" t="str">
        <f t="shared" si="56"/>
        <v>x</v>
      </c>
      <c r="I115" s="142">
        <f t="shared" si="57"/>
        <v>0</v>
      </c>
      <c r="J115" s="141" t="str">
        <f>IF(COUNT(ngay28!$C$55)&gt;0,ngay28!$C$55,"")</f>
        <v/>
      </c>
      <c r="K115" s="144" t="str">
        <f t="shared" si="58"/>
        <v>x</v>
      </c>
      <c r="L115" s="142">
        <f t="shared" si="59"/>
        <v>0</v>
      </c>
      <c r="M115" s="140"/>
      <c r="N115" s="141" t="str">
        <f>IF(COUNT(ngay28!$D$4)&gt;0,ngay28!$D$4,"")</f>
        <v/>
      </c>
      <c r="O115" s="140" t="str">
        <f t="shared" si="60"/>
        <v>x</v>
      </c>
      <c r="P115" s="142">
        <f t="shared" si="61"/>
        <v>0</v>
      </c>
      <c r="Q115" s="141" t="str">
        <f>IF(COUNT(ngay28!$C$58)&gt;0,ngay28!$C$58,"")</f>
        <v/>
      </c>
      <c r="R115" s="144" t="str">
        <f t="shared" si="62"/>
        <v>x</v>
      </c>
      <c r="S115" s="142">
        <f t="shared" si="63"/>
        <v>0</v>
      </c>
      <c r="T115" s="140"/>
      <c r="U115" s="141" t="str">
        <f>IF(COUNT(ngay28!$D$15)&gt;0,ngay28!$D$15,"")</f>
        <v/>
      </c>
      <c r="V115" s="140" t="str">
        <f t="shared" si="64"/>
        <v>x</v>
      </c>
      <c r="W115" s="142">
        <f t="shared" si="65"/>
        <v>0</v>
      </c>
    </row>
    <row r="116" spans="1:23">
      <c r="A116" s="41"/>
      <c r="B116" s="139">
        <v>7</v>
      </c>
      <c r="C116" s="37" t="str">
        <f>IF(COUNT(ngay28!$E$59)&gt;0,ngay28!$E$59,"")</f>
        <v/>
      </c>
      <c r="D116" s="137" t="str">
        <f t="shared" si="54"/>
        <v>x</v>
      </c>
      <c r="E116" s="142">
        <f t="shared" si="55"/>
        <v>0</v>
      </c>
      <c r="F116" s="34"/>
      <c r="G116" s="37" t="str">
        <f>IF(COUNT(ngay28!$F$12)&gt;0,ngay28!$F$12,"")</f>
        <v/>
      </c>
      <c r="H116" s="34" t="str">
        <f t="shared" si="56"/>
        <v>x</v>
      </c>
      <c r="I116" s="142">
        <f t="shared" si="57"/>
        <v>0</v>
      </c>
      <c r="J116" s="37" t="str">
        <f>IF(COUNT(ngay28!$E$55)&gt;0,ngay28!$E$55,"")</f>
        <v/>
      </c>
      <c r="K116" s="137" t="str">
        <f t="shared" si="58"/>
        <v>x</v>
      </c>
      <c r="L116" s="142">
        <f t="shared" si="59"/>
        <v>0</v>
      </c>
      <c r="M116" s="34"/>
      <c r="N116" s="37" t="str">
        <f>IF(COUNT(ngay28!$F$4)&gt;0,ngay28!$F$4,"")</f>
        <v/>
      </c>
      <c r="O116" s="34" t="str">
        <f t="shared" si="60"/>
        <v>x</v>
      </c>
      <c r="P116" s="142">
        <f t="shared" si="61"/>
        <v>0</v>
      </c>
      <c r="Q116" s="37" t="str">
        <f>IF(COUNT(ngay28!$E$58)&gt;0,ngay28!$E$58,"")</f>
        <v/>
      </c>
      <c r="R116" s="137" t="str">
        <f t="shared" si="62"/>
        <v>x</v>
      </c>
      <c r="S116" s="142">
        <f t="shared" si="63"/>
        <v>0</v>
      </c>
      <c r="T116" s="34"/>
      <c r="U116" s="37" t="str">
        <f>IF(COUNT(ngay28!$F$15)&gt;0,ngay28!$F$15,"")</f>
        <v/>
      </c>
      <c r="V116" s="34" t="str">
        <f t="shared" si="64"/>
        <v>x</v>
      </c>
      <c r="W116" s="142">
        <f t="shared" si="65"/>
        <v>0</v>
      </c>
    </row>
    <row r="117" spans="1:23">
      <c r="A117" s="41"/>
      <c r="B117" s="48">
        <v>13</v>
      </c>
      <c r="C117" s="37" t="str">
        <f>IF(COUNT(ngay28!$G$59)&gt;0,ngay28!$G$59,"")</f>
        <v/>
      </c>
      <c r="D117" s="137" t="str">
        <f t="shared" si="54"/>
        <v>x</v>
      </c>
      <c r="E117" s="142">
        <f t="shared" si="55"/>
        <v>0</v>
      </c>
      <c r="F117" s="34"/>
      <c r="G117" s="37" t="str">
        <f>IF(COUNT(ngay28!$H$12)&gt;0,ngay28!$H$12,"")</f>
        <v/>
      </c>
      <c r="H117" s="34" t="str">
        <f t="shared" si="56"/>
        <v>x</v>
      </c>
      <c r="I117" s="142">
        <f t="shared" si="57"/>
        <v>0</v>
      </c>
      <c r="J117" s="37" t="str">
        <f>IF(COUNT(ngay28!$G$55)&gt;0,ngay28!$G$55,"")</f>
        <v/>
      </c>
      <c r="K117" s="137" t="str">
        <f t="shared" si="58"/>
        <v>x</v>
      </c>
      <c r="L117" s="142">
        <f t="shared" si="59"/>
        <v>0</v>
      </c>
      <c r="M117" s="34"/>
      <c r="N117" s="37" t="str">
        <f>IF(COUNT(ngay28!$H$4)&gt;0,ngay28!$H$4,"")</f>
        <v/>
      </c>
      <c r="O117" s="34" t="str">
        <f t="shared" si="60"/>
        <v>x</v>
      </c>
      <c r="P117" s="142">
        <f t="shared" si="61"/>
        <v>0</v>
      </c>
      <c r="Q117" s="37" t="str">
        <f>IF(COUNT(ngay28!$G$58)&gt;0,ngay28!$G$58,"")</f>
        <v/>
      </c>
      <c r="R117" s="137" t="str">
        <f t="shared" si="62"/>
        <v>x</v>
      </c>
      <c r="S117" s="142">
        <f t="shared" si="63"/>
        <v>0</v>
      </c>
      <c r="T117" s="34"/>
      <c r="U117" s="37" t="str">
        <f>IF(COUNT(ngay28!$H$15)&gt;0,ngay28!$H$15,"")</f>
        <v/>
      </c>
      <c r="V117" s="34" t="str">
        <f t="shared" si="64"/>
        <v>x</v>
      </c>
      <c r="W117" s="142">
        <f t="shared" si="65"/>
        <v>0</v>
      </c>
    </row>
    <row r="118" spans="1:23">
      <c r="A118" s="41"/>
      <c r="B118" s="48">
        <v>19</v>
      </c>
      <c r="C118" s="37" t="str">
        <f>IF(COUNT(ngay28!$I$59)&gt;0,ngay28!$I$59,"")</f>
        <v/>
      </c>
      <c r="D118" s="137" t="str">
        <f t="shared" si="54"/>
        <v>x</v>
      </c>
      <c r="E118" s="142">
        <f t="shared" si="55"/>
        <v>0</v>
      </c>
      <c r="F118" s="34"/>
      <c r="G118" s="37" t="str">
        <f>IF(COUNT(ngay28!$J$12)&gt;0,ngay28!$J$12,"")</f>
        <v/>
      </c>
      <c r="H118" s="34" t="str">
        <f t="shared" si="56"/>
        <v>x</v>
      </c>
      <c r="I118" s="142">
        <f t="shared" si="57"/>
        <v>0</v>
      </c>
      <c r="J118" s="37" t="str">
        <f>IF(COUNT(ngay28!$I$55)&gt;0,ngay28!$I$55,"")</f>
        <v/>
      </c>
      <c r="K118" s="137" t="str">
        <f t="shared" si="58"/>
        <v>x</v>
      </c>
      <c r="L118" s="142">
        <f t="shared" si="59"/>
        <v>0</v>
      </c>
      <c r="M118" s="34"/>
      <c r="N118" s="37" t="str">
        <f>IF(COUNT(ngay28!$J$4)&gt;0,ngay28!$J$4,"")</f>
        <v/>
      </c>
      <c r="O118" s="34" t="str">
        <f t="shared" si="60"/>
        <v>x</v>
      </c>
      <c r="P118" s="142">
        <f t="shared" si="61"/>
        <v>0</v>
      </c>
      <c r="Q118" s="37" t="str">
        <f>IF(COUNT(ngay28!$I$58)&gt;0,ngay28!$I$58,"")</f>
        <v/>
      </c>
      <c r="R118" s="137" t="str">
        <f t="shared" si="62"/>
        <v>x</v>
      </c>
      <c r="S118" s="142">
        <f t="shared" si="63"/>
        <v>0</v>
      </c>
      <c r="T118" s="34"/>
      <c r="U118" s="37" t="str">
        <f>IF(COUNT(ngay28!$J$15)&gt;0,ngay28!$J$15,"")</f>
        <v/>
      </c>
      <c r="V118" s="34" t="str">
        <f t="shared" si="64"/>
        <v>x</v>
      </c>
      <c r="W118" s="142">
        <f t="shared" si="65"/>
        <v>0</v>
      </c>
    </row>
    <row r="119" spans="1:23" s="145" customFormat="1">
      <c r="A119" s="146">
        <v>29</v>
      </c>
      <c r="B119" s="48">
        <v>1</v>
      </c>
      <c r="C119" s="141" t="str">
        <f>IF(COUNT(ngay29!$C$59)&gt;0,ngay29!$C$59,"")</f>
        <v/>
      </c>
      <c r="D119" s="144" t="str">
        <f t="shared" si="54"/>
        <v>x</v>
      </c>
      <c r="E119" s="142">
        <f t="shared" ref="E119:E130" si="66">IF(COUNT(D119,E118)=2,D119+E118,E118)</f>
        <v>0</v>
      </c>
      <c r="F119" s="140"/>
      <c r="G119" s="141" t="str">
        <f>IF(COUNT(ngay29!$D$12)&gt;0,ngay29!$D$12,"")</f>
        <v/>
      </c>
      <c r="H119" s="140" t="str">
        <f t="shared" si="56"/>
        <v>x</v>
      </c>
      <c r="I119" s="142">
        <f t="shared" ref="I119:I130" si="67">IF(COUNT(H119,I118)=2,H119+I118,I118)</f>
        <v>0</v>
      </c>
      <c r="J119" s="141" t="str">
        <f>IF(COUNT(ngay29!$C$55)&gt;0,ngay29!$C$55,"")</f>
        <v/>
      </c>
      <c r="K119" s="144" t="str">
        <f t="shared" si="58"/>
        <v>x</v>
      </c>
      <c r="L119" s="142">
        <f t="shared" ref="L119:L130" si="68">IF(COUNT(K119,L118)=2,K119+L118,L118)</f>
        <v>0</v>
      </c>
      <c r="M119" s="140"/>
      <c r="N119" s="141" t="str">
        <f>IF(COUNT(ngay29!$D$4)&gt;0,ngay29!$D$4,"")</f>
        <v/>
      </c>
      <c r="O119" s="140" t="str">
        <f t="shared" si="60"/>
        <v>x</v>
      </c>
      <c r="P119" s="142">
        <f t="shared" ref="P119:P130" si="69">IF(COUNT(O119,P118)=2,O119+P118,P118)</f>
        <v>0</v>
      </c>
      <c r="Q119" s="141" t="str">
        <f>IF(COUNT(ngay29!$C$58)&gt;0,ngay29!$C$58,"")</f>
        <v/>
      </c>
      <c r="R119" s="144" t="str">
        <f t="shared" si="62"/>
        <v>x</v>
      </c>
      <c r="S119" s="142">
        <f t="shared" ref="S119:S130" si="70">IF(COUNT(R119,S118)=2,R119+S118,S118)</f>
        <v>0</v>
      </c>
      <c r="T119" s="140"/>
      <c r="U119" s="141" t="str">
        <f>IF(COUNT(ngay29!$D$15)&gt;0,ngay29!$D$15,"")</f>
        <v/>
      </c>
      <c r="V119" s="140" t="str">
        <f t="shared" si="64"/>
        <v>x</v>
      </c>
      <c r="W119" s="142">
        <f t="shared" ref="W119:W130" si="71">IF(COUNT(V119,W118)=2,V119+W118,W118)</f>
        <v>0</v>
      </c>
    </row>
    <row r="120" spans="1:23">
      <c r="A120" s="41"/>
      <c r="B120" s="139">
        <v>7</v>
      </c>
      <c r="C120" s="37" t="str">
        <f>IF(COUNT(ngay29!$E$59)&gt;0,ngay29!$E$59,"")</f>
        <v/>
      </c>
      <c r="D120" s="137" t="str">
        <f t="shared" si="54"/>
        <v>x</v>
      </c>
      <c r="E120" s="142">
        <f t="shared" si="66"/>
        <v>0</v>
      </c>
      <c r="F120" s="34"/>
      <c r="G120" s="37" t="str">
        <f>IF(COUNT(ngay29!$F$12)&gt;0,ngay29!$F$12,"")</f>
        <v/>
      </c>
      <c r="H120" s="34" t="str">
        <f t="shared" si="56"/>
        <v>x</v>
      </c>
      <c r="I120" s="142">
        <f t="shared" si="67"/>
        <v>0</v>
      </c>
      <c r="J120" s="37" t="str">
        <f>IF(COUNT(ngay29!$E$55)&gt;0,ngay29!$E$55,"")</f>
        <v/>
      </c>
      <c r="K120" s="137" t="str">
        <f t="shared" si="58"/>
        <v>x</v>
      </c>
      <c r="L120" s="142">
        <f t="shared" si="68"/>
        <v>0</v>
      </c>
      <c r="M120" s="34"/>
      <c r="N120" s="37" t="str">
        <f>IF(COUNT(ngay29!$F$4)&gt;0,ngay29!$F$4,"")</f>
        <v/>
      </c>
      <c r="O120" s="34" t="str">
        <f t="shared" si="60"/>
        <v>x</v>
      </c>
      <c r="P120" s="142">
        <f t="shared" si="69"/>
        <v>0</v>
      </c>
      <c r="Q120" s="37" t="str">
        <f>IF(COUNT(ngay29!$E$58)&gt;0,ngay29!$E$58,"")</f>
        <v/>
      </c>
      <c r="R120" s="137" t="str">
        <f t="shared" si="62"/>
        <v>x</v>
      </c>
      <c r="S120" s="142">
        <f t="shared" si="70"/>
        <v>0</v>
      </c>
      <c r="T120" s="34"/>
      <c r="U120" s="37" t="str">
        <f>IF(COUNT(ngay29!$F$15)&gt;0,ngay29!$F$15,"")</f>
        <v/>
      </c>
      <c r="V120" s="34" t="str">
        <f t="shared" si="64"/>
        <v>x</v>
      </c>
      <c r="W120" s="142">
        <f t="shared" si="71"/>
        <v>0</v>
      </c>
    </row>
    <row r="121" spans="1:23">
      <c r="A121" s="41"/>
      <c r="B121" s="48">
        <v>13</v>
      </c>
      <c r="C121" s="37" t="str">
        <f>IF(COUNT(ngay29!$G$59)&gt;0,ngay29!$G$59,"")</f>
        <v/>
      </c>
      <c r="D121" s="137" t="str">
        <f t="shared" si="54"/>
        <v>x</v>
      </c>
      <c r="E121" s="142">
        <f t="shared" si="66"/>
        <v>0</v>
      </c>
      <c r="F121" s="34"/>
      <c r="G121" s="37" t="str">
        <f>IF(COUNT(ngay29!$H$12)&gt;0,ngay29!$H$12,"")</f>
        <v/>
      </c>
      <c r="H121" s="34" t="str">
        <f t="shared" si="56"/>
        <v>x</v>
      </c>
      <c r="I121" s="142">
        <f t="shared" si="67"/>
        <v>0</v>
      </c>
      <c r="J121" s="37" t="str">
        <f>IF(COUNT(ngay29!$G$55)&gt;0,ngay29!$G$55,"")</f>
        <v/>
      </c>
      <c r="K121" s="137" t="str">
        <f t="shared" si="58"/>
        <v>x</v>
      </c>
      <c r="L121" s="142">
        <f t="shared" si="68"/>
        <v>0</v>
      </c>
      <c r="M121" s="34"/>
      <c r="N121" s="37" t="str">
        <f>IF(COUNT(ngay29!$H$4)&gt;0,ngay29!$H$4,"")</f>
        <v/>
      </c>
      <c r="O121" s="34" t="str">
        <f t="shared" si="60"/>
        <v>x</v>
      </c>
      <c r="P121" s="142">
        <f t="shared" si="69"/>
        <v>0</v>
      </c>
      <c r="Q121" s="37" t="str">
        <f>IF(COUNT(ngay29!$G$58)&gt;0,ngay29!$G$58,"")</f>
        <v/>
      </c>
      <c r="R121" s="137" t="str">
        <f t="shared" si="62"/>
        <v>x</v>
      </c>
      <c r="S121" s="142">
        <f t="shared" si="70"/>
        <v>0</v>
      </c>
      <c r="T121" s="34"/>
      <c r="U121" s="37" t="str">
        <f>IF(COUNT(ngay29!$H$15)&gt;0,ngay29!$H$15,"")</f>
        <v/>
      </c>
      <c r="V121" s="34" t="str">
        <f t="shared" si="64"/>
        <v>x</v>
      </c>
      <c r="W121" s="142">
        <f t="shared" si="71"/>
        <v>0</v>
      </c>
    </row>
    <row r="122" spans="1:23">
      <c r="A122" s="41"/>
      <c r="B122" s="48">
        <v>19</v>
      </c>
      <c r="C122" s="37" t="str">
        <f>IF(COUNT(ngay29!$I$59)&gt;0,ngay29!$I$59,"")</f>
        <v/>
      </c>
      <c r="D122" s="137" t="str">
        <f t="shared" si="54"/>
        <v>x</v>
      </c>
      <c r="E122" s="142">
        <f t="shared" si="66"/>
        <v>0</v>
      </c>
      <c r="F122" s="34"/>
      <c r="G122" s="37" t="str">
        <f>IF(COUNT(ngay29!$J$12)&gt;0,ngay29!$J$12,"")</f>
        <v/>
      </c>
      <c r="H122" s="34" t="str">
        <f t="shared" si="56"/>
        <v>x</v>
      </c>
      <c r="I122" s="142">
        <f t="shared" si="67"/>
        <v>0</v>
      </c>
      <c r="J122" s="37" t="str">
        <f>IF(COUNT(ngay29!$I$55)&gt;0,ngay29!$I$55,"")</f>
        <v/>
      </c>
      <c r="K122" s="137" t="str">
        <f t="shared" si="58"/>
        <v>x</v>
      </c>
      <c r="L122" s="142">
        <f t="shared" si="68"/>
        <v>0</v>
      </c>
      <c r="M122" s="34"/>
      <c r="N122" s="37" t="str">
        <f>IF(COUNT(ngay29!$J$4)&gt;0,ngay29!$J$4,"")</f>
        <v/>
      </c>
      <c r="O122" s="34" t="str">
        <f t="shared" si="60"/>
        <v>x</v>
      </c>
      <c r="P122" s="142">
        <f t="shared" si="69"/>
        <v>0</v>
      </c>
      <c r="Q122" s="37" t="str">
        <f>IF(COUNT(ngay29!$I$58)&gt;0,ngay29!$I$58,"")</f>
        <v/>
      </c>
      <c r="R122" s="137" t="str">
        <f t="shared" si="62"/>
        <v>x</v>
      </c>
      <c r="S122" s="142">
        <f t="shared" si="70"/>
        <v>0</v>
      </c>
      <c r="T122" s="34"/>
      <c r="U122" s="37" t="str">
        <f>IF(COUNT(ngay29!$J$15)&gt;0,ngay29!$J$15,"")</f>
        <v/>
      </c>
      <c r="V122" s="34" t="str">
        <f t="shared" si="64"/>
        <v>x</v>
      </c>
      <c r="W122" s="142">
        <f t="shared" si="71"/>
        <v>0</v>
      </c>
    </row>
    <row r="123" spans="1:23" s="145" customFormat="1">
      <c r="A123" s="146">
        <v>30</v>
      </c>
      <c r="B123" s="48">
        <v>1</v>
      </c>
      <c r="C123" s="141" t="str">
        <f>IF(COUNT(ngay30!$C$59)&gt;0,ngay30!$C$59,"")</f>
        <v/>
      </c>
      <c r="D123" s="144" t="str">
        <f t="shared" si="54"/>
        <v>x</v>
      </c>
      <c r="E123" s="142">
        <f t="shared" si="66"/>
        <v>0</v>
      </c>
      <c r="F123" s="140"/>
      <c r="G123" s="141" t="str">
        <f>IF(COUNT(ngay30!$D$12)&gt;0,ngay30!$D$12,"")</f>
        <v/>
      </c>
      <c r="H123" s="140" t="str">
        <f t="shared" si="56"/>
        <v>x</v>
      </c>
      <c r="I123" s="142">
        <f t="shared" si="67"/>
        <v>0</v>
      </c>
      <c r="J123" s="141" t="str">
        <f>IF(COUNT(ngay30!$C$55)&gt;0,ngay30!$C$55,"")</f>
        <v/>
      </c>
      <c r="K123" s="144" t="str">
        <f t="shared" si="58"/>
        <v>x</v>
      </c>
      <c r="L123" s="142">
        <f t="shared" si="68"/>
        <v>0</v>
      </c>
      <c r="M123" s="140"/>
      <c r="N123" s="141" t="str">
        <f>IF(COUNT(ngay30!$D$4)&gt;0,ngay30!$D$4,"")</f>
        <v/>
      </c>
      <c r="O123" s="140" t="str">
        <f t="shared" si="60"/>
        <v>x</v>
      </c>
      <c r="P123" s="142">
        <f t="shared" si="69"/>
        <v>0</v>
      </c>
      <c r="Q123" s="141" t="str">
        <f>IF(COUNT(ngay30!$C$58)&gt;0,ngay30!$C$58,"")</f>
        <v/>
      </c>
      <c r="R123" s="144" t="str">
        <f t="shared" si="62"/>
        <v>x</v>
      </c>
      <c r="S123" s="142">
        <f t="shared" si="70"/>
        <v>0</v>
      </c>
      <c r="T123" s="140"/>
      <c r="U123" s="141" t="str">
        <f>IF(COUNT(ngay30!$D$15)&gt;0,ngay30!$D$15,"")</f>
        <v/>
      </c>
      <c r="V123" s="140" t="str">
        <f t="shared" si="64"/>
        <v>x</v>
      </c>
      <c r="W123" s="142">
        <f t="shared" si="71"/>
        <v>0</v>
      </c>
    </row>
    <row r="124" spans="1:23">
      <c r="A124" s="41"/>
      <c r="B124" s="139">
        <v>7</v>
      </c>
      <c r="C124" s="37" t="str">
        <f>IF(COUNT(ngay30!$E$59)&gt;0,ngay30!$E$59,"")</f>
        <v/>
      </c>
      <c r="D124" s="137" t="str">
        <f t="shared" si="54"/>
        <v>x</v>
      </c>
      <c r="E124" s="142">
        <f t="shared" si="66"/>
        <v>0</v>
      </c>
      <c r="F124" s="34"/>
      <c r="G124" s="37" t="str">
        <f>IF(COUNT(ngay30!$F$12)&gt;0,ngay30!$F$12,"")</f>
        <v/>
      </c>
      <c r="H124" s="34" t="str">
        <f t="shared" si="56"/>
        <v>x</v>
      </c>
      <c r="I124" s="142">
        <f t="shared" si="67"/>
        <v>0</v>
      </c>
      <c r="J124" s="37" t="str">
        <f>IF(COUNT(ngay30!$E$55)&gt;0,ngay30!$E$55,"")</f>
        <v/>
      </c>
      <c r="K124" s="137" t="str">
        <f t="shared" si="58"/>
        <v>x</v>
      </c>
      <c r="L124" s="142">
        <f t="shared" si="68"/>
        <v>0</v>
      </c>
      <c r="M124" s="34"/>
      <c r="N124" s="37" t="str">
        <f>IF(COUNT(ngay30!$F$4)&gt;0,ngay30!$F$4,"")</f>
        <v/>
      </c>
      <c r="O124" s="34" t="str">
        <f t="shared" si="60"/>
        <v>x</v>
      </c>
      <c r="P124" s="142">
        <f t="shared" si="69"/>
        <v>0</v>
      </c>
      <c r="Q124" s="37" t="str">
        <f>IF(COUNT(ngay30!$E$58)&gt;0,ngay30!$E$58,"")</f>
        <v/>
      </c>
      <c r="R124" s="137" t="str">
        <f t="shared" si="62"/>
        <v>x</v>
      </c>
      <c r="S124" s="142">
        <f t="shared" si="70"/>
        <v>0</v>
      </c>
      <c r="T124" s="34"/>
      <c r="U124" s="37" t="str">
        <f>IF(COUNT(ngay30!$F$15)&gt;0,ngay30!$F$15,"")</f>
        <v/>
      </c>
      <c r="V124" s="34" t="str">
        <f t="shared" si="64"/>
        <v>x</v>
      </c>
      <c r="W124" s="142">
        <f t="shared" si="71"/>
        <v>0</v>
      </c>
    </row>
    <row r="125" spans="1:23">
      <c r="A125" s="41"/>
      <c r="B125" s="48">
        <v>13</v>
      </c>
      <c r="C125" s="37" t="str">
        <f>IF(COUNT(ngay30!$G$59)&gt;0,ngay30!$G$59,"")</f>
        <v/>
      </c>
      <c r="D125" s="137" t="str">
        <f t="shared" si="54"/>
        <v>x</v>
      </c>
      <c r="E125" s="142">
        <f t="shared" si="66"/>
        <v>0</v>
      </c>
      <c r="F125" s="34"/>
      <c r="G125" s="37" t="str">
        <f>IF(COUNT(ngay30!$H$12)&gt;0,ngay30!$H$12,"")</f>
        <v/>
      </c>
      <c r="H125" s="34" t="str">
        <f t="shared" si="56"/>
        <v>x</v>
      </c>
      <c r="I125" s="142">
        <f t="shared" si="67"/>
        <v>0</v>
      </c>
      <c r="J125" s="37" t="str">
        <f>IF(COUNT(ngay30!$G$55)&gt;0,ngay30!$G$55,"")</f>
        <v/>
      </c>
      <c r="K125" s="137" t="str">
        <f t="shared" si="58"/>
        <v>x</v>
      </c>
      <c r="L125" s="142">
        <f t="shared" si="68"/>
        <v>0</v>
      </c>
      <c r="M125" s="34"/>
      <c r="N125" s="37" t="str">
        <f>IF(COUNT(ngay30!$H$4)&gt;0,ngay30!$H$4,"")</f>
        <v/>
      </c>
      <c r="O125" s="34" t="str">
        <f t="shared" si="60"/>
        <v>x</v>
      </c>
      <c r="P125" s="142">
        <f t="shared" si="69"/>
        <v>0</v>
      </c>
      <c r="Q125" s="37" t="str">
        <f>IF(COUNT(ngay30!$G$58)&gt;0,ngay30!$G$58,"")</f>
        <v/>
      </c>
      <c r="R125" s="137" t="str">
        <f t="shared" si="62"/>
        <v>x</v>
      </c>
      <c r="S125" s="142">
        <f t="shared" si="70"/>
        <v>0</v>
      </c>
      <c r="T125" s="34"/>
      <c r="U125" s="37" t="str">
        <f>IF(COUNT(ngay30!$H$15)&gt;0,ngay30!$H$15,"")</f>
        <v/>
      </c>
      <c r="V125" s="34" t="str">
        <f t="shared" si="64"/>
        <v>x</v>
      </c>
      <c r="W125" s="142">
        <f t="shared" si="71"/>
        <v>0</v>
      </c>
    </row>
    <row r="126" spans="1:23">
      <c r="A126" s="41"/>
      <c r="B126" s="48">
        <v>19</v>
      </c>
      <c r="C126" s="37" t="str">
        <f>IF(COUNT(ngay30!$I$59)&gt;0,ngay30!$I$59,"")</f>
        <v/>
      </c>
      <c r="D126" s="137" t="str">
        <f t="shared" si="54"/>
        <v>x</v>
      </c>
      <c r="E126" s="142">
        <f t="shared" si="66"/>
        <v>0</v>
      </c>
      <c r="F126" s="34"/>
      <c r="G126" s="37" t="str">
        <f>IF(COUNT(ngay30!$J$12)&gt;0,ngay30!$J$12,"")</f>
        <v/>
      </c>
      <c r="H126" s="34" t="str">
        <f t="shared" si="56"/>
        <v>x</v>
      </c>
      <c r="I126" s="142">
        <f t="shared" si="67"/>
        <v>0</v>
      </c>
      <c r="J126" s="37" t="str">
        <f>IF(COUNT(ngay30!$I$55)&gt;0,ngay30!$I$55,"")</f>
        <v/>
      </c>
      <c r="K126" s="137" t="str">
        <f t="shared" si="58"/>
        <v>x</v>
      </c>
      <c r="L126" s="142">
        <f t="shared" si="68"/>
        <v>0</v>
      </c>
      <c r="M126" s="34"/>
      <c r="N126" s="37" t="str">
        <f>IF(COUNT(ngay30!$J$4)&gt;0,ngay30!$J$4,"")</f>
        <v/>
      </c>
      <c r="O126" s="34" t="str">
        <f t="shared" si="60"/>
        <v>x</v>
      </c>
      <c r="P126" s="142">
        <f t="shared" si="69"/>
        <v>0</v>
      </c>
      <c r="Q126" s="37" t="str">
        <f>IF(COUNT(ngay30!$I$58)&gt;0,ngay30!$I$58,"")</f>
        <v/>
      </c>
      <c r="R126" s="137" t="str">
        <f t="shared" si="62"/>
        <v>x</v>
      </c>
      <c r="S126" s="142">
        <f t="shared" si="70"/>
        <v>0</v>
      </c>
      <c r="T126" s="34"/>
      <c r="U126" s="37" t="str">
        <f>IF(COUNT(ngay30!$J$15)&gt;0,ngay30!$J$15,"")</f>
        <v/>
      </c>
      <c r="V126" s="34" t="str">
        <f t="shared" si="64"/>
        <v>x</v>
      </c>
      <c r="W126" s="142">
        <f t="shared" si="71"/>
        <v>0</v>
      </c>
    </row>
    <row r="127" spans="1:23" s="145" customFormat="1">
      <c r="A127" s="146">
        <v>31</v>
      </c>
      <c r="B127" s="48">
        <v>1</v>
      </c>
      <c r="C127" s="141" t="str">
        <f>IF(COUNT(ngay31!$C$59)&gt;0,ngay31!$C$59,"")</f>
        <v/>
      </c>
      <c r="D127" s="144" t="str">
        <f t="shared" si="54"/>
        <v>x</v>
      </c>
      <c r="E127" s="142">
        <f t="shared" si="66"/>
        <v>0</v>
      </c>
      <c r="F127" s="140"/>
      <c r="G127" s="141" t="str">
        <f>IF(COUNT(ngay31!$D$12)&gt;0,ngay31!$D$12,"")</f>
        <v/>
      </c>
      <c r="H127" s="140" t="str">
        <f t="shared" si="56"/>
        <v>x</v>
      </c>
      <c r="I127" s="142">
        <f t="shared" si="67"/>
        <v>0</v>
      </c>
      <c r="J127" s="141" t="str">
        <f>IF(COUNT(ngay31!$C$55)&gt;0,ngay31!$C$55,"")</f>
        <v/>
      </c>
      <c r="K127" s="144" t="str">
        <f t="shared" si="58"/>
        <v>x</v>
      </c>
      <c r="L127" s="142">
        <f t="shared" si="68"/>
        <v>0</v>
      </c>
      <c r="M127" s="140"/>
      <c r="N127" s="141" t="str">
        <f>IF(COUNT(ngay31!$D$4)&gt;0,ngay31!$D$4,"")</f>
        <v/>
      </c>
      <c r="O127" s="140" t="str">
        <f t="shared" si="60"/>
        <v>x</v>
      </c>
      <c r="P127" s="142">
        <f t="shared" si="69"/>
        <v>0</v>
      </c>
      <c r="Q127" s="141" t="str">
        <f>IF(COUNT(ngay31!$C$58)&gt;0,ngay31!$C$58,"")</f>
        <v/>
      </c>
      <c r="R127" s="144" t="str">
        <f t="shared" si="62"/>
        <v>x</v>
      </c>
      <c r="S127" s="142">
        <f t="shared" si="70"/>
        <v>0</v>
      </c>
      <c r="T127" s="140"/>
      <c r="U127" s="141" t="str">
        <f>IF(COUNT(ngay31!$D$15)&gt;0,ngay31!$D$15,"")</f>
        <v/>
      </c>
      <c r="V127" s="140" t="str">
        <f t="shared" si="64"/>
        <v>x</v>
      </c>
      <c r="W127" s="142">
        <f t="shared" si="71"/>
        <v>0</v>
      </c>
    </row>
    <row r="128" spans="1:23">
      <c r="A128" s="41"/>
      <c r="B128" s="139">
        <v>7</v>
      </c>
      <c r="C128" s="37" t="str">
        <f>IF(COUNT(ngay31!$E$59)&gt;0,ngay31!$E$59,"")</f>
        <v/>
      </c>
      <c r="D128" s="137" t="str">
        <f t="shared" si="54"/>
        <v>x</v>
      </c>
      <c r="E128" s="142">
        <f t="shared" si="66"/>
        <v>0</v>
      </c>
      <c r="F128" s="34"/>
      <c r="G128" s="37" t="str">
        <f>IF(COUNT(ngay31!$F$12)&gt;0,ngay31!$F$12,"")</f>
        <v/>
      </c>
      <c r="H128" s="34" t="str">
        <f t="shared" si="56"/>
        <v>x</v>
      </c>
      <c r="I128" s="142">
        <f t="shared" si="67"/>
        <v>0</v>
      </c>
      <c r="J128" s="37" t="str">
        <f>IF(COUNT(ngay31!$E$55)&gt;0,ngay31!$E$55,"")</f>
        <v/>
      </c>
      <c r="K128" s="137" t="str">
        <f t="shared" si="58"/>
        <v>x</v>
      </c>
      <c r="L128" s="142">
        <f t="shared" si="68"/>
        <v>0</v>
      </c>
      <c r="M128" s="34"/>
      <c r="N128" s="37" t="str">
        <f>IF(COUNT(ngay31!$F$4)&gt;0,ngay31!$F$4,"")</f>
        <v/>
      </c>
      <c r="O128" s="34" t="str">
        <f t="shared" si="60"/>
        <v>x</v>
      </c>
      <c r="P128" s="142">
        <f t="shared" si="69"/>
        <v>0</v>
      </c>
      <c r="Q128" s="37" t="str">
        <f>IF(COUNT(ngay31!$E$58)&gt;0,ngay31!$E$58,"")</f>
        <v/>
      </c>
      <c r="R128" s="137" t="str">
        <f t="shared" si="62"/>
        <v>x</v>
      </c>
      <c r="S128" s="142">
        <f t="shared" si="70"/>
        <v>0</v>
      </c>
      <c r="T128" s="34"/>
      <c r="U128" s="37" t="str">
        <f>IF(COUNT(ngay31!$F$15)&gt;0,ngay31!$F$15,"")</f>
        <v/>
      </c>
      <c r="V128" s="34" t="str">
        <f t="shared" si="64"/>
        <v>x</v>
      </c>
      <c r="W128" s="142">
        <f t="shared" si="71"/>
        <v>0</v>
      </c>
    </row>
    <row r="129" spans="1:23">
      <c r="A129" s="41"/>
      <c r="B129" s="48">
        <v>13</v>
      </c>
      <c r="C129" s="37" t="str">
        <f>IF(COUNT(ngay31!$G$59)&gt;0,ngay31!$G$59,"")</f>
        <v/>
      </c>
      <c r="D129" s="137" t="str">
        <f t="shared" si="54"/>
        <v>x</v>
      </c>
      <c r="E129" s="142">
        <f t="shared" si="66"/>
        <v>0</v>
      </c>
      <c r="F129" s="34"/>
      <c r="G129" s="37" t="str">
        <f>IF(COUNT(ngay31!$H$12)&gt;0,ngay31!$H$12,"")</f>
        <v/>
      </c>
      <c r="H129" s="34" t="str">
        <f t="shared" si="56"/>
        <v>x</v>
      </c>
      <c r="I129" s="142">
        <f t="shared" si="67"/>
        <v>0</v>
      </c>
      <c r="J129" s="37" t="str">
        <f>IF(COUNT(ngay31!$G$55)&gt;0,ngay31!$G$55,"")</f>
        <v/>
      </c>
      <c r="K129" s="137" t="str">
        <f t="shared" si="58"/>
        <v>x</v>
      </c>
      <c r="L129" s="142">
        <f t="shared" si="68"/>
        <v>0</v>
      </c>
      <c r="M129" s="34"/>
      <c r="N129" s="37" t="str">
        <f>IF(COUNT(ngay31!$H$4)&gt;0,ngay31!$H$4,"")</f>
        <v/>
      </c>
      <c r="O129" s="34" t="str">
        <f t="shared" si="60"/>
        <v>x</v>
      </c>
      <c r="P129" s="142">
        <f t="shared" si="69"/>
        <v>0</v>
      </c>
      <c r="Q129" s="37" t="str">
        <f>IF(COUNT(ngay31!$G$58)&gt;0,ngay31!$G$58,"")</f>
        <v/>
      </c>
      <c r="R129" s="137" t="str">
        <f t="shared" si="62"/>
        <v>x</v>
      </c>
      <c r="S129" s="142">
        <f t="shared" si="70"/>
        <v>0</v>
      </c>
      <c r="T129" s="34"/>
      <c r="U129" s="37" t="str">
        <f>IF(COUNT(ngay31!$H$15)&gt;0,ngay31!$H$15,"")</f>
        <v/>
      </c>
      <c r="V129" s="34" t="str">
        <f t="shared" si="64"/>
        <v>x</v>
      </c>
      <c r="W129" s="142">
        <f t="shared" si="71"/>
        <v>0</v>
      </c>
    </row>
    <row r="130" spans="1:23">
      <c r="A130" s="41"/>
      <c r="B130" s="48">
        <v>19</v>
      </c>
      <c r="C130" s="37" t="str">
        <f>IF(COUNT(ngay31!$I$59)&gt;0,ngay31!$I$59,"")</f>
        <v/>
      </c>
      <c r="D130" s="137" t="str">
        <f t="shared" si="54"/>
        <v>x</v>
      </c>
      <c r="E130" s="142">
        <f t="shared" si="66"/>
        <v>0</v>
      </c>
      <c r="F130" s="34"/>
      <c r="G130" s="37" t="str">
        <f>IF(COUNT(ngay31!$J$12)&gt;0,ngay31!$J$12,"")</f>
        <v/>
      </c>
      <c r="H130" s="34" t="str">
        <f t="shared" si="56"/>
        <v>x</v>
      </c>
      <c r="I130" s="142">
        <f t="shared" si="67"/>
        <v>0</v>
      </c>
      <c r="J130" s="37" t="str">
        <f>IF(COUNT(ngay31!$I$55)&gt;0,ngay31!$I$55,"")</f>
        <v/>
      </c>
      <c r="K130" s="137" t="str">
        <f t="shared" si="58"/>
        <v>x</v>
      </c>
      <c r="L130" s="142">
        <f t="shared" si="68"/>
        <v>0</v>
      </c>
      <c r="M130" s="34"/>
      <c r="N130" s="37" t="str">
        <f>IF(COUNT(ngay31!$J$4)&gt;0,ngay31!$J$4,"")</f>
        <v/>
      </c>
      <c r="O130" s="34" t="str">
        <f t="shared" si="60"/>
        <v>x</v>
      </c>
      <c r="P130" s="142">
        <f t="shared" si="69"/>
        <v>0</v>
      </c>
      <c r="Q130" s="37" t="str">
        <f>IF(COUNT(ngay31!$I$58)&gt;0,ngay31!$I$58,"")</f>
        <v/>
      </c>
      <c r="R130" s="137" t="str">
        <f t="shared" si="62"/>
        <v>x</v>
      </c>
      <c r="S130" s="142">
        <f t="shared" si="70"/>
        <v>0</v>
      </c>
      <c r="T130" s="34"/>
      <c r="U130" s="37" t="str">
        <f>IF(COUNT(ngay31!$J$15)&gt;0,ngay31!$J$15,"")</f>
        <v/>
      </c>
      <c r="V130" s="34" t="str">
        <f t="shared" si="64"/>
        <v>x</v>
      </c>
      <c r="W130" s="142">
        <f t="shared" si="71"/>
        <v>0</v>
      </c>
    </row>
    <row r="131" spans="1:23">
      <c r="B131" s="48"/>
    </row>
    <row r="132" spans="1:23">
      <c r="B132" s="48"/>
    </row>
  </sheetData>
  <phoneticPr fontId="0" type="noConversion"/>
  <pageMargins left="0.75" right="0.75" top="1" bottom="1" header="0.5" footer="0.5"/>
  <pageSetup paperSize="9" orientation="landscape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54</vt:i4>
      </vt:variant>
      <vt:variant>
        <vt:lpstr>Charts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91" baseType="lpstr">
      <vt:lpstr>Tæng kÕt T </vt:lpstr>
      <vt:lpstr>Tæng kÕt Tx</vt:lpstr>
      <vt:lpstr>Tæng kÕt Tm </vt:lpstr>
      <vt:lpstr>Tæng kÕt R</vt:lpstr>
      <vt:lpstr>Tæng kÕt U</vt:lpstr>
      <vt:lpstr>ngay01</vt:lpstr>
      <vt:lpstr>ngay02</vt:lpstr>
      <vt:lpstr>ngay03</vt:lpstr>
      <vt:lpstr>ngay04</vt:lpstr>
      <vt:lpstr>ngay05</vt:lpstr>
      <vt:lpstr>ngay06</vt:lpstr>
      <vt:lpstr>ngay07</vt:lpstr>
      <vt:lpstr>ngay08</vt:lpstr>
      <vt:lpstr>ngay09</vt:lpstr>
      <vt:lpstr>ngay10</vt:lpstr>
      <vt:lpstr>ngay11</vt:lpstr>
      <vt:lpstr>ngay12</vt:lpstr>
      <vt:lpstr>ngay13</vt:lpstr>
      <vt:lpstr>ngay14</vt:lpstr>
      <vt:lpstr>ngay15</vt:lpstr>
      <vt:lpstr>ngay16</vt:lpstr>
      <vt:lpstr>ngay17</vt:lpstr>
      <vt:lpstr>ngay18</vt:lpstr>
      <vt:lpstr>ngay19</vt:lpstr>
      <vt:lpstr>ngay20</vt:lpstr>
      <vt:lpstr>ngay21</vt:lpstr>
      <vt:lpstr>ngay22</vt:lpstr>
      <vt:lpstr>ngay23</vt:lpstr>
      <vt:lpstr>ngay24</vt:lpstr>
      <vt:lpstr>ngay25</vt:lpstr>
      <vt:lpstr>ngay26</vt:lpstr>
      <vt:lpstr>ngay27</vt:lpstr>
      <vt:lpstr>ngay28</vt:lpstr>
      <vt:lpstr>ngay29</vt:lpstr>
      <vt:lpstr>ngay30</vt:lpstr>
      <vt:lpstr>ngay31</vt:lpstr>
      <vt:lpstr>Ttb tuan 1</vt:lpstr>
      <vt:lpstr>Ttb tuan 2</vt:lpstr>
      <vt:lpstr>Ttb tuan3</vt:lpstr>
      <vt:lpstr>Tm tuan 1</vt:lpstr>
      <vt:lpstr>Tm tuan 2</vt:lpstr>
      <vt:lpstr>Tm  tuan3</vt:lpstr>
      <vt:lpstr>Tx tuan 1</vt:lpstr>
      <vt:lpstr>Tx tuan 2</vt:lpstr>
      <vt:lpstr>Tx tuan3</vt:lpstr>
      <vt:lpstr>R tuan 1</vt:lpstr>
      <vt:lpstr>R tuan 2</vt:lpstr>
      <vt:lpstr>R tuan3</vt:lpstr>
      <vt:lpstr>U tuan1</vt:lpstr>
      <vt:lpstr>U tuan2</vt:lpstr>
      <vt:lpstr>U tuan3</vt:lpstr>
      <vt:lpstr>SL Thang</vt:lpstr>
      <vt:lpstr>P &amp; T(1) </vt:lpstr>
      <vt:lpstr>P &amp; T(2)</vt:lpstr>
      <vt:lpstr>1.Giando CAO BANG</vt:lpstr>
      <vt:lpstr>2.Gian do THAT KHE</vt:lpstr>
      <vt:lpstr>1.Gian do THANHHOA</vt:lpstr>
      <vt:lpstr>4.Giando BACGIANG</vt:lpstr>
      <vt:lpstr>2.Giando HoiXuan</vt:lpstr>
      <vt:lpstr>3.Giando Vinh</vt:lpstr>
      <vt:lpstr>4.Giando HaTinh</vt:lpstr>
      <vt:lpstr>'R tuan 1'!Print_Area</vt:lpstr>
      <vt:lpstr>'R tuan 2'!Print_Area</vt:lpstr>
      <vt:lpstr>'R tuan3'!Print_Area</vt:lpstr>
      <vt:lpstr>'Tm  tuan3'!Print_Area</vt:lpstr>
      <vt:lpstr>'Tm tuan 1'!Print_Area</vt:lpstr>
      <vt:lpstr>'Tm tuan 2'!Print_Area</vt:lpstr>
      <vt:lpstr>'Ttb tuan 1'!Print_Area</vt:lpstr>
      <vt:lpstr>'Ttb tuan 2'!Print_Area</vt:lpstr>
      <vt:lpstr>'Ttb tuan3'!Print_Area</vt:lpstr>
      <vt:lpstr>'Tx tuan 1'!Print_Area</vt:lpstr>
      <vt:lpstr>'Tx tuan 2'!Print_Area</vt:lpstr>
      <vt:lpstr>'Tx tuan3'!Print_Area</vt:lpstr>
      <vt:lpstr>'U tuan1'!Print_Area</vt:lpstr>
      <vt:lpstr>'U tuan2'!Print_Area</vt:lpstr>
      <vt:lpstr>'U tuan3'!Print_Area</vt:lpstr>
      <vt:lpstr>'R tuan 1'!Print_Titles</vt:lpstr>
      <vt:lpstr>'R tuan 2'!Print_Titles</vt:lpstr>
      <vt:lpstr>'R tuan3'!Print_Titles</vt:lpstr>
      <vt:lpstr>'Tm  tuan3'!Print_Titles</vt:lpstr>
      <vt:lpstr>'Tm tuan 1'!Print_Titles</vt:lpstr>
      <vt:lpstr>'Tm tuan 2'!Print_Titles</vt:lpstr>
      <vt:lpstr>'Ttb tuan 1'!Print_Titles</vt:lpstr>
      <vt:lpstr>'Ttb tuan 2'!Print_Titles</vt:lpstr>
      <vt:lpstr>'Ttb tuan3'!Print_Titles</vt:lpstr>
      <vt:lpstr>'Tx tuan 1'!Print_Titles</vt:lpstr>
      <vt:lpstr>'Tx tuan 2'!Print_Titles</vt:lpstr>
      <vt:lpstr>'Tx tuan3'!Print_Titles</vt:lpstr>
      <vt:lpstr>'U tuan1'!Print_Titles</vt:lpstr>
      <vt:lpstr>'U tuan2'!Print_Titles</vt:lpstr>
      <vt:lpstr>'U tuan3'!Print_Titles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 Hau</dc:creator>
  <cp:lastModifiedBy>Đào Anh Công</cp:lastModifiedBy>
  <cp:lastPrinted>2007-12-01T11:28:38Z</cp:lastPrinted>
  <dcterms:created xsi:type="dcterms:W3CDTF">1998-05-27T06:54:18Z</dcterms:created>
  <dcterms:modified xsi:type="dcterms:W3CDTF">2020-06-06T09:43:17Z</dcterms:modified>
</cp:coreProperties>
</file>